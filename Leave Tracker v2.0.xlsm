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My Drive\WORKFORCE\Trackers\"/>
    </mc:Choice>
  </mc:AlternateContent>
  <xr:revisionPtr revIDLastSave="0" documentId="13_ncr:1_{FD43D589-FE55-4596-B4EE-667D872F4F6C}" xr6:coauthVersionLast="47" xr6:coauthVersionMax="47" xr10:uidLastSave="{00000000-0000-0000-0000-000000000000}"/>
  <bookViews>
    <workbookView xWindow="-120" yWindow="-120" windowWidth="29040" windowHeight="15720" xr2:uid="{FB9F2092-5EDB-4D4A-B51C-ED296F31BE20}"/>
  </bookViews>
  <sheets>
    <sheet name="Team Dashboard" sheetId="3" r:id="rId1"/>
    <sheet name="Employee Report" sheetId="5" r:id="rId2"/>
    <sheet name="Approved Leave" sheetId="4" r:id="rId3"/>
    <sheet name="Pending Request" sheetId="6" state="hidden" r:id="rId4"/>
    <sheet name="Declined Request" sheetId="8" state="hidden" r:id="rId5"/>
    <sheet name="Employees" sheetId="2" r:id="rId6"/>
    <sheet name="Settings" sheetId="1" r:id="rId7"/>
    <sheet name="Holidays" sheetId="9" r:id="rId8"/>
    <sheet name="Backup" sheetId="7" state="hidden" r:id="rId9"/>
  </sheets>
  <definedNames>
    <definedName name="I_RPT_ED">'Employee Report'!$B$8</definedName>
    <definedName name="I_RPT_EMP">'Employee Report'!$B$6</definedName>
    <definedName name="I_RPT_YR">'Employee Report'!$B$4</definedName>
    <definedName name="L_EMPS">T_EMP[NAME]</definedName>
    <definedName name="L_EMPSTDT">T_EMP[START DATE]</definedName>
    <definedName name="L_EMPTERMDT">T_EMP[TERMINATION DATE]</definedName>
    <definedName name="L_HOLS">T_HOLS[DATE]</definedName>
    <definedName name="L_LEAVE">T_LEAVETYPE[LEAVE CODE]</definedName>
    <definedName name="L_MTHS">Settings!$L$2:$L$13</definedName>
    <definedName name="L_TYPE">T_LEAVETYPE[LEAVE TYPE]</definedName>
    <definedName name="L_WKNDVAL">Settings!$S$2:$S$8</definedName>
    <definedName name="YR">'Team Dashboard'!$B$4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71" i="4" l="1"/>
  <c r="K499" i="4"/>
  <c r="K514" i="4"/>
  <c r="K599" i="4"/>
  <c r="K590" i="4"/>
  <c r="K600" i="4"/>
  <c r="K610" i="4"/>
  <c r="K657" i="4"/>
  <c r="K716" i="4"/>
  <c r="K717" i="4"/>
  <c r="K762" i="4"/>
  <c r="K10" i="4"/>
  <c r="K58" i="4"/>
  <c r="K77" i="4"/>
  <c r="K93" i="4"/>
  <c r="K94" i="4"/>
  <c r="K13" i="4"/>
  <c r="K154" i="4"/>
  <c r="K155" i="4"/>
  <c r="K156" i="4"/>
  <c r="K157" i="4"/>
  <c r="K158" i="4"/>
  <c r="K226" i="4"/>
  <c r="K229" i="4"/>
  <c r="K396" i="4"/>
  <c r="K430" i="4"/>
  <c r="K432" i="4"/>
  <c r="K451" i="4"/>
  <c r="K120" i="4"/>
  <c r="K173" i="4"/>
  <c r="K236" i="4"/>
  <c r="K237" i="4"/>
  <c r="K283" i="4"/>
  <c r="K358" i="4"/>
  <c r="K359" i="4"/>
  <c r="K374" i="4"/>
  <c r="K375" i="4"/>
  <c r="K395" i="4"/>
  <c r="K401" i="4"/>
  <c r="K418" i="4"/>
  <c r="K693" i="4"/>
  <c r="K697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L471" i="4"/>
  <c r="L499" i="4"/>
  <c r="L514" i="4"/>
  <c r="L599" i="4"/>
  <c r="L590" i="4"/>
  <c r="L600" i="4"/>
  <c r="L610" i="4"/>
  <c r="L657" i="4"/>
  <c r="L716" i="4"/>
  <c r="L717" i="4"/>
  <c r="L762" i="4"/>
  <c r="L10" i="4"/>
  <c r="L58" i="4"/>
  <c r="L77" i="4"/>
  <c r="L93" i="4"/>
  <c r="L94" i="4"/>
  <c r="L13" i="4"/>
  <c r="L154" i="4"/>
  <c r="L155" i="4"/>
  <c r="L156" i="4"/>
  <c r="L157" i="4"/>
  <c r="L158" i="4"/>
  <c r="L226" i="4"/>
  <c r="L229" i="4"/>
  <c r="L396" i="4"/>
  <c r="L430" i="4"/>
  <c r="L432" i="4"/>
  <c r="L451" i="4"/>
  <c r="L120" i="4"/>
  <c r="L173" i="4"/>
  <c r="L236" i="4"/>
  <c r="L237" i="4"/>
  <c r="L283" i="4"/>
  <c r="L358" i="4"/>
  <c r="L359" i="4"/>
  <c r="L374" i="4"/>
  <c r="L375" i="4"/>
  <c r="L395" i="4"/>
  <c r="L401" i="4"/>
  <c r="L418" i="4"/>
  <c r="L693" i="4"/>
  <c r="L697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M471" i="4"/>
  <c r="M499" i="4"/>
  <c r="M514" i="4"/>
  <c r="M599" i="4"/>
  <c r="M590" i="4"/>
  <c r="M600" i="4"/>
  <c r="M610" i="4"/>
  <c r="M657" i="4"/>
  <c r="M716" i="4"/>
  <c r="M717" i="4"/>
  <c r="M762" i="4"/>
  <c r="M10" i="4"/>
  <c r="M58" i="4"/>
  <c r="M77" i="4"/>
  <c r="M93" i="4"/>
  <c r="M94" i="4"/>
  <c r="M13" i="4"/>
  <c r="M154" i="4"/>
  <c r="M155" i="4"/>
  <c r="M156" i="4"/>
  <c r="M157" i="4"/>
  <c r="M158" i="4"/>
  <c r="M226" i="4"/>
  <c r="M229" i="4"/>
  <c r="M396" i="4"/>
  <c r="M430" i="4"/>
  <c r="M432" i="4"/>
  <c r="M451" i="4"/>
  <c r="M120" i="4"/>
  <c r="M173" i="4"/>
  <c r="M236" i="4"/>
  <c r="M237" i="4"/>
  <c r="M283" i="4"/>
  <c r="M358" i="4"/>
  <c r="M359" i="4"/>
  <c r="M374" i="4"/>
  <c r="M375" i="4"/>
  <c r="M395" i="4"/>
  <c r="M401" i="4"/>
  <c r="M418" i="4"/>
  <c r="M693" i="4"/>
  <c r="M697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N471" i="4"/>
  <c r="N499" i="4"/>
  <c r="N514" i="4"/>
  <c r="N599" i="4"/>
  <c r="N590" i="4"/>
  <c r="N600" i="4"/>
  <c r="N610" i="4"/>
  <c r="N657" i="4"/>
  <c r="N716" i="4"/>
  <c r="N717" i="4"/>
  <c r="N762" i="4"/>
  <c r="N10" i="4"/>
  <c r="N58" i="4"/>
  <c r="N77" i="4"/>
  <c r="N93" i="4"/>
  <c r="N94" i="4"/>
  <c r="N13" i="4"/>
  <c r="N154" i="4"/>
  <c r="N155" i="4"/>
  <c r="N156" i="4"/>
  <c r="N157" i="4"/>
  <c r="N158" i="4"/>
  <c r="N226" i="4"/>
  <c r="N229" i="4"/>
  <c r="N396" i="4"/>
  <c r="N430" i="4"/>
  <c r="N432" i="4"/>
  <c r="N451" i="4"/>
  <c r="N120" i="4"/>
  <c r="N173" i="4"/>
  <c r="N236" i="4"/>
  <c r="N237" i="4"/>
  <c r="N283" i="4"/>
  <c r="N358" i="4"/>
  <c r="N359" i="4"/>
  <c r="N374" i="4"/>
  <c r="N375" i="4"/>
  <c r="N395" i="4"/>
  <c r="N401" i="4"/>
  <c r="N418" i="4"/>
  <c r="N693" i="4"/>
  <c r="N697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K632" i="4"/>
  <c r="K633" i="4"/>
  <c r="K634" i="4"/>
  <c r="K635" i="4"/>
  <c r="K636" i="4"/>
  <c r="K637" i="4"/>
  <c r="K638" i="4"/>
  <c r="K639" i="4"/>
  <c r="K640" i="4"/>
  <c r="K641" i="4"/>
  <c r="K191" i="4"/>
  <c r="K412" i="4"/>
  <c r="K413" i="4"/>
  <c r="K426" i="4"/>
  <c r="K433" i="4"/>
  <c r="K434" i="4"/>
  <c r="K470" i="4"/>
  <c r="L632" i="4"/>
  <c r="L633" i="4"/>
  <c r="L634" i="4"/>
  <c r="L635" i="4"/>
  <c r="L636" i="4"/>
  <c r="L637" i="4"/>
  <c r="L638" i="4"/>
  <c r="L639" i="4"/>
  <c r="L640" i="4"/>
  <c r="L641" i="4"/>
  <c r="L191" i="4"/>
  <c r="L412" i="4"/>
  <c r="L413" i="4"/>
  <c r="L426" i="4"/>
  <c r="L433" i="4"/>
  <c r="L434" i="4"/>
  <c r="L470" i="4"/>
  <c r="M632" i="4"/>
  <c r="N632" i="4" s="1"/>
  <c r="M633" i="4"/>
  <c r="N633" i="4" s="1"/>
  <c r="M634" i="4"/>
  <c r="N634" i="4" s="1"/>
  <c r="M635" i="4"/>
  <c r="N635" i="4" s="1"/>
  <c r="M636" i="4"/>
  <c r="N636" i="4" s="1"/>
  <c r="M637" i="4"/>
  <c r="N637" i="4" s="1"/>
  <c r="M638" i="4"/>
  <c r="N638" i="4" s="1"/>
  <c r="M639" i="4"/>
  <c r="N639" i="4" s="1"/>
  <c r="M640" i="4"/>
  <c r="N640" i="4" s="1"/>
  <c r="M641" i="4"/>
  <c r="N641" i="4" s="1"/>
  <c r="M191" i="4"/>
  <c r="N191" i="4" s="1"/>
  <c r="M412" i="4"/>
  <c r="M413" i="4"/>
  <c r="N413" i="4" s="1"/>
  <c r="M426" i="4"/>
  <c r="N426" i="4" s="1"/>
  <c r="M433" i="4"/>
  <c r="N433" i="4" s="1"/>
  <c r="M434" i="4"/>
  <c r="N434" i="4" s="1"/>
  <c r="M470" i="4"/>
  <c r="N470" i="4" s="1"/>
  <c r="N412" i="4"/>
  <c r="K34" i="4"/>
  <c r="K35" i="4"/>
  <c r="K84" i="4"/>
  <c r="K85" i="4"/>
  <c r="K78" i="4"/>
  <c r="K103" i="4"/>
  <c r="K104" i="4"/>
  <c r="K105" i="4"/>
  <c r="K159" i="4"/>
  <c r="K225" i="4"/>
  <c r="K298" i="4"/>
  <c r="K299" i="4"/>
  <c r="K300" i="4"/>
  <c r="K301" i="4"/>
  <c r="K344" i="4"/>
  <c r="K360" i="4"/>
  <c r="K361" i="4"/>
  <c r="K350" i="4"/>
  <c r="K351" i="4"/>
  <c r="K409" i="4"/>
  <c r="K529" i="4"/>
  <c r="K577" i="4"/>
  <c r="K594" i="4"/>
  <c r="K654" i="4"/>
  <c r="K655" i="4"/>
  <c r="K687" i="4"/>
  <c r="K688" i="4"/>
  <c r="K689" i="4"/>
  <c r="K690" i="4"/>
  <c r="K691" i="4"/>
  <c r="K700" i="4"/>
  <c r="K706" i="4"/>
  <c r="K721" i="4"/>
  <c r="K60" i="4"/>
  <c r="K61" i="4"/>
  <c r="K62" i="4"/>
  <c r="K63" i="4"/>
  <c r="K87" i="4"/>
  <c r="K88" i="4"/>
  <c r="K89" i="4"/>
  <c r="K198" i="4"/>
  <c r="K219" i="4"/>
  <c r="K240" i="4"/>
  <c r="K246" i="4"/>
  <c r="K284" i="4"/>
  <c r="K285" i="4"/>
  <c r="K327" i="4"/>
  <c r="K312" i="4"/>
  <c r="K313" i="4"/>
  <c r="K370" i="4"/>
  <c r="K371" i="4"/>
  <c r="K372" i="4"/>
  <c r="K142" i="4"/>
  <c r="K160" i="4"/>
  <c r="K195" i="4"/>
  <c r="K196" i="4"/>
  <c r="K197" i="4"/>
  <c r="K515" i="4"/>
  <c r="K516" i="4"/>
  <c r="K567" i="4"/>
  <c r="K692" i="4"/>
  <c r="K719" i="4"/>
  <c r="K54" i="4"/>
  <c r="K55" i="4"/>
  <c r="K56" i="4"/>
  <c r="K57" i="4"/>
  <c r="K131" i="4"/>
  <c r="K143" i="4"/>
  <c r="K144" i="4"/>
  <c r="K145" i="4"/>
  <c r="K199" i="4"/>
  <c r="K251" i="4"/>
  <c r="K290" i="4"/>
  <c r="K352" i="4"/>
  <c r="K392" i="4"/>
  <c r="K420" i="4"/>
  <c r="K424" i="4"/>
  <c r="K425" i="4"/>
  <c r="K472" i="4"/>
  <c r="K488" i="4"/>
  <c r="K489" i="4"/>
  <c r="K490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606" i="4"/>
  <c r="K681" i="4"/>
  <c r="K701" i="4"/>
  <c r="K694" i="4"/>
  <c r="K695" i="4"/>
  <c r="K754" i="4"/>
  <c r="K755" i="4"/>
  <c r="K756" i="4"/>
  <c r="K757" i="4"/>
  <c r="K238" i="4"/>
  <c r="K239" i="4"/>
  <c r="K266" i="4"/>
  <c r="K267" i="4"/>
  <c r="K483" i="4"/>
  <c r="K549" i="4"/>
  <c r="K550" i="4"/>
  <c r="K139" i="4"/>
  <c r="K161" i="4"/>
  <c r="K253" i="4"/>
  <c r="K254" i="4"/>
  <c r="K356" i="4"/>
  <c r="K362" i="4"/>
  <c r="K363" i="4"/>
  <c r="K364" i="4"/>
  <c r="K365" i="4"/>
  <c r="K340" i="4"/>
  <c r="K391" i="4"/>
  <c r="K403" i="4"/>
  <c r="K421" i="4"/>
  <c r="K683" i="4"/>
  <c r="K707" i="4"/>
  <c r="K711" i="4"/>
  <c r="K713" i="4"/>
  <c r="K714" i="4"/>
  <c r="K720" i="4"/>
  <c r="K739" i="4"/>
  <c r="K740" i="4"/>
  <c r="K578" i="4"/>
  <c r="K579" i="4"/>
  <c r="K580" i="4"/>
  <c r="K581" i="4"/>
  <c r="K582" i="4"/>
  <c r="K110" i="4"/>
  <c r="K133" i="4"/>
  <c r="K180" i="4"/>
  <c r="K181" i="4"/>
  <c r="K204" i="4"/>
  <c r="K213" i="4"/>
  <c r="K333" i="4"/>
  <c r="K369" i="4"/>
  <c r="K708" i="4"/>
  <c r="K709" i="4"/>
  <c r="K758" i="4"/>
  <c r="K14" i="4"/>
  <c r="K22" i="4"/>
  <c r="K23" i="4"/>
  <c r="K86" i="4"/>
  <c r="K111" i="4"/>
  <c r="K125" i="4"/>
  <c r="K128" i="4"/>
  <c r="K188" i="4"/>
  <c r="K205" i="4"/>
  <c r="K215" i="4"/>
  <c r="K216" i="4"/>
  <c r="K322" i="4"/>
  <c r="K381" i="4"/>
  <c r="K398" i="4"/>
  <c r="K439" i="4"/>
  <c r="K442" i="4"/>
  <c r="K484" i="4"/>
  <c r="K495" i="4"/>
  <c r="K531" i="4"/>
  <c r="K556" i="4"/>
  <c r="K36" i="4"/>
  <c r="K37" i="4"/>
  <c r="K38" i="4"/>
  <c r="K39" i="4"/>
  <c r="K40" i="4"/>
  <c r="K137" i="4"/>
  <c r="K162" i="4"/>
  <c r="K341" i="4"/>
  <c r="K405" i="4"/>
  <c r="K410" i="4"/>
  <c r="K423" i="4"/>
  <c r="K450" i="4"/>
  <c r="K473" i="4"/>
  <c r="K474" i="4"/>
  <c r="K475" i="4"/>
  <c r="K476" i="4"/>
  <c r="K452" i="4"/>
  <c r="K453" i="4"/>
  <c r="K524" i="4"/>
  <c r="K591" i="4"/>
  <c r="K592" i="4"/>
  <c r="K613" i="4"/>
  <c r="K614" i="4"/>
  <c r="K682" i="4"/>
  <c r="K702" i="4"/>
  <c r="K696" i="4"/>
  <c r="K748" i="4"/>
  <c r="K749" i="4"/>
  <c r="K15" i="4"/>
  <c r="K129" i="4"/>
  <c r="K305" i="4"/>
  <c r="K317" i="4"/>
  <c r="K382" i="4"/>
  <c r="K389" i="4"/>
  <c r="K399" i="4"/>
  <c r="K414" i="4"/>
  <c r="K415" i="4"/>
  <c r="K416" i="4"/>
  <c r="K417" i="4"/>
  <c r="K428" i="4"/>
  <c r="K12" i="4"/>
  <c r="K41" i="4"/>
  <c r="K42" i="4"/>
  <c r="K278" i="4"/>
  <c r="K279" i="4"/>
  <c r="K330" i="4"/>
  <c r="K477" i="4"/>
  <c r="K478" i="4"/>
  <c r="K583" i="4"/>
  <c r="K763" i="4"/>
  <c r="K764" i="4"/>
  <c r="K4" i="4"/>
  <c r="K5" i="4"/>
  <c r="K6" i="4"/>
  <c r="K7" i="4"/>
  <c r="K8" i="4"/>
  <c r="K112" i="4"/>
  <c r="K286" i="4"/>
  <c r="K287" i="4"/>
  <c r="K331" i="4"/>
  <c r="K332" i="4"/>
  <c r="K422" i="4"/>
  <c r="K521" i="4"/>
  <c r="K532" i="4"/>
  <c r="K533" i="4"/>
  <c r="K684" i="4"/>
  <c r="K43" i="4"/>
  <c r="K44" i="4"/>
  <c r="K206" i="4"/>
  <c r="K262" i="4"/>
  <c r="K274" i="4"/>
  <c r="K250" i="4"/>
  <c r="K366" i="4"/>
  <c r="K357" i="4"/>
  <c r="K510" i="4"/>
  <c r="K585" i="4"/>
  <c r="K586" i="4"/>
  <c r="K587" i="4"/>
  <c r="K588" i="4"/>
  <c r="K722" i="4"/>
  <c r="K747" i="4"/>
  <c r="K45" i="4"/>
  <c r="K46" i="4"/>
  <c r="K47" i="4"/>
  <c r="K132" i="4"/>
  <c r="K306" i="4"/>
  <c r="K316" i="4"/>
  <c r="K337" i="4"/>
  <c r="K342" i="4"/>
  <c r="K383" i="4"/>
  <c r="K384" i="4"/>
  <c r="K377" i="4"/>
  <c r="K334" i="4"/>
  <c r="K335" i="4"/>
  <c r="K703" i="4"/>
  <c r="K704" i="4"/>
  <c r="K741" i="4"/>
  <c r="K742" i="4"/>
  <c r="K743" i="4"/>
  <c r="K744" i="4"/>
  <c r="K745" i="4"/>
  <c r="K751" i="4"/>
  <c r="K16" i="4"/>
  <c r="K48" i="4"/>
  <c r="K67" i="4"/>
  <c r="K116" i="4"/>
  <c r="K404" i="4"/>
  <c r="K441" i="4"/>
  <c r="K443" i="4"/>
  <c r="K487" i="4"/>
  <c r="K496" i="4"/>
  <c r="K500" i="4"/>
  <c r="K561" i="4"/>
  <c r="K24" i="4"/>
  <c r="K90" i="4"/>
  <c r="K91" i="4"/>
  <c r="K314" i="4"/>
  <c r="K408" i="4"/>
  <c r="K419" i="4"/>
  <c r="K551" i="4"/>
  <c r="K602" i="4"/>
  <c r="K603" i="4"/>
  <c r="K642" i="4"/>
  <c r="K660" i="4"/>
  <c r="K64" i="4"/>
  <c r="K117" i="4"/>
  <c r="K140" i="4"/>
  <c r="K141" i="4"/>
  <c r="K212" i="4"/>
  <c r="K185" i="4"/>
  <c r="K302" i="4"/>
  <c r="K345" i="4"/>
  <c r="K339" i="4"/>
  <c r="K429" i="4"/>
  <c r="K498" i="4"/>
  <c r="K557" i="4"/>
  <c r="K570" i="4"/>
  <c r="K571" i="4"/>
  <c r="K572" i="4"/>
  <c r="K573" i="4"/>
  <c r="K574" i="4"/>
  <c r="K575" i="4"/>
  <c r="K576" i="4"/>
  <c r="K49" i="4"/>
  <c r="K59" i="4"/>
  <c r="K68" i="4"/>
  <c r="K69" i="4"/>
  <c r="K102" i="4"/>
  <c r="K178" i="4"/>
  <c r="K179" i="4"/>
  <c r="K200" i="4"/>
  <c r="K201" i="4"/>
  <c r="K202" i="4"/>
  <c r="K255" i="4"/>
  <c r="K329" i="4"/>
  <c r="K534" i="4"/>
  <c r="K643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50" i="4"/>
  <c r="K21" i="4"/>
  <c r="K31" i="4"/>
  <c r="K263" i="4"/>
  <c r="K307" i="4"/>
  <c r="K308" i="4"/>
  <c r="K309" i="4"/>
  <c r="K310" i="4"/>
  <c r="K320" i="4"/>
  <c r="K71" i="4"/>
  <c r="K106" i="4"/>
  <c r="K148" i="4"/>
  <c r="K207" i="4"/>
  <c r="K208" i="4"/>
  <c r="K280" i="4"/>
  <c r="K281" i="4"/>
  <c r="K397" i="4"/>
  <c r="K406" i="4"/>
  <c r="K437" i="4"/>
  <c r="K479" i="4"/>
  <c r="K480" i="4"/>
  <c r="K481" i="4"/>
  <c r="K482" i="4"/>
  <c r="K564" i="4"/>
  <c r="K656" i="4"/>
  <c r="K18" i="4"/>
  <c r="K19" i="4"/>
  <c r="K95" i="4"/>
  <c r="K96" i="4"/>
  <c r="K134" i="4"/>
  <c r="K135" i="4"/>
  <c r="K153" i="4"/>
  <c r="K194" i="4"/>
  <c r="K209" i="4"/>
  <c r="K211" i="4"/>
  <c r="K222" i="4"/>
  <c r="K223" i="4"/>
  <c r="K210" i="4"/>
  <c r="K241" i="4"/>
  <c r="K242" i="4"/>
  <c r="K268" i="4"/>
  <c r="K269" i="4"/>
  <c r="K270" i="4"/>
  <c r="K291" i="4"/>
  <c r="K292" i="4"/>
  <c r="K293" i="4"/>
  <c r="K343" i="4"/>
  <c r="K436" i="4"/>
  <c r="K440" i="4"/>
  <c r="K444" i="4"/>
  <c r="K445" i="4"/>
  <c r="K446" i="4"/>
  <c r="K447" i="4"/>
  <c r="K448" i="4"/>
  <c r="K502" i="4"/>
  <c r="K526" i="4"/>
  <c r="K527" i="4"/>
  <c r="K528" i="4"/>
  <c r="K552" i="4"/>
  <c r="K553" i="4"/>
  <c r="K554" i="4"/>
  <c r="K555" i="4"/>
  <c r="K584" i="4"/>
  <c r="K598" i="4"/>
  <c r="K597" i="4"/>
  <c r="K646" i="4"/>
  <c r="K648" i="4"/>
  <c r="K649" i="4"/>
  <c r="K650" i="4"/>
  <c r="K651" i="4"/>
  <c r="K652" i="4"/>
  <c r="K653" i="4"/>
  <c r="K107" i="4"/>
  <c r="K108" i="4"/>
  <c r="K109" i="4"/>
  <c r="K121" i="4"/>
  <c r="K122" i="4"/>
  <c r="K123" i="4"/>
  <c r="K174" i="4"/>
  <c r="K175" i="4"/>
  <c r="K272" i="4"/>
  <c r="K256" i="4"/>
  <c r="K303" i="4"/>
  <c r="K469" i="4"/>
  <c r="K545" i="4"/>
  <c r="K559" i="4"/>
  <c r="K615" i="4"/>
  <c r="K616" i="4"/>
  <c r="K9" i="4"/>
  <c r="K32" i="4"/>
  <c r="K65" i="4"/>
  <c r="K70" i="4"/>
  <c r="K92" i="4"/>
  <c r="K149" i="4"/>
  <c r="K186" i="4"/>
  <c r="K220" i="4"/>
  <c r="K187" i="4"/>
  <c r="K189" i="4"/>
  <c r="K221" i="4"/>
  <c r="K190" i="4"/>
  <c r="K247" i="4"/>
  <c r="K367" i="4"/>
  <c r="K368" i="4"/>
  <c r="K402" i="4"/>
  <c r="K427" i="4"/>
  <c r="K449" i="4"/>
  <c r="K511" i="4"/>
  <c r="K512" i="4"/>
  <c r="K513" i="4"/>
  <c r="K518" i="4"/>
  <c r="K609" i="4"/>
  <c r="K612" i="4"/>
  <c r="K645" i="4"/>
  <c r="K647" i="4"/>
  <c r="K759" i="4"/>
  <c r="K271" i="4"/>
  <c r="K328" i="4"/>
  <c r="K338" i="4"/>
  <c r="K454" i="4"/>
  <c r="K455" i="4"/>
  <c r="K530" i="4"/>
  <c r="K558" i="4"/>
  <c r="K705" i="4"/>
  <c r="K79" i="4"/>
  <c r="K127" i="4"/>
  <c r="K378" i="4"/>
  <c r="K387" i="4"/>
  <c r="K379" i="4"/>
  <c r="K712" i="4"/>
  <c r="K252" i="4"/>
  <c r="K385" i="4"/>
  <c r="K386" i="4"/>
  <c r="K411" i="4"/>
  <c r="K491" i="4"/>
  <c r="K568" i="4"/>
  <c r="K569" i="4"/>
  <c r="K604" i="4"/>
  <c r="K50" i="4"/>
  <c r="K51" i="4"/>
  <c r="K259" i="4"/>
  <c r="K260" i="4"/>
  <c r="K261" i="4"/>
  <c r="K243" i="4"/>
  <c r="K288" i="4"/>
  <c r="K289" i="4"/>
  <c r="K244" i="4"/>
  <c r="K373" i="4"/>
  <c r="K376" i="4"/>
  <c r="K390" i="4"/>
  <c r="K393" i="4"/>
  <c r="K394" i="4"/>
  <c r="K388" i="4"/>
  <c r="K546" i="4"/>
  <c r="K547" i="4"/>
  <c r="K593" i="4"/>
  <c r="K605" i="4"/>
  <c r="K685" i="4"/>
  <c r="K718" i="4"/>
  <c r="K760" i="4"/>
  <c r="K607" i="4"/>
  <c r="K608" i="4"/>
  <c r="K617" i="4"/>
  <c r="K618" i="4"/>
  <c r="K146" i="4"/>
  <c r="K147" i="4"/>
  <c r="K264" i="4"/>
  <c r="K265" i="4"/>
  <c r="K346" i="4"/>
  <c r="K435" i="4"/>
  <c r="K494" i="4"/>
  <c r="K519" i="4"/>
  <c r="K73" i="4"/>
  <c r="K80" i="4"/>
  <c r="K81" i="4"/>
  <c r="K82" i="4"/>
  <c r="K113" i="4"/>
  <c r="K126" i="4"/>
  <c r="K176" i="4"/>
  <c r="K193" i="4"/>
  <c r="K217" i="4"/>
  <c r="K218" i="4"/>
  <c r="K248" i="4"/>
  <c r="K321" i="4"/>
  <c r="K400" i="4"/>
  <c r="K438" i="4"/>
  <c r="K486" i="4"/>
  <c r="K535" i="4"/>
  <c r="K536" i="4"/>
  <c r="K544" i="4"/>
  <c r="K118" i="4"/>
  <c r="K119" i="4"/>
  <c r="K130" i="4"/>
  <c r="K177" i="4"/>
  <c r="K150" i="4"/>
  <c r="K224" i="4"/>
  <c r="K275" i="4"/>
  <c r="K276" i="4"/>
  <c r="K277" i="4"/>
  <c r="K323" i="4"/>
  <c r="K522" i="4"/>
  <c r="K537" i="4"/>
  <c r="K20" i="4"/>
  <c r="K192" i="4"/>
  <c r="K282" i="4"/>
  <c r="K324" i="4"/>
  <c r="K304" i="4"/>
  <c r="K562" i="4"/>
  <c r="K560" i="4"/>
  <c r="K52" i="4"/>
  <c r="K74" i="4"/>
  <c r="K75" i="4"/>
  <c r="K227" i="4"/>
  <c r="K228" i="4"/>
  <c r="K325" i="4"/>
  <c r="K336" i="4"/>
  <c r="K523" i="4"/>
  <c r="K541" i="4"/>
  <c r="K542" i="4"/>
  <c r="K658" i="4"/>
  <c r="K686" i="4"/>
  <c r="K752" i="4"/>
  <c r="K753" i="4"/>
  <c r="K595" i="4"/>
  <c r="K596" i="4"/>
  <c r="K25" i="4"/>
  <c r="K26" i="4"/>
  <c r="K138" i="4"/>
  <c r="K151" i="4"/>
  <c r="K257" i="4"/>
  <c r="K258" i="4"/>
  <c r="K294" i="4"/>
  <c r="K353" i="4"/>
  <c r="K354" i="4"/>
  <c r="K355" i="4"/>
  <c r="K347" i="4"/>
  <c r="K348" i="4"/>
  <c r="K349" i="4"/>
  <c r="K508" i="4"/>
  <c r="K509" i="4"/>
  <c r="K715" i="4"/>
  <c r="K746" i="4"/>
  <c r="K761" i="4"/>
  <c r="K765" i="4"/>
  <c r="K766" i="4"/>
  <c r="K33" i="4"/>
  <c r="K66" i="4"/>
  <c r="K114" i="4"/>
  <c r="K152" i="4"/>
  <c r="K230" i="4"/>
  <c r="K249" i="4"/>
  <c r="K295" i="4"/>
  <c r="K296" i="4"/>
  <c r="K297" i="4"/>
  <c r="K318" i="4"/>
  <c r="K319" i="4"/>
  <c r="K520" i="4"/>
  <c r="K543" i="4"/>
  <c r="K17" i="4"/>
  <c r="K53" i="4"/>
  <c r="K115" i="4"/>
  <c r="K182" i="4"/>
  <c r="K183" i="4"/>
  <c r="K184" i="4"/>
  <c r="K245" i="4"/>
  <c r="K315" i="4"/>
  <c r="K326" i="4"/>
  <c r="K431" i="4"/>
  <c r="K485" i="4"/>
  <c r="K492" i="4"/>
  <c r="K501" i="4"/>
  <c r="K589" i="4"/>
  <c r="K611" i="4"/>
  <c r="K619" i="4"/>
  <c r="K659" i="4"/>
  <c r="K620" i="4"/>
  <c r="K698" i="4"/>
  <c r="K710" i="4"/>
  <c r="K11" i="4"/>
  <c r="K72" i="4"/>
  <c r="K76" i="4"/>
  <c r="K97" i="4"/>
  <c r="K98" i="4"/>
  <c r="K99" i="4"/>
  <c r="K100" i="4"/>
  <c r="K101" i="4"/>
  <c r="K83" i="4"/>
  <c r="K124" i="4"/>
  <c r="K136" i="4"/>
  <c r="K203" i="4"/>
  <c r="K231" i="4"/>
  <c r="K232" i="4"/>
  <c r="K233" i="4"/>
  <c r="K234" i="4"/>
  <c r="K235" i="4"/>
  <c r="K311" i="4"/>
  <c r="K273" i="4"/>
  <c r="K380" i="4"/>
  <c r="K407" i="4"/>
  <c r="K503" i="4"/>
  <c r="K497" i="4"/>
  <c r="K525" i="4"/>
  <c r="K538" i="4"/>
  <c r="K539" i="4"/>
  <c r="K540" i="4"/>
  <c r="K548" i="4"/>
  <c r="K601" i="4"/>
  <c r="K644" i="4"/>
  <c r="K699" i="4"/>
  <c r="K27" i="4"/>
  <c r="K28" i="4"/>
  <c r="K29" i="4"/>
  <c r="K30" i="4"/>
  <c r="K163" i="4"/>
  <c r="K164" i="4"/>
  <c r="K165" i="4"/>
  <c r="K214" i="4"/>
  <c r="K166" i="4"/>
  <c r="K167" i="4"/>
  <c r="K168" i="4"/>
  <c r="K169" i="4"/>
  <c r="K170" i="4"/>
  <c r="K171" i="4"/>
  <c r="K172" i="4"/>
  <c r="K493" i="4"/>
  <c r="K504" i="4"/>
  <c r="K505" i="4"/>
  <c r="K506" i="4"/>
  <c r="K507" i="4"/>
  <c r="K517" i="4"/>
  <c r="K563" i="4"/>
  <c r="K565" i="4"/>
  <c r="K566" i="4"/>
  <c r="K621" i="4"/>
  <c r="K622" i="4"/>
  <c r="K623" i="4"/>
  <c r="K624" i="4"/>
  <c r="K625" i="4"/>
  <c r="K626" i="4"/>
  <c r="K627" i="4"/>
  <c r="K628" i="4"/>
  <c r="K629" i="4"/>
  <c r="K630" i="4"/>
  <c r="K631" i="4"/>
  <c r="AJ6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A76" i="3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C43" i="3" l="1"/>
  <c r="B43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10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A21" i="3" l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B8" i="5"/>
  <c r="A32" i="3" l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G22" i="5"/>
  <c r="AG20" i="5"/>
  <c r="AG17" i="5"/>
  <c r="AG15" i="5"/>
  <c r="AG13" i="5"/>
  <c r="AF13" i="5"/>
  <c r="AE13" i="5"/>
  <c r="M34" i="4"/>
  <c r="M35" i="4"/>
  <c r="M84" i="4"/>
  <c r="M85" i="4"/>
  <c r="M78" i="4"/>
  <c r="M103" i="4"/>
  <c r="M104" i="4"/>
  <c r="M105" i="4"/>
  <c r="M159" i="4"/>
  <c r="M225" i="4"/>
  <c r="M298" i="4"/>
  <c r="M299" i="4"/>
  <c r="M300" i="4"/>
  <c r="M301" i="4"/>
  <c r="M344" i="4"/>
  <c r="M360" i="4"/>
  <c r="M361" i="4"/>
  <c r="M350" i="4"/>
  <c r="M351" i="4"/>
  <c r="M409" i="4"/>
  <c r="M529" i="4"/>
  <c r="M577" i="4"/>
  <c r="M594" i="4"/>
  <c r="M654" i="4"/>
  <c r="M655" i="4"/>
  <c r="M687" i="4"/>
  <c r="M688" i="4"/>
  <c r="M689" i="4"/>
  <c r="M690" i="4"/>
  <c r="M691" i="4"/>
  <c r="M700" i="4"/>
  <c r="M706" i="4"/>
  <c r="M721" i="4"/>
  <c r="M60" i="4"/>
  <c r="M61" i="4"/>
  <c r="M62" i="4"/>
  <c r="M63" i="4"/>
  <c r="M87" i="4"/>
  <c r="M88" i="4"/>
  <c r="M89" i="4"/>
  <c r="M198" i="4"/>
  <c r="M219" i="4"/>
  <c r="M240" i="4"/>
  <c r="M246" i="4"/>
  <c r="M284" i="4"/>
  <c r="M285" i="4"/>
  <c r="M327" i="4"/>
  <c r="M312" i="4"/>
  <c r="M313" i="4"/>
  <c r="M370" i="4"/>
  <c r="M371" i="4"/>
  <c r="M372" i="4"/>
  <c r="M142" i="4"/>
  <c r="M160" i="4"/>
  <c r="M195" i="4"/>
  <c r="M196" i="4"/>
  <c r="M197" i="4"/>
  <c r="M515" i="4"/>
  <c r="M516" i="4"/>
  <c r="M567" i="4"/>
  <c r="M692" i="4"/>
  <c r="M719" i="4"/>
  <c r="M54" i="4"/>
  <c r="M55" i="4"/>
  <c r="M56" i="4"/>
  <c r="M57" i="4"/>
  <c r="M131" i="4"/>
  <c r="M143" i="4"/>
  <c r="M144" i="4"/>
  <c r="M145" i="4"/>
  <c r="M199" i="4"/>
  <c r="M251" i="4"/>
  <c r="M290" i="4"/>
  <c r="M352" i="4"/>
  <c r="M392" i="4"/>
  <c r="M420" i="4"/>
  <c r="M424" i="4"/>
  <c r="M425" i="4"/>
  <c r="M472" i="4"/>
  <c r="M488" i="4"/>
  <c r="M489" i="4"/>
  <c r="M490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606" i="4"/>
  <c r="M681" i="4"/>
  <c r="M701" i="4"/>
  <c r="M694" i="4"/>
  <c r="M695" i="4"/>
  <c r="M754" i="4"/>
  <c r="M755" i="4"/>
  <c r="M756" i="4"/>
  <c r="M757" i="4"/>
  <c r="M238" i="4"/>
  <c r="M239" i="4"/>
  <c r="M266" i="4"/>
  <c r="M267" i="4"/>
  <c r="M483" i="4"/>
  <c r="M549" i="4"/>
  <c r="M550" i="4"/>
  <c r="M139" i="4"/>
  <c r="M161" i="4"/>
  <c r="M253" i="4"/>
  <c r="M254" i="4"/>
  <c r="M356" i="4"/>
  <c r="M362" i="4"/>
  <c r="M363" i="4"/>
  <c r="M364" i="4"/>
  <c r="M365" i="4"/>
  <c r="M340" i="4"/>
  <c r="M391" i="4"/>
  <c r="M403" i="4"/>
  <c r="M421" i="4"/>
  <c r="M683" i="4"/>
  <c r="M707" i="4"/>
  <c r="M711" i="4"/>
  <c r="M713" i="4"/>
  <c r="M714" i="4"/>
  <c r="M720" i="4"/>
  <c r="M739" i="4"/>
  <c r="M740" i="4"/>
  <c r="M578" i="4"/>
  <c r="M579" i="4"/>
  <c r="M580" i="4"/>
  <c r="M581" i="4"/>
  <c r="M582" i="4"/>
  <c r="M110" i="4"/>
  <c r="M133" i="4"/>
  <c r="M180" i="4"/>
  <c r="M181" i="4"/>
  <c r="M204" i="4"/>
  <c r="M213" i="4"/>
  <c r="M333" i="4"/>
  <c r="M369" i="4"/>
  <c r="M708" i="4"/>
  <c r="M709" i="4"/>
  <c r="M758" i="4"/>
  <c r="M14" i="4"/>
  <c r="M22" i="4"/>
  <c r="M23" i="4"/>
  <c r="M86" i="4"/>
  <c r="M111" i="4"/>
  <c r="M125" i="4"/>
  <c r="M128" i="4"/>
  <c r="M188" i="4"/>
  <c r="M205" i="4"/>
  <c r="M215" i="4"/>
  <c r="M216" i="4"/>
  <c r="M322" i="4"/>
  <c r="M381" i="4"/>
  <c r="M398" i="4"/>
  <c r="M439" i="4"/>
  <c r="M442" i="4"/>
  <c r="M484" i="4"/>
  <c r="M495" i="4"/>
  <c r="M531" i="4"/>
  <c r="M556" i="4"/>
  <c r="M36" i="4"/>
  <c r="M37" i="4"/>
  <c r="M38" i="4"/>
  <c r="M39" i="4"/>
  <c r="M40" i="4"/>
  <c r="M137" i="4"/>
  <c r="M162" i="4"/>
  <c r="M341" i="4"/>
  <c r="M405" i="4"/>
  <c r="M410" i="4"/>
  <c r="M423" i="4"/>
  <c r="M450" i="4"/>
  <c r="M473" i="4"/>
  <c r="M474" i="4"/>
  <c r="M475" i="4"/>
  <c r="M476" i="4"/>
  <c r="M452" i="4"/>
  <c r="M453" i="4"/>
  <c r="M524" i="4"/>
  <c r="M591" i="4"/>
  <c r="M592" i="4"/>
  <c r="M613" i="4"/>
  <c r="M614" i="4"/>
  <c r="M682" i="4"/>
  <c r="M702" i="4"/>
  <c r="M696" i="4"/>
  <c r="M748" i="4"/>
  <c r="M749" i="4"/>
  <c r="M15" i="4"/>
  <c r="M129" i="4"/>
  <c r="M305" i="4"/>
  <c r="M317" i="4"/>
  <c r="M382" i="4"/>
  <c r="M389" i="4"/>
  <c r="M399" i="4"/>
  <c r="M414" i="4"/>
  <c r="M415" i="4"/>
  <c r="M416" i="4"/>
  <c r="M417" i="4"/>
  <c r="M428" i="4"/>
  <c r="M12" i="4"/>
  <c r="M41" i="4"/>
  <c r="M42" i="4"/>
  <c r="M278" i="4"/>
  <c r="M279" i="4"/>
  <c r="M330" i="4"/>
  <c r="M477" i="4"/>
  <c r="M478" i="4"/>
  <c r="M583" i="4"/>
  <c r="M763" i="4"/>
  <c r="M764" i="4"/>
  <c r="M4" i="4"/>
  <c r="M5" i="4"/>
  <c r="M6" i="4"/>
  <c r="M7" i="4"/>
  <c r="M8" i="4"/>
  <c r="M112" i="4"/>
  <c r="M286" i="4"/>
  <c r="M287" i="4"/>
  <c r="M331" i="4"/>
  <c r="M332" i="4"/>
  <c r="M422" i="4"/>
  <c r="M521" i="4"/>
  <c r="M532" i="4"/>
  <c r="M533" i="4"/>
  <c r="M684" i="4"/>
  <c r="M43" i="4"/>
  <c r="M44" i="4"/>
  <c r="M206" i="4"/>
  <c r="M262" i="4"/>
  <c r="M274" i="4"/>
  <c r="M250" i="4"/>
  <c r="M366" i="4"/>
  <c r="M357" i="4"/>
  <c r="M510" i="4"/>
  <c r="M585" i="4"/>
  <c r="M586" i="4"/>
  <c r="M587" i="4"/>
  <c r="M588" i="4"/>
  <c r="M722" i="4"/>
  <c r="M747" i="4"/>
  <c r="M45" i="4"/>
  <c r="M46" i="4"/>
  <c r="M47" i="4"/>
  <c r="M132" i="4"/>
  <c r="M306" i="4"/>
  <c r="M316" i="4"/>
  <c r="M337" i="4"/>
  <c r="M342" i="4"/>
  <c r="M383" i="4"/>
  <c r="M384" i="4"/>
  <c r="M377" i="4"/>
  <c r="M334" i="4"/>
  <c r="M335" i="4"/>
  <c r="M703" i="4"/>
  <c r="M704" i="4"/>
  <c r="M741" i="4"/>
  <c r="M742" i="4"/>
  <c r="M743" i="4"/>
  <c r="M744" i="4"/>
  <c r="M745" i="4"/>
  <c r="M751" i="4"/>
  <c r="M16" i="4"/>
  <c r="M48" i="4"/>
  <c r="M67" i="4"/>
  <c r="M116" i="4"/>
  <c r="M404" i="4"/>
  <c r="M441" i="4"/>
  <c r="M443" i="4"/>
  <c r="M487" i="4"/>
  <c r="M496" i="4"/>
  <c r="M500" i="4"/>
  <c r="M561" i="4"/>
  <c r="M24" i="4"/>
  <c r="M90" i="4"/>
  <c r="M91" i="4"/>
  <c r="M314" i="4"/>
  <c r="M408" i="4"/>
  <c r="M419" i="4"/>
  <c r="M551" i="4"/>
  <c r="M602" i="4"/>
  <c r="M603" i="4"/>
  <c r="M642" i="4"/>
  <c r="M660" i="4"/>
  <c r="M64" i="4"/>
  <c r="M117" i="4"/>
  <c r="M140" i="4"/>
  <c r="M141" i="4"/>
  <c r="M212" i="4"/>
  <c r="M185" i="4"/>
  <c r="M302" i="4"/>
  <c r="M345" i="4"/>
  <c r="M339" i="4"/>
  <c r="M429" i="4"/>
  <c r="M498" i="4"/>
  <c r="M557" i="4"/>
  <c r="M570" i="4"/>
  <c r="M571" i="4"/>
  <c r="M572" i="4"/>
  <c r="M573" i="4"/>
  <c r="M574" i="4"/>
  <c r="M575" i="4"/>
  <c r="M576" i="4"/>
  <c r="M49" i="4"/>
  <c r="M59" i="4"/>
  <c r="M68" i="4"/>
  <c r="M69" i="4"/>
  <c r="M102" i="4"/>
  <c r="M178" i="4"/>
  <c r="M179" i="4"/>
  <c r="M200" i="4"/>
  <c r="M201" i="4"/>
  <c r="M202" i="4"/>
  <c r="M255" i="4"/>
  <c r="M329" i="4"/>
  <c r="M534" i="4"/>
  <c r="M643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50" i="4"/>
  <c r="M21" i="4"/>
  <c r="M31" i="4"/>
  <c r="M263" i="4"/>
  <c r="M307" i="4"/>
  <c r="M308" i="4"/>
  <c r="M309" i="4"/>
  <c r="M310" i="4"/>
  <c r="M320" i="4"/>
  <c r="M71" i="4"/>
  <c r="M106" i="4"/>
  <c r="M148" i="4"/>
  <c r="M207" i="4"/>
  <c r="M208" i="4"/>
  <c r="M280" i="4"/>
  <c r="M281" i="4"/>
  <c r="M397" i="4"/>
  <c r="M406" i="4"/>
  <c r="M437" i="4"/>
  <c r="M479" i="4"/>
  <c r="M480" i="4"/>
  <c r="M481" i="4"/>
  <c r="M482" i="4"/>
  <c r="M564" i="4"/>
  <c r="M656" i="4"/>
  <c r="M18" i="4"/>
  <c r="M19" i="4"/>
  <c r="M95" i="4"/>
  <c r="M96" i="4"/>
  <c r="M134" i="4"/>
  <c r="M135" i="4"/>
  <c r="M153" i="4"/>
  <c r="M194" i="4"/>
  <c r="M209" i="4"/>
  <c r="M211" i="4"/>
  <c r="M222" i="4"/>
  <c r="M223" i="4"/>
  <c r="M210" i="4"/>
  <c r="M241" i="4"/>
  <c r="M242" i="4"/>
  <c r="M268" i="4"/>
  <c r="M269" i="4"/>
  <c r="M270" i="4"/>
  <c r="M291" i="4"/>
  <c r="M292" i="4"/>
  <c r="M293" i="4"/>
  <c r="M343" i="4"/>
  <c r="M436" i="4"/>
  <c r="M440" i="4"/>
  <c r="M444" i="4"/>
  <c r="M445" i="4"/>
  <c r="M446" i="4"/>
  <c r="M447" i="4"/>
  <c r="M448" i="4"/>
  <c r="M502" i="4"/>
  <c r="M526" i="4"/>
  <c r="M527" i="4"/>
  <c r="M528" i="4"/>
  <c r="M552" i="4"/>
  <c r="M553" i="4"/>
  <c r="M554" i="4"/>
  <c r="M555" i="4"/>
  <c r="M584" i="4"/>
  <c r="M598" i="4"/>
  <c r="M597" i="4"/>
  <c r="M646" i="4"/>
  <c r="M648" i="4"/>
  <c r="M649" i="4"/>
  <c r="M650" i="4"/>
  <c r="M651" i="4"/>
  <c r="M652" i="4"/>
  <c r="M653" i="4"/>
  <c r="M107" i="4"/>
  <c r="M108" i="4"/>
  <c r="M109" i="4"/>
  <c r="M121" i="4"/>
  <c r="M122" i="4"/>
  <c r="M123" i="4"/>
  <c r="M174" i="4"/>
  <c r="M175" i="4"/>
  <c r="M272" i="4"/>
  <c r="M256" i="4"/>
  <c r="M303" i="4"/>
  <c r="M469" i="4"/>
  <c r="M545" i="4"/>
  <c r="M559" i="4"/>
  <c r="M615" i="4"/>
  <c r="M616" i="4"/>
  <c r="M9" i="4"/>
  <c r="M32" i="4"/>
  <c r="M65" i="4"/>
  <c r="M70" i="4"/>
  <c r="M92" i="4"/>
  <c r="M149" i="4"/>
  <c r="M186" i="4"/>
  <c r="M220" i="4"/>
  <c r="M187" i="4"/>
  <c r="M189" i="4"/>
  <c r="M221" i="4"/>
  <c r="M190" i="4"/>
  <c r="M247" i="4"/>
  <c r="M367" i="4"/>
  <c r="M368" i="4"/>
  <c r="M402" i="4"/>
  <c r="M427" i="4"/>
  <c r="M449" i="4"/>
  <c r="M511" i="4"/>
  <c r="M512" i="4"/>
  <c r="M513" i="4"/>
  <c r="M518" i="4"/>
  <c r="M609" i="4"/>
  <c r="M612" i="4"/>
  <c r="M645" i="4"/>
  <c r="M647" i="4"/>
  <c r="M759" i="4"/>
  <c r="M271" i="4"/>
  <c r="M328" i="4"/>
  <c r="M338" i="4"/>
  <c r="M454" i="4"/>
  <c r="M455" i="4"/>
  <c r="M530" i="4"/>
  <c r="M558" i="4"/>
  <c r="M705" i="4"/>
  <c r="M79" i="4"/>
  <c r="M127" i="4"/>
  <c r="M378" i="4"/>
  <c r="M387" i="4"/>
  <c r="M379" i="4"/>
  <c r="M712" i="4"/>
  <c r="M252" i="4"/>
  <c r="M385" i="4"/>
  <c r="M386" i="4"/>
  <c r="M411" i="4"/>
  <c r="M491" i="4"/>
  <c r="M568" i="4"/>
  <c r="M569" i="4"/>
  <c r="M604" i="4"/>
  <c r="M50" i="4"/>
  <c r="M51" i="4"/>
  <c r="M259" i="4"/>
  <c r="M260" i="4"/>
  <c r="M261" i="4"/>
  <c r="M243" i="4"/>
  <c r="M288" i="4"/>
  <c r="M289" i="4"/>
  <c r="M244" i="4"/>
  <c r="M373" i="4"/>
  <c r="M376" i="4"/>
  <c r="M390" i="4"/>
  <c r="M393" i="4"/>
  <c r="M394" i="4"/>
  <c r="M388" i="4"/>
  <c r="M546" i="4"/>
  <c r="M547" i="4"/>
  <c r="M593" i="4"/>
  <c r="M605" i="4"/>
  <c r="M685" i="4"/>
  <c r="M718" i="4"/>
  <c r="M760" i="4"/>
  <c r="M607" i="4"/>
  <c r="M608" i="4"/>
  <c r="M617" i="4"/>
  <c r="M618" i="4"/>
  <c r="M146" i="4"/>
  <c r="M147" i="4"/>
  <c r="M264" i="4"/>
  <c r="M265" i="4"/>
  <c r="M346" i="4"/>
  <c r="M435" i="4"/>
  <c r="M494" i="4"/>
  <c r="M519" i="4"/>
  <c r="M73" i="4"/>
  <c r="M80" i="4"/>
  <c r="M81" i="4"/>
  <c r="M82" i="4"/>
  <c r="M113" i="4"/>
  <c r="M126" i="4"/>
  <c r="M176" i="4"/>
  <c r="M193" i="4"/>
  <c r="M217" i="4"/>
  <c r="M218" i="4"/>
  <c r="M248" i="4"/>
  <c r="M321" i="4"/>
  <c r="M400" i="4"/>
  <c r="M438" i="4"/>
  <c r="M486" i="4"/>
  <c r="M535" i="4"/>
  <c r="M536" i="4"/>
  <c r="M544" i="4"/>
  <c r="M118" i="4"/>
  <c r="M119" i="4"/>
  <c r="M130" i="4"/>
  <c r="M177" i="4"/>
  <c r="M150" i="4"/>
  <c r="M224" i="4"/>
  <c r="M275" i="4"/>
  <c r="M276" i="4"/>
  <c r="M277" i="4"/>
  <c r="M323" i="4"/>
  <c r="M522" i="4"/>
  <c r="M537" i="4"/>
  <c r="M20" i="4"/>
  <c r="M192" i="4"/>
  <c r="M282" i="4"/>
  <c r="M324" i="4"/>
  <c r="M304" i="4"/>
  <c r="M562" i="4"/>
  <c r="M560" i="4"/>
  <c r="M52" i="4"/>
  <c r="M74" i="4"/>
  <c r="M75" i="4"/>
  <c r="M227" i="4"/>
  <c r="M228" i="4"/>
  <c r="M325" i="4"/>
  <c r="M336" i="4"/>
  <c r="M523" i="4"/>
  <c r="M541" i="4"/>
  <c r="M542" i="4"/>
  <c r="M658" i="4"/>
  <c r="M686" i="4"/>
  <c r="M752" i="4"/>
  <c r="M753" i="4"/>
  <c r="M595" i="4"/>
  <c r="M596" i="4"/>
  <c r="M25" i="4"/>
  <c r="M26" i="4"/>
  <c r="M138" i="4"/>
  <c r="M151" i="4"/>
  <c r="M257" i="4"/>
  <c r="M258" i="4"/>
  <c r="M294" i="4"/>
  <c r="M353" i="4"/>
  <c r="M354" i="4"/>
  <c r="M355" i="4"/>
  <c r="M347" i="4"/>
  <c r="M348" i="4"/>
  <c r="M349" i="4"/>
  <c r="M508" i="4"/>
  <c r="M509" i="4"/>
  <c r="M715" i="4"/>
  <c r="M746" i="4"/>
  <c r="M761" i="4"/>
  <c r="M765" i="4"/>
  <c r="M766" i="4"/>
  <c r="M33" i="4"/>
  <c r="M66" i="4"/>
  <c r="M114" i="4"/>
  <c r="M152" i="4"/>
  <c r="M230" i="4"/>
  <c r="M249" i="4"/>
  <c r="M295" i="4"/>
  <c r="M296" i="4"/>
  <c r="M297" i="4"/>
  <c r="M318" i="4"/>
  <c r="M319" i="4"/>
  <c r="M520" i="4"/>
  <c r="M543" i="4"/>
  <c r="M17" i="4"/>
  <c r="M53" i="4"/>
  <c r="M115" i="4"/>
  <c r="M182" i="4"/>
  <c r="M183" i="4"/>
  <c r="M184" i="4"/>
  <c r="M245" i="4"/>
  <c r="M315" i="4"/>
  <c r="M326" i="4"/>
  <c r="M431" i="4"/>
  <c r="M485" i="4"/>
  <c r="M492" i="4"/>
  <c r="M501" i="4"/>
  <c r="M589" i="4"/>
  <c r="M611" i="4"/>
  <c r="M619" i="4"/>
  <c r="M659" i="4"/>
  <c r="M620" i="4"/>
  <c r="M698" i="4"/>
  <c r="M710" i="4"/>
  <c r="M11" i="4"/>
  <c r="M72" i="4"/>
  <c r="M76" i="4"/>
  <c r="M97" i="4"/>
  <c r="M98" i="4"/>
  <c r="M99" i="4"/>
  <c r="M100" i="4"/>
  <c r="M101" i="4"/>
  <c r="M83" i="4"/>
  <c r="M124" i="4"/>
  <c r="M136" i="4"/>
  <c r="M203" i="4"/>
  <c r="M231" i="4"/>
  <c r="M232" i="4"/>
  <c r="M233" i="4"/>
  <c r="M234" i="4"/>
  <c r="M235" i="4"/>
  <c r="M311" i="4"/>
  <c r="M273" i="4"/>
  <c r="M380" i="4"/>
  <c r="M407" i="4"/>
  <c r="M503" i="4"/>
  <c r="M497" i="4"/>
  <c r="M525" i="4"/>
  <c r="M538" i="4"/>
  <c r="M539" i="4"/>
  <c r="M540" i="4"/>
  <c r="M548" i="4"/>
  <c r="M601" i="4"/>
  <c r="M644" i="4"/>
  <c r="M699" i="4"/>
  <c r="M27" i="4"/>
  <c r="M28" i="4"/>
  <c r="M29" i="4"/>
  <c r="M30" i="4"/>
  <c r="M163" i="4"/>
  <c r="M164" i="4"/>
  <c r="M165" i="4"/>
  <c r="M214" i="4"/>
  <c r="M166" i="4"/>
  <c r="M167" i="4"/>
  <c r="M168" i="4"/>
  <c r="M169" i="4"/>
  <c r="M170" i="4"/>
  <c r="M171" i="4"/>
  <c r="M172" i="4"/>
  <c r="M493" i="4"/>
  <c r="M504" i="4"/>
  <c r="M505" i="4"/>
  <c r="M506" i="4"/>
  <c r="M507" i="4"/>
  <c r="M517" i="4"/>
  <c r="M563" i="4"/>
  <c r="M565" i="4"/>
  <c r="M566" i="4"/>
  <c r="M621" i="4"/>
  <c r="M622" i="4"/>
  <c r="M623" i="4"/>
  <c r="M624" i="4"/>
  <c r="M625" i="4"/>
  <c r="M626" i="4"/>
  <c r="M627" i="4"/>
  <c r="M628" i="4"/>
  <c r="M629" i="4"/>
  <c r="M630" i="4"/>
  <c r="M631" i="4"/>
  <c r="L34" i="4"/>
  <c r="L35" i="4"/>
  <c r="L84" i="4"/>
  <c r="L85" i="4"/>
  <c r="L78" i="4"/>
  <c r="L103" i="4"/>
  <c r="L104" i="4"/>
  <c r="L105" i="4"/>
  <c r="L159" i="4"/>
  <c r="L225" i="4"/>
  <c r="L298" i="4"/>
  <c r="L299" i="4"/>
  <c r="L300" i="4"/>
  <c r="L301" i="4"/>
  <c r="L344" i="4"/>
  <c r="L360" i="4"/>
  <c r="L361" i="4"/>
  <c r="L350" i="4"/>
  <c r="L351" i="4"/>
  <c r="L409" i="4"/>
  <c r="L529" i="4"/>
  <c r="L577" i="4"/>
  <c r="L594" i="4"/>
  <c r="L654" i="4"/>
  <c r="L655" i="4"/>
  <c r="L687" i="4"/>
  <c r="L688" i="4"/>
  <c r="L689" i="4"/>
  <c r="L690" i="4"/>
  <c r="L691" i="4"/>
  <c r="L700" i="4"/>
  <c r="L706" i="4"/>
  <c r="L721" i="4"/>
  <c r="L60" i="4"/>
  <c r="L61" i="4"/>
  <c r="L62" i="4"/>
  <c r="L63" i="4"/>
  <c r="L87" i="4"/>
  <c r="L88" i="4"/>
  <c r="L89" i="4"/>
  <c r="L198" i="4"/>
  <c r="L219" i="4"/>
  <c r="L240" i="4"/>
  <c r="L246" i="4"/>
  <c r="L284" i="4"/>
  <c r="L285" i="4"/>
  <c r="L327" i="4"/>
  <c r="L312" i="4"/>
  <c r="L313" i="4"/>
  <c r="L370" i="4"/>
  <c r="L371" i="4"/>
  <c r="L372" i="4"/>
  <c r="L142" i="4"/>
  <c r="L160" i="4"/>
  <c r="L195" i="4"/>
  <c r="L196" i="4"/>
  <c r="L197" i="4"/>
  <c r="L515" i="4"/>
  <c r="L516" i="4"/>
  <c r="L567" i="4"/>
  <c r="L692" i="4"/>
  <c r="L719" i="4"/>
  <c r="L54" i="4"/>
  <c r="L55" i="4"/>
  <c r="L56" i="4"/>
  <c r="L57" i="4"/>
  <c r="L131" i="4"/>
  <c r="L143" i="4"/>
  <c r="L144" i="4"/>
  <c r="L145" i="4"/>
  <c r="L199" i="4"/>
  <c r="L251" i="4"/>
  <c r="L290" i="4"/>
  <c r="L352" i="4"/>
  <c r="L392" i="4"/>
  <c r="L420" i="4"/>
  <c r="L424" i="4"/>
  <c r="L425" i="4"/>
  <c r="L472" i="4"/>
  <c r="L488" i="4"/>
  <c r="L489" i="4"/>
  <c r="L490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606" i="4"/>
  <c r="L681" i="4"/>
  <c r="L701" i="4"/>
  <c r="L694" i="4"/>
  <c r="L695" i="4"/>
  <c r="L754" i="4"/>
  <c r="L755" i="4"/>
  <c r="L756" i="4"/>
  <c r="L757" i="4"/>
  <c r="L238" i="4"/>
  <c r="L239" i="4"/>
  <c r="L266" i="4"/>
  <c r="L267" i="4"/>
  <c r="L483" i="4"/>
  <c r="L549" i="4"/>
  <c r="L550" i="4"/>
  <c r="L139" i="4"/>
  <c r="L161" i="4"/>
  <c r="L253" i="4"/>
  <c r="L254" i="4"/>
  <c r="L356" i="4"/>
  <c r="L362" i="4"/>
  <c r="L363" i="4"/>
  <c r="L364" i="4"/>
  <c r="L365" i="4"/>
  <c r="L340" i="4"/>
  <c r="L391" i="4"/>
  <c r="L403" i="4"/>
  <c r="L421" i="4"/>
  <c r="L683" i="4"/>
  <c r="L707" i="4"/>
  <c r="L711" i="4"/>
  <c r="L713" i="4"/>
  <c r="L714" i="4"/>
  <c r="L720" i="4"/>
  <c r="L739" i="4"/>
  <c r="L740" i="4"/>
  <c r="L578" i="4"/>
  <c r="L579" i="4"/>
  <c r="L580" i="4"/>
  <c r="L581" i="4"/>
  <c r="L582" i="4"/>
  <c r="L110" i="4"/>
  <c r="L133" i="4"/>
  <c r="L180" i="4"/>
  <c r="L181" i="4"/>
  <c r="L204" i="4"/>
  <c r="L213" i="4"/>
  <c r="L333" i="4"/>
  <c r="L369" i="4"/>
  <c r="L708" i="4"/>
  <c r="L709" i="4"/>
  <c r="L758" i="4"/>
  <c r="L14" i="4"/>
  <c r="L22" i="4"/>
  <c r="L23" i="4"/>
  <c r="L86" i="4"/>
  <c r="L111" i="4"/>
  <c r="L125" i="4"/>
  <c r="L128" i="4"/>
  <c r="L188" i="4"/>
  <c r="L205" i="4"/>
  <c r="L215" i="4"/>
  <c r="L216" i="4"/>
  <c r="L322" i="4"/>
  <c r="L381" i="4"/>
  <c r="L398" i="4"/>
  <c r="L439" i="4"/>
  <c r="L442" i="4"/>
  <c r="L484" i="4"/>
  <c r="L495" i="4"/>
  <c r="L531" i="4"/>
  <c r="L556" i="4"/>
  <c r="L36" i="4"/>
  <c r="L37" i="4"/>
  <c r="L38" i="4"/>
  <c r="L39" i="4"/>
  <c r="L40" i="4"/>
  <c r="L137" i="4"/>
  <c r="L162" i="4"/>
  <c r="L341" i="4"/>
  <c r="L405" i="4"/>
  <c r="L410" i="4"/>
  <c r="L423" i="4"/>
  <c r="L450" i="4"/>
  <c r="L473" i="4"/>
  <c r="L474" i="4"/>
  <c r="L475" i="4"/>
  <c r="L476" i="4"/>
  <c r="L452" i="4"/>
  <c r="L453" i="4"/>
  <c r="L524" i="4"/>
  <c r="L591" i="4"/>
  <c r="L592" i="4"/>
  <c r="L613" i="4"/>
  <c r="L614" i="4"/>
  <c r="L682" i="4"/>
  <c r="L702" i="4"/>
  <c r="L696" i="4"/>
  <c r="L748" i="4"/>
  <c r="L749" i="4"/>
  <c r="L15" i="4"/>
  <c r="L129" i="4"/>
  <c r="L305" i="4"/>
  <c r="L317" i="4"/>
  <c r="L382" i="4"/>
  <c r="L389" i="4"/>
  <c r="L399" i="4"/>
  <c r="L414" i="4"/>
  <c r="L415" i="4"/>
  <c r="L416" i="4"/>
  <c r="L417" i="4"/>
  <c r="L428" i="4"/>
  <c r="L12" i="4"/>
  <c r="L41" i="4"/>
  <c r="L42" i="4"/>
  <c r="L278" i="4"/>
  <c r="L279" i="4"/>
  <c r="L330" i="4"/>
  <c r="L477" i="4"/>
  <c r="L478" i="4"/>
  <c r="L583" i="4"/>
  <c r="L763" i="4"/>
  <c r="L764" i="4"/>
  <c r="L4" i="4"/>
  <c r="L5" i="4"/>
  <c r="L6" i="4"/>
  <c r="L7" i="4"/>
  <c r="L8" i="4"/>
  <c r="L112" i="4"/>
  <c r="L286" i="4"/>
  <c r="L287" i="4"/>
  <c r="L331" i="4"/>
  <c r="L332" i="4"/>
  <c r="L422" i="4"/>
  <c r="L521" i="4"/>
  <c r="L532" i="4"/>
  <c r="L533" i="4"/>
  <c r="L684" i="4"/>
  <c r="L43" i="4"/>
  <c r="L44" i="4"/>
  <c r="L206" i="4"/>
  <c r="L262" i="4"/>
  <c r="L274" i="4"/>
  <c r="L250" i="4"/>
  <c r="L366" i="4"/>
  <c r="L357" i="4"/>
  <c r="L510" i="4"/>
  <c r="L585" i="4"/>
  <c r="L586" i="4"/>
  <c r="L587" i="4"/>
  <c r="L588" i="4"/>
  <c r="L722" i="4"/>
  <c r="L747" i="4"/>
  <c r="L45" i="4"/>
  <c r="L46" i="4"/>
  <c r="L47" i="4"/>
  <c r="L132" i="4"/>
  <c r="L306" i="4"/>
  <c r="L316" i="4"/>
  <c r="L337" i="4"/>
  <c r="L342" i="4"/>
  <c r="L383" i="4"/>
  <c r="L384" i="4"/>
  <c r="L377" i="4"/>
  <c r="L334" i="4"/>
  <c r="L335" i="4"/>
  <c r="L703" i="4"/>
  <c r="L704" i="4"/>
  <c r="L741" i="4"/>
  <c r="L742" i="4"/>
  <c r="L743" i="4"/>
  <c r="L744" i="4"/>
  <c r="L745" i="4"/>
  <c r="L751" i="4"/>
  <c r="L16" i="4"/>
  <c r="L48" i="4"/>
  <c r="L67" i="4"/>
  <c r="L116" i="4"/>
  <c r="L404" i="4"/>
  <c r="L441" i="4"/>
  <c r="L443" i="4"/>
  <c r="L487" i="4"/>
  <c r="L496" i="4"/>
  <c r="L500" i="4"/>
  <c r="L561" i="4"/>
  <c r="L24" i="4"/>
  <c r="L90" i="4"/>
  <c r="L91" i="4"/>
  <c r="L314" i="4"/>
  <c r="L408" i="4"/>
  <c r="L419" i="4"/>
  <c r="L551" i="4"/>
  <c r="L602" i="4"/>
  <c r="L603" i="4"/>
  <c r="L642" i="4"/>
  <c r="L660" i="4"/>
  <c r="L64" i="4"/>
  <c r="L117" i="4"/>
  <c r="L140" i="4"/>
  <c r="L141" i="4"/>
  <c r="L212" i="4"/>
  <c r="L185" i="4"/>
  <c r="L302" i="4"/>
  <c r="L345" i="4"/>
  <c r="L339" i="4"/>
  <c r="L429" i="4"/>
  <c r="L498" i="4"/>
  <c r="L557" i="4"/>
  <c r="L570" i="4"/>
  <c r="L571" i="4"/>
  <c r="L572" i="4"/>
  <c r="L573" i="4"/>
  <c r="L574" i="4"/>
  <c r="L575" i="4"/>
  <c r="L576" i="4"/>
  <c r="L49" i="4"/>
  <c r="L59" i="4"/>
  <c r="L68" i="4"/>
  <c r="L69" i="4"/>
  <c r="L102" i="4"/>
  <c r="L178" i="4"/>
  <c r="L179" i="4"/>
  <c r="L200" i="4"/>
  <c r="L201" i="4"/>
  <c r="L202" i="4"/>
  <c r="L255" i="4"/>
  <c r="L329" i="4"/>
  <c r="L534" i="4"/>
  <c r="L643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50" i="4"/>
  <c r="L21" i="4"/>
  <c r="L31" i="4"/>
  <c r="L263" i="4"/>
  <c r="L307" i="4"/>
  <c r="L308" i="4"/>
  <c r="L309" i="4"/>
  <c r="L310" i="4"/>
  <c r="L320" i="4"/>
  <c r="L71" i="4"/>
  <c r="L106" i="4"/>
  <c r="L148" i="4"/>
  <c r="L207" i="4"/>
  <c r="L208" i="4"/>
  <c r="L280" i="4"/>
  <c r="L281" i="4"/>
  <c r="L397" i="4"/>
  <c r="L406" i="4"/>
  <c r="L437" i="4"/>
  <c r="L479" i="4"/>
  <c r="L480" i="4"/>
  <c r="L481" i="4"/>
  <c r="L482" i="4"/>
  <c r="L564" i="4"/>
  <c r="L656" i="4"/>
  <c r="L18" i="4"/>
  <c r="L19" i="4"/>
  <c r="L95" i="4"/>
  <c r="L96" i="4"/>
  <c r="L134" i="4"/>
  <c r="L135" i="4"/>
  <c r="L153" i="4"/>
  <c r="L194" i="4"/>
  <c r="L209" i="4"/>
  <c r="L211" i="4"/>
  <c r="L222" i="4"/>
  <c r="L223" i="4"/>
  <c r="L210" i="4"/>
  <c r="L241" i="4"/>
  <c r="L242" i="4"/>
  <c r="L268" i="4"/>
  <c r="L269" i="4"/>
  <c r="L270" i="4"/>
  <c r="L291" i="4"/>
  <c r="L292" i="4"/>
  <c r="L293" i="4"/>
  <c r="L343" i="4"/>
  <c r="L436" i="4"/>
  <c r="L440" i="4"/>
  <c r="L444" i="4"/>
  <c r="L445" i="4"/>
  <c r="L446" i="4"/>
  <c r="L447" i="4"/>
  <c r="L448" i="4"/>
  <c r="L502" i="4"/>
  <c r="L526" i="4"/>
  <c r="L527" i="4"/>
  <c r="L528" i="4"/>
  <c r="L552" i="4"/>
  <c r="L553" i="4"/>
  <c r="L554" i="4"/>
  <c r="L555" i="4"/>
  <c r="L584" i="4"/>
  <c r="L598" i="4"/>
  <c r="L597" i="4"/>
  <c r="L646" i="4"/>
  <c r="L648" i="4"/>
  <c r="L649" i="4"/>
  <c r="L650" i="4"/>
  <c r="L651" i="4"/>
  <c r="L652" i="4"/>
  <c r="L653" i="4"/>
  <c r="L107" i="4"/>
  <c r="L108" i="4"/>
  <c r="L109" i="4"/>
  <c r="L121" i="4"/>
  <c r="L122" i="4"/>
  <c r="L123" i="4"/>
  <c r="L174" i="4"/>
  <c r="L175" i="4"/>
  <c r="L272" i="4"/>
  <c r="L256" i="4"/>
  <c r="L303" i="4"/>
  <c r="L469" i="4"/>
  <c r="L545" i="4"/>
  <c r="L559" i="4"/>
  <c r="L615" i="4"/>
  <c r="L616" i="4"/>
  <c r="L9" i="4"/>
  <c r="L32" i="4"/>
  <c r="L65" i="4"/>
  <c r="L70" i="4"/>
  <c r="L92" i="4"/>
  <c r="L149" i="4"/>
  <c r="L186" i="4"/>
  <c r="L220" i="4"/>
  <c r="L187" i="4"/>
  <c r="L189" i="4"/>
  <c r="L221" i="4"/>
  <c r="L190" i="4"/>
  <c r="L247" i="4"/>
  <c r="L367" i="4"/>
  <c r="L368" i="4"/>
  <c r="L402" i="4"/>
  <c r="L427" i="4"/>
  <c r="L449" i="4"/>
  <c r="L511" i="4"/>
  <c r="L512" i="4"/>
  <c r="L513" i="4"/>
  <c r="L518" i="4"/>
  <c r="L609" i="4"/>
  <c r="L612" i="4"/>
  <c r="L645" i="4"/>
  <c r="L647" i="4"/>
  <c r="L759" i="4"/>
  <c r="L271" i="4"/>
  <c r="L328" i="4"/>
  <c r="L338" i="4"/>
  <c r="L454" i="4"/>
  <c r="L455" i="4"/>
  <c r="L530" i="4"/>
  <c r="L558" i="4"/>
  <c r="L705" i="4"/>
  <c r="L79" i="4"/>
  <c r="L127" i="4"/>
  <c r="L378" i="4"/>
  <c r="L387" i="4"/>
  <c r="L379" i="4"/>
  <c r="L712" i="4"/>
  <c r="L252" i="4"/>
  <c r="L385" i="4"/>
  <c r="L386" i="4"/>
  <c r="L411" i="4"/>
  <c r="L491" i="4"/>
  <c r="L568" i="4"/>
  <c r="L569" i="4"/>
  <c r="L604" i="4"/>
  <c r="L50" i="4"/>
  <c r="L51" i="4"/>
  <c r="L259" i="4"/>
  <c r="L260" i="4"/>
  <c r="L261" i="4"/>
  <c r="L243" i="4"/>
  <c r="L288" i="4"/>
  <c r="L289" i="4"/>
  <c r="L244" i="4"/>
  <c r="L373" i="4"/>
  <c r="L376" i="4"/>
  <c r="L390" i="4"/>
  <c r="L393" i="4"/>
  <c r="L394" i="4"/>
  <c r="L388" i="4"/>
  <c r="L546" i="4"/>
  <c r="L547" i="4"/>
  <c r="L593" i="4"/>
  <c r="L605" i="4"/>
  <c r="L685" i="4"/>
  <c r="L718" i="4"/>
  <c r="L760" i="4"/>
  <c r="L607" i="4"/>
  <c r="L608" i="4"/>
  <c r="L617" i="4"/>
  <c r="L618" i="4"/>
  <c r="L146" i="4"/>
  <c r="L147" i="4"/>
  <c r="L264" i="4"/>
  <c r="L265" i="4"/>
  <c r="L346" i="4"/>
  <c r="L435" i="4"/>
  <c r="L494" i="4"/>
  <c r="L519" i="4"/>
  <c r="L73" i="4"/>
  <c r="L80" i="4"/>
  <c r="L81" i="4"/>
  <c r="L82" i="4"/>
  <c r="L113" i="4"/>
  <c r="L126" i="4"/>
  <c r="L176" i="4"/>
  <c r="L193" i="4"/>
  <c r="L217" i="4"/>
  <c r="L218" i="4"/>
  <c r="L248" i="4"/>
  <c r="L321" i="4"/>
  <c r="L400" i="4"/>
  <c r="L438" i="4"/>
  <c r="L486" i="4"/>
  <c r="L535" i="4"/>
  <c r="L536" i="4"/>
  <c r="L544" i="4"/>
  <c r="L118" i="4"/>
  <c r="L119" i="4"/>
  <c r="L130" i="4"/>
  <c r="L177" i="4"/>
  <c r="L150" i="4"/>
  <c r="L224" i="4"/>
  <c r="L275" i="4"/>
  <c r="L276" i="4"/>
  <c r="L277" i="4"/>
  <c r="L323" i="4"/>
  <c r="L522" i="4"/>
  <c r="L537" i="4"/>
  <c r="L20" i="4"/>
  <c r="L192" i="4"/>
  <c r="L282" i="4"/>
  <c r="L324" i="4"/>
  <c r="L304" i="4"/>
  <c r="L562" i="4"/>
  <c r="L560" i="4"/>
  <c r="L52" i="4"/>
  <c r="L74" i="4"/>
  <c r="L75" i="4"/>
  <c r="L227" i="4"/>
  <c r="L228" i="4"/>
  <c r="L325" i="4"/>
  <c r="L336" i="4"/>
  <c r="L523" i="4"/>
  <c r="L541" i="4"/>
  <c r="L542" i="4"/>
  <c r="L658" i="4"/>
  <c r="L686" i="4"/>
  <c r="L752" i="4"/>
  <c r="L753" i="4"/>
  <c r="L595" i="4"/>
  <c r="L596" i="4"/>
  <c r="L25" i="4"/>
  <c r="L26" i="4"/>
  <c r="L138" i="4"/>
  <c r="L151" i="4"/>
  <c r="L257" i="4"/>
  <c r="L258" i="4"/>
  <c r="L294" i="4"/>
  <c r="L353" i="4"/>
  <c r="L354" i="4"/>
  <c r="L355" i="4"/>
  <c r="L347" i="4"/>
  <c r="L348" i="4"/>
  <c r="L349" i="4"/>
  <c r="L508" i="4"/>
  <c r="L509" i="4"/>
  <c r="L715" i="4"/>
  <c r="L746" i="4"/>
  <c r="L761" i="4"/>
  <c r="L765" i="4"/>
  <c r="L766" i="4"/>
  <c r="L33" i="4"/>
  <c r="L66" i="4"/>
  <c r="L114" i="4"/>
  <c r="L152" i="4"/>
  <c r="L230" i="4"/>
  <c r="L249" i="4"/>
  <c r="L295" i="4"/>
  <c r="L296" i="4"/>
  <c r="L297" i="4"/>
  <c r="L318" i="4"/>
  <c r="L319" i="4"/>
  <c r="L520" i="4"/>
  <c r="L543" i="4"/>
  <c r="L17" i="4"/>
  <c r="L53" i="4"/>
  <c r="L115" i="4"/>
  <c r="L182" i="4"/>
  <c r="L183" i="4"/>
  <c r="L184" i="4"/>
  <c r="L245" i="4"/>
  <c r="L315" i="4"/>
  <c r="L326" i="4"/>
  <c r="L431" i="4"/>
  <c r="L485" i="4"/>
  <c r="L492" i="4"/>
  <c r="L501" i="4"/>
  <c r="L589" i="4"/>
  <c r="L611" i="4"/>
  <c r="L619" i="4"/>
  <c r="L659" i="4"/>
  <c r="L620" i="4"/>
  <c r="L698" i="4"/>
  <c r="L710" i="4"/>
  <c r="L11" i="4"/>
  <c r="L72" i="4"/>
  <c r="L76" i="4"/>
  <c r="L97" i="4"/>
  <c r="L98" i="4"/>
  <c r="L99" i="4"/>
  <c r="L100" i="4"/>
  <c r="L101" i="4"/>
  <c r="L83" i="4"/>
  <c r="L124" i="4"/>
  <c r="L136" i="4"/>
  <c r="L203" i="4"/>
  <c r="L231" i="4"/>
  <c r="L232" i="4"/>
  <c r="L233" i="4"/>
  <c r="L234" i="4"/>
  <c r="L235" i="4"/>
  <c r="L311" i="4"/>
  <c r="L273" i="4"/>
  <c r="L380" i="4"/>
  <c r="L407" i="4"/>
  <c r="L503" i="4"/>
  <c r="L497" i="4"/>
  <c r="L525" i="4"/>
  <c r="L538" i="4"/>
  <c r="L539" i="4"/>
  <c r="L540" i="4"/>
  <c r="L548" i="4"/>
  <c r="L601" i="4"/>
  <c r="L644" i="4"/>
  <c r="L699" i="4"/>
  <c r="L27" i="4"/>
  <c r="L28" i="4"/>
  <c r="L29" i="4"/>
  <c r="L30" i="4"/>
  <c r="L163" i="4"/>
  <c r="L164" i="4"/>
  <c r="L165" i="4"/>
  <c r="L214" i="4"/>
  <c r="L166" i="4"/>
  <c r="L167" i="4"/>
  <c r="L168" i="4"/>
  <c r="L169" i="4"/>
  <c r="L170" i="4"/>
  <c r="L171" i="4"/>
  <c r="L172" i="4"/>
  <c r="L493" i="4"/>
  <c r="L504" i="4"/>
  <c r="L505" i="4"/>
  <c r="L506" i="4"/>
  <c r="L507" i="4"/>
  <c r="L517" i="4"/>
  <c r="L563" i="4"/>
  <c r="L565" i="4"/>
  <c r="L566" i="4"/>
  <c r="L621" i="4"/>
  <c r="L622" i="4"/>
  <c r="L623" i="4"/>
  <c r="L624" i="4"/>
  <c r="L625" i="4"/>
  <c r="L626" i="4"/>
  <c r="L627" i="4"/>
  <c r="L628" i="4"/>
  <c r="L629" i="4"/>
  <c r="L630" i="4"/>
  <c r="L631" i="4"/>
  <c r="B105" i="3"/>
  <c r="B104" i="3"/>
  <c r="B103" i="3"/>
  <c r="B102" i="3"/>
  <c r="B101" i="3"/>
  <c r="A65" i="3" l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N313" i="4"/>
  <c r="N370" i="4"/>
  <c r="N371" i="4"/>
  <c r="N372" i="4"/>
  <c r="N142" i="4"/>
  <c r="N160" i="4"/>
  <c r="N195" i="4"/>
  <c r="N196" i="4"/>
  <c r="N197" i="4"/>
  <c r="N515" i="4"/>
  <c r="N516" i="4"/>
  <c r="N567" i="4"/>
  <c r="N692" i="4"/>
  <c r="N719" i="4"/>
  <c r="N54" i="4"/>
  <c r="N55" i="4"/>
  <c r="N56" i="4"/>
  <c r="N57" i="4"/>
  <c r="N131" i="4"/>
  <c r="N143" i="4"/>
  <c r="N144" i="4"/>
  <c r="N145" i="4"/>
  <c r="N199" i="4"/>
  <c r="N251" i="4"/>
  <c r="N290" i="4"/>
  <c r="N352" i="4"/>
  <c r="N392" i="4"/>
  <c r="N420" i="4"/>
  <c r="N424" i="4"/>
  <c r="N425" i="4"/>
  <c r="N472" i="4"/>
  <c r="N488" i="4"/>
  <c r="N489" i="4"/>
  <c r="N490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606" i="4"/>
  <c r="N681" i="4"/>
  <c r="N701" i="4"/>
  <c r="N694" i="4"/>
  <c r="N695" i="4"/>
  <c r="N754" i="4"/>
  <c r="N755" i="4"/>
  <c r="N756" i="4"/>
  <c r="N757" i="4"/>
  <c r="N238" i="4"/>
  <c r="N239" i="4"/>
  <c r="N266" i="4"/>
  <c r="N267" i="4"/>
  <c r="N483" i="4"/>
  <c r="N549" i="4"/>
  <c r="N550" i="4"/>
  <c r="N139" i="4"/>
  <c r="N161" i="4"/>
  <c r="N253" i="4"/>
  <c r="N254" i="4"/>
  <c r="N356" i="4"/>
  <c r="N362" i="4"/>
  <c r="N363" i="4"/>
  <c r="N364" i="4"/>
  <c r="N365" i="4"/>
  <c r="N340" i="4"/>
  <c r="N391" i="4"/>
  <c r="N403" i="4"/>
  <c r="N421" i="4"/>
  <c r="N683" i="4"/>
  <c r="N707" i="4"/>
  <c r="N711" i="4"/>
  <c r="N713" i="4"/>
  <c r="N714" i="4"/>
  <c r="N720" i="4"/>
  <c r="N739" i="4"/>
  <c r="N740" i="4"/>
  <c r="N578" i="4"/>
  <c r="N579" i="4"/>
  <c r="N580" i="4"/>
  <c r="N581" i="4"/>
  <c r="N582" i="4"/>
  <c r="N110" i="4"/>
  <c r="N133" i="4"/>
  <c r="N180" i="4"/>
  <c r="N181" i="4"/>
  <c r="N204" i="4"/>
  <c r="N213" i="4"/>
  <c r="N333" i="4"/>
  <c r="N369" i="4"/>
  <c r="N708" i="4"/>
  <c r="N709" i="4"/>
  <c r="N758" i="4"/>
  <c r="N14" i="4"/>
  <c r="N22" i="4"/>
  <c r="N23" i="4"/>
  <c r="N86" i="4"/>
  <c r="N111" i="4"/>
  <c r="N125" i="4"/>
  <c r="N128" i="4"/>
  <c r="N188" i="4"/>
  <c r="N205" i="4"/>
  <c r="N215" i="4"/>
  <c r="N216" i="4"/>
  <c r="N322" i="4"/>
  <c r="N381" i="4"/>
  <c r="N398" i="4"/>
  <c r="N439" i="4"/>
  <c r="N442" i="4"/>
  <c r="N484" i="4"/>
  <c r="N495" i="4"/>
  <c r="N531" i="4"/>
  <c r="N556" i="4"/>
  <c r="N36" i="4"/>
  <c r="N37" i="4"/>
  <c r="N38" i="4"/>
  <c r="N39" i="4"/>
  <c r="N40" i="4"/>
  <c r="N137" i="4"/>
  <c r="N162" i="4"/>
  <c r="N341" i="4"/>
  <c r="N405" i="4"/>
  <c r="N410" i="4"/>
  <c r="N423" i="4"/>
  <c r="N450" i="4"/>
  <c r="N473" i="4"/>
  <c r="N474" i="4"/>
  <c r="N475" i="4"/>
  <c r="N476" i="4"/>
  <c r="N452" i="4"/>
  <c r="N453" i="4"/>
  <c r="N524" i="4"/>
  <c r="N591" i="4"/>
  <c r="N592" i="4"/>
  <c r="N613" i="4"/>
  <c r="N614" i="4"/>
  <c r="N682" i="4"/>
  <c r="N702" i="4"/>
  <c r="N696" i="4"/>
  <c r="N748" i="4"/>
  <c r="N749" i="4"/>
  <c r="N15" i="4"/>
  <c r="N129" i="4"/>
  <c r="N305" i="4"/>
  <c r="N317" i="4"/>
  <c r="N382" i="4"/>
  <c r="N389" i="4"/>
  <c r="N399" i="4"/>
  <c r="N414" i="4"/>
  <c r="N415" i="4"/>
  <c r="N416" i="4"/>
  <c r="N417" i="4"/>
  <c r="N428" i="4"/>
  <c r="N12" i="4"/>
  <c r="N41" i="4"/>
  <c r="N42" i="4"/>
  <c r="N278" i="4"/>
  <c r="N279" i="4"/>
  <c r="N330" i="4"/>
  <c r="N477" i="4"/>
  <c r="N478" i="4"/>
  <c r="N583" i="4"/>
  <c r="N763" i="4"/>
  <c r="N764" i="4"/>
  <c r="N4" i="4"/>
  <c r="N5" i="4"/>
  <c r="N6" i="4"/>
  <c r="N7" i="4"/>
  <c r="N8" i="4"/>
  <c r="N112" i="4"/>
  <c r="N286" i="4"/>
  <c r="N287" i="4"/>
  <c r="N331" i="4"/>
  <c r="N332" i="4"/>
  <c r="N422" i="4"/>
  <c r="N521" i="4"/>
  <c r="N532" i="4"/>
  <c r="N533" i="4"/>
  <c r="N684" i="4"/>
  <c r="N43" i="4"/>
  <c r="N44" i="4"/>
  <c r="N206" i="4"/>
  <c r="N262" i="4"/>
  <c r="N274" i="4"/>
  <c r="N250" i="4"/>
  <c r="N366" i="4"/>
  <c r="N357" i="4"/>
  <c r="N510" i="4"/>
  <c r="N585" i="4"/>
  <c r="N586" i="4"/>
  <c r="N587" i="4"/>
  <c r="N588" i="4"/>
  <c r="N722" i="4"/>
  <c r="N747" i="4"/>
  <c r="N45" i="4"/>
  <c r="N46" i="4"/>
  <c r="N47" i="4"/>
  <c r="N132" i="4"/>
  <c r="N306" i="4"/>
  <c r="N316" i="4"/>
  <c r="N337" i="4"/>
  <c r="N342" i="4"/>
  <c r="N383" i="4"/>
  <c r="N384" i="4"/>
  <c r="N377" i="4"/>
  <c r="N334" i="4"/>
  <c r="N335" i="4"/>
  <c r="N703" i="4"/>
  <c r="N704" i="4"/>
  <c r="N741" i="4"/>
  <c r="N742" i="4"/>
  <c r="N743" i="4"/>
  <c r="N744" i="4"/>
  <c r="N745" i="4"/>
  <c r="N751" i="4"/>
  <c r="N16" i="4"/>
  <c r="N48" i="4"/>
  <c r="N67" i="4"/>
  <c r="N116" i="4"/>
  <c r="N404" i="4"/>
  <c r="N441" i="4"/>
  <c r="N443" i="4"/>
  <c r="N487" i="4"/>
  <c r="N496" i="4"/>
  <c r="N500" i="4"/>
  <c r="N561" i="4"/>
  <c r="N24" i="4"/>
  <c r="N90" i="4"/>
  <c r="N91" i="4"/>
  <c r="N314" i="4"/>
  <c r="N408" i="4"/>
  <c r="N419" i="4"/>
  <c r="N551" i="4"/>
  <c r="N602" i="4"/>
  <c r="N603" i="4"/>
  <c r="N642" i="4"/>
  <c r="N660" i="4"/>
  <c r="N64" i="4"/>
  <c r="N117" i="4"/>
  <c r="N140" i="4"/>
  <c r="N141" i="4"/>
  <c r="N212" i="4"/>
  <c r="N185" i="4"/>
  <c r="N302" i="4"/>
  <c r="N345" i="4"/>
  <c r="N339" i="4"/>
  <c r="N429" i="4"/>
  <c r="N498" i="4"/>
  <c r="N557" i="4"/>
  <c r="N570" i="4"/>
  <c r="N571" i="4"/>
  <c r="N572" i="4"/>
  <c r="N573" i="4"/>
  <c r="N574" i="4"/>
  <c r="N575" i="4"/>
  <c r="N576" i="4"/>
  <c r="N49" i="4"/>
  <c r="N59" i="4"/>
  <c r="N68" i="4"/>
  <c r="N69" i="4"/>
  <c r="N102" i="4"/>
  <c r="N178" i="4"/>
  <c r="N179" i="4"/>
  <c r="N200" i="4"/>
  <c r="N201" i="4"/>
  <c r="N202" i="4"/>
  <c r="N255" i="4"/>
  <c r="N329" i="4"/>
  <c r="N534" i="4"/>
  <c r="N643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50" i="4"/>
  <c r="N21" i="4"/>
  <c r="N31" i="4"/>
  <c r="N263" i="4"/>
  <c r="N307" i="4"/>
  <c r="N308" i="4"/>
  <c r="N309" i="4"/>
  <c r="N310" i="4"/>
  <c r="N320" i="4"/>
  <c r="N71" i="4"/>
  <c r="N106" i="4"/>
  <c r="N148" i="4"/>
  <c r="N207" i="4"/>
  <c r="N208" i="4"/>
  <c r="N280" i="4"/>
  <c r="N281" i="4"/>
  <c r="N397" i="4"/>
  <c r="N406" i="4"/>
  <c r="N437" i="4"/>
  <c r="N479" i="4"/>
  <c r="N480" i="4"/>
  <c r="N481" i="4"/>
  <c r="N482" i="4"/>
  <c r="N564" i="4"/>
  <c r="N656" i="4"/>
  <c r="N18" i="4"/>
  <c r="N19" i="4"/>
  <c r="N95" i="4"/>
  <c r="N96" i="4"/>
  <c r="N134" i="4"/>
  <c r="N135" i="4"/>
  <c r="N153" i="4"/>
  <c r="N194" i="4"/>
  <c r="N209" i="4"/>
  <c r="N211" i="4"/>
  <c r="N222" i="4"/>
  <c r="N223" i="4"/>
  <c r="N210" i="4"/>
  <c r="N241" i="4"/>
  <c r="N242" i="4"/>
  <c r="N268" i="4"/>
  <c r="N269" i="4"/>
  <c r="N270" i="4"/>
  <c r="N291" i="4"/>
  <c r="N292" i="4"/>
  <c r="N293" i="4"/>
  <c r="N343" i="4"/>
  <c r="N436" i="4"/>
  <c r="N440" i="4"/>
  <c r="N444" i="4"/>
  <c r="N445" i="4"/>
  <c r="N446" i="4"/>
  <c r="N447" i="4"/>
  <c r="N448" i="4"/>
  <c r="N502" i="4"/>
  <c r="N526" i="4"/>
  <c r="N527" i="4"/>
  <c r="N528" i="4"/>
  <c r="N552" i="4"/>
  <c r="N553" i="4"/>
  <c r="N554" i="4"/>
  <c r="N555" i="4"/>
  <c r="N584" i="4"/>
  <c r="N598" i="4"/>
  <c r="N597" i="4"/>
  <c r="N646" i="4"/>
  <c r="N648" i="4"/>
  <c r="N649" i="4"/>
  <c r="N650" i="4"/>
  <c r="N651" i="4"/>
  <c r="N652" i="4"/>
  <c r="N653" i="4"/>
  <c r="N107" i="4"/>
  <c r="N108" i="4"/>
  <c r="N109" i="4"/>
  <c r="N121" i="4"/>
  <c r="N122" i="4"/>
  <c r="N123" i="4"/>
  <c r="N174" i="4"/>
  <c r="N175" i="4"/>
  <c r="N272" i="4"/>
  <c r="N256" i="4"/>
  <c r="N303" i="4"/>
  <c r="N469" i="4"/>
  <c r="N545" i="4"/>
  <c r="N559" i="4"/>
  <c r="N615" i="4"/>
  <c r="N616" i="4"/>
  <c r="N9" i="4"/>
  <c r="N32" i="4"/>
  <c r="N65" i="4"/>
  <c r="N70" i="4"/>
  <c r="N92" i="4"/>
  <c r="N149" i="4"/>
  <c r="N186" i="4"/>
  <c r="N220" i="4"/>
  <c r="N187" i="4"/>
  <c r="N189" i="4"/>
  <c r="N221" i="4"/>
  <c r="N190" i="4"/>
  <c r="N247" i="4"/>
  <c r="N367" i="4"/>
  <c r="N368" i="4"/>
  <c r="N402" i="4"/>
  <c r="N427" i="4"/>
  <c r="N449" i="4"/>
  <c r="N511" i="4"/>
  <c r="N512" i="4"/>
  <c r="N513" i="4"/>
  <c r="N518" i="4"/>
  <c r="N609" i="4"/>
  <c r="N612" i="4"/>
  <c r="N645" i="4"/>
  <c r="N647" i="4"/>
  <c r="N759" i="4"/>
  <c r="N271" i="4"/>
  <c r="N328" i="4"/>
  <c r="N338" i="4"/>
  <c r="N454" i="4"/>
  <c r="N455" i="4"/>
  <c r="N530" i="4"/>
  <c r="N558" i="4"/>
  <c r="N705" i="4"/>
  <c r="N79" i="4"/>
  <c r="N127" i="4"/>
  <c r="N378" i="4"/>
  <c r="N387" i="4"/>
  <c r="N379" i="4"/>
  <c r="N712" i="4"/>
  <c r="N252" i="4"/>
  <c r="N385" i="4"/>
  <c r="N386" i="4"/>
  <c r="N411" i="4"/>
  <c r="N491" i="4"/>
  <c r="N568" i="4"/>
  <c r="N569" i="4"/>
  <c r="N604" i="4"/>
  <c r="N50" i="4"/>
  <c r="N51" i="4"/>
  <c r="N259" i="4"/>
  <c r="N260" i="4"/>
  <c r="N261" i="4"/>
  <c r="N243" i="4"/>
  <c r="N288" i="4"/>
  <c r="N289" i="4"/>
  <c r="N244" i="4"/>
  <c r="N373" i="4"/>
  <c r="N376" i="4"/>
  <c r="N390" i="4"/>
  <c r="N393" i="4"/>
  <c r="N394" i="4"/>
  <c r="N388" i="4"/>
  <c r="N546" i="4"/>
  <c r="N547" i="4"/>
  <c r="N593" i="4"/>
  <c r="N605" i="4"/>
  <c r="N685" i="4"/>
  <c r="N718" i="4"/>
  <c r="N760" i="4"/>
  <c r="N607" i="4"/>
  <c r="N608" i="4"/>
  <c r="N617" i="4"/>
  <c r="N618" i="4"/>
  <c r="N146" i="4"/>
  <c r="N147" i="4"/>
  <c r="N264" i="4"/>
  <c r="N265" i="4"/>
  <c r="N346" i="4"/>
  <c r="N435" i="4"/>
  <c r="N494" i="4"/>
  <c r="N519" i="4"/>
  <c r="N73" i="4"/>
  <c r="N80" i="4"/>
  <c r="N81" i="4"/>
  <c r="N82" i="4"/>
  <c r="N113" i="4"/>
  <c r="N126" i="4"/>
  <c r="N176" i="4"/>
  <c r="N193" i="4"/>
  <c r="N217" i="4"/>
  <c r="N218" i="4"/>
  <c r="N248" i="4"/>
  <c r="N321" i="4"/>
  <c r="N400" i="4"/>
  <c r="N438" i="4"/>
  <c r="N486" i="4"/>
  <c r="N535" i="4"/>
  <c r="N536" i="4"/>
  <c r="N544" i="4"/>
  <c r="N118" i="4"/>
  <c r="N119" i="4"/>
  <c r="N130" i="4"/>
  <c r="N177" i="4"/>
  <c r="N150" i="4"/>
  <c r="N224" i="4"/>
  <c r="N275" i="4"/>
  <c r="N276" i="4"/>
  <c r="N277" i="4"/>
  <c r="N323" i="4"/>
  <c r="N522" i="4"/>
  <c r="N537" i="4"/>
  <c r="N20" i="4"/>
  <c r="N192" i="4"/>
  <c r="N282" i="4"/>
  <c r="N324" i="4"/>
  <c r="N304" i="4"/>
  <c r="N562" i="4"/>
  <c r="N560" i="4"/>
  <c r="N52" i="4"/>
  <c r="N74" i="4"/>
  <c r="N75" i="4"/>
  <c r="N227" i="4"/>
  <c r="N228" i="4"/>
  <c r="N325" i="4"/>
  <c r="N336" i="4"/>
  <c r="N523" i="4"/>
  <c r="N541" i="4"/>
  <c r="N542" i="4"/>
  <c r="N658" i="4"/>
  <c r="N686" i="4"/>
  <c r="N752" i="4"/>
  <c r="N753" i="4"/>
  <c r="N595" i="4"/>
  <c r="N596" i="4"/>
  <c r="N25" i="4"/>
  <c r="N26" i="4"/>
  <c r="N138" i="4"/>
  <c r="N151" i="4"/>
  <c r="N257" i="4"/>
  <c r="N258" i="4"/>
  <c r="N294" i="4"/>
  <c r="N353" i="4"/>
  <c r="N354" i="4"/>
  <c r="N355" i="4"/>
  <c r="N347" i="4"/>
  <c r="N348" i="4"/>
  <c r="N349" i="4"/>
  <c r="N508" i="4"/>
  <c r="N509" i="4"/>
  <c r="N715" i="4"/>
  <c r="N746" i="4"/>
  <c r="N761" i="4"/>
  <c r="N765" i="4"/>
  <c r="N766" i="4"/>
  <c r="N33" i="4"/>
  <c r="N66" i="4"/>
  <c r="N114" i="4"/>
  <c r="N152" i="4"/>
  <c r="N230" i="4"/>
  <c r="N249" i="4"/>
  <c r="N295" i="4"/>
  <c r="N296" i="4"/>
  <c r="N297" i="4"/>
  <c r="N318" i="4"/>
  <c r="N319" i="4"/>
  <c r="N520" i="4"/>
  <c r="N543" i="4"/>
  <c r="N17" i="4"/>
  <c r="N53" i="4"/>
  <c r="N115" i="4"/>
  <c r="N182" i="4"/>
  <c r="N183" i="4"/>
  <c r="N184" i="4"/>
  <c r="N245" i="4"/>
  <c r="N315" i="4"/>
  <c r="N326" i="4"/>
  <c r="N431" i="4"/>
  <c r="N485" i="4"/>
  <c r="N492" i="4"/>
  <c r="N501" i="4"/>
  <c r="N589" i="4"/>
  <c r="N611" i="4"/>
  <c r="N619" i="4"/>
  <c r="N659" i="4"/>
  <c r="N620" i="4"/>
  <c r="N698" i="4"/>
  <c r="N710" i="4"/>
  <c r="N11" i="4"/>
  <c r="N72" i="4"/>
  <c r="N76" i="4"/>
  <c r="N97" i="4"/>
  <c r="N98" i="4"/>
  <c r="N99" i="4"/>
  <c r="N100" i="4"/>
  <c r="N101" i="4"/>
  <c r="N83" i="4"/>
  <c r="N124" i="4"/>
  <c r="N136" i="4"/>
  <c r="N203" i="4"/>
  <c r="N231" i="4"/>
  <c r="N232" i="4"/>
  <c r="N233" i="4"/>
  <c r="N234" i="4"/>
  <c r="N235" i="4"/>
  <c r="N311" i="4"/>
  <c r="N273" i="4"/>
  <c r="N380" i="4"/>
  <c r="N407" i="4"/>
  <c r="N503" i="4"/>
  <c r="N497" i="4"/>
  <c r="N525" i="4"/>
  <c r="N538" i="4"/>
  <c r="N539" i="4"/>
  <c r="N540" i="4"/>
  <c r="N548" i="4"/>
  <c r="N601" i="4"/>
  <c r="N644" i="4"/>
  <c r="N699" i="4"/>
  <c r="N27" i="4"/>
  <c r="N28" i="4"/>
  <c r="N29" i="4"/>
  <c r="N30" i="4"/>
  <c r="N163" i="4"/>
  <c r="N164" i="4"/>
  <c r="N165" i="4"/>
  <c r="N214" i="4"/>
  <c r="N166" i="4"/>
  <c r="N167" i="4"/>
  <c r="N168" i="4"/>
  <c r="N169" i="4"/>
  <c r="N170" i="4"/>
  <c r="N171" i="4"/>
  <c r="N172" i="4"/>
  <c r="N493" i="4"/>
  <c r="N504" i="4"/>
  <c r="N505" i="4"/>
  <c r="N506" i="4"/>
  <c r="N507" i="4"/>
  <c r="N517" i="4"/>
  <c r="N563" i="4"/>
  <c r="N565" i="4"/>
  <c r="N566" i="4"/>
  <c r="N621" i="4"/>
  <c r="N622" i="4"/>
  <c r="N623" i="4"/>
  <c r="N624" i="4"/>
  <c r="N625" i="4"/>
  <c r="N626" i="4"/>
  <c r="N627" i="4"/>
  <c r="N628" i="4"/>
  <c r="N629" i="4"/>
  <c r="N630" i="4"/>
  <c r="N631" i="4"/>
  <c r="N34" i="4" l="1"/>
  <c r="N35" i="4"/>
  <c r="N84" i="4"/>
  <c r="N85" i="4"/>
  <c r="N78" i="4"/>
  <c r="N103" i="4"/>
  <c r="N104" i="4"/>
  <c r="N105" i="4"/>
  <c r="N159" i="4"/>
  <c r="N225" i="4"/>
  <c r="N298" i="4"/>
  <c r="N299" i="4"/>
  <c r="N300" i="4"/>
  <c r="N301" i="4"/>
  <c r="N344" i="4"/>
  <c r="N360" i="4"/>
  <c r="N361" i="4"/>
  <c r="N350" i="4"/>
  <c r="N351" i="4"/>
  <c r="N409" i="4"/>
  <c r="N529" i="4"/>
  <c r="N577" i="4"/>
  <c r="N594" i="4"/>
  <c r="N654" i="4"/>
  <c r="N655" i="4"/>
  <c r="N687" i="4"/>
  <c r="N688" i="4"/>
  <c r="N689" i="4"/>
  <c r="N690" i="4"/>
  <c r="N691" i="4"/>
  <c r="N700" i="4"/>
  <c r="N706" i="4"/>
  <c r="N721" i="4"/>
  <c r="N60" i="4"/>
  <c r="N61" i="4"/>
  <c r="N62" i="4"/>
  <c r="N63" i="4"/>
  <c r="N87" i="4"/>
  <c r="N88" i="4"/>
  <c r="N89" i="4"/>
  <c r="N198" i="4"/>
  <c r="N219" i="4"/>
  <c r="N240" i="4"/>
  <c r="N246" i="4"/>
  <c r="N284" i="4"/>
  <c r="N285" i="4"/>
  <c r="N327" i="4"/>
  <c r="N312" i="4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4" i="6"/>
  <c r="H4" i="3" l="1"/>
  <c r="F39" i="8"/>
  <c r="F38" i="8"/>
  <c r="F37" i="8"/>
  <c r="F5" i="6" l="1"/>
  <c r="AP8" i="5" l="1"/>
  <c r="AO8" i="5"/>
  <c r="AN8" i="5"/>
  <c r="AN8" i="3"/>
  <c r="AL3" i="5"/>
  <c r="B23" i="5"/>
  <c r="B22" i="5"/>
  <c r="B21" i="5"/>
  <c r="B20" i="5"/>
  <c r="B19" i="5"/>
  <c r="B18" i="5"/>
  <c r="B17" i="5"/>
  <c r="B16" i="5"/>
  <c r="B15" i="5"/>
  <c r="B14" i="5"/>
  <c r="B13" i="5"/>
  <c r="B12" i="5"/>
  <c r="AR3" i="5"/>
  <c r="AR8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J8" i="5"/>
  <c r="AK8" i="5"/>
  <c r="AL8" i="5"/>
  <c r="AM8" i="5"/>
  <c r="AQ8" i="5"/>
  <c r="AG23" i="5" l="1"/>
  <c r="AC23" i="5"/>
  <c r="Y23" i="5"/>
  <c r="U23" i="5"/>
  <c r="Q23" i="5"/>
  <c r="M23" i="5"/>
  <c r="I23" i="5"/>
  <c r="E23" i="5"/>
  <c r="AF22" i="5"/>
  <c r="AB22" i="5"/>
  <c r="X22" i="5"/>
  <c r="T22" i="5"/>
  <c r="P22" i="5"/>
  <c r="L22" i="5"/>
  <c r="H22" i="5"/>
  <c r="D22" i="5"/>
  <c r="AE21" i="5"/>
  <c r="AA21" i="5"/>
  <c r="W21" i="5"/>
  <c r="S21" i="5"/>
  <c r="O21" i="5"/>
  <c r="K21" i="5"/>
  <c r="G21" i="5"/>
  <c r="C21" i="5"/>
  <c r="AD20" i="5"/>
  <c r="Z20" i="5"/>
  <c r="V20" i="5"/>
  <c r="R20" i="5"/>
  <c r="N20" i="5"/>
  <c r="J20" i="5"/>
  <c r="F20" i="5"/>
  <c r="AG19" i="5"/>
  <c r="AC19" i="5"/>
  <c r="Y19" i="5"/>
  <c r="U19" i="5"/>
  <c r="Q19" i="5"/>
  <c r="M19" i="5"/>
  <c r="I19" i="5"/>
  <c r="E19" i="5"/>
  <c r="AF18" i="5"/>
  <c r="AB18" i="5"/>
  <c r="X18" i="5"/>
  <c r="T18" i="5"/>
  <c r="P18" i="5"/>
  <c r="L18" i="5"/>
  <c r="H18" i="5"/>
  <c r="D18" i="5"/>
  <c r="AE17" i="5"/>
  <c r="AA17" i="5"/>
  <c r="W17" i="5"/>
  <c r="S17" i="5"/>
  <c r="O17" i="5"/>
  <c r="K17" i="5"/>
  <c r="G17" i="5"/>
  <c r="C17" i="5"/>
  <c r="AD16" i="5"/>
  <c r="Z16" i="5"/>
  <c r="V16" i="5"/>
  <c r="R16" i="5"/>
  <c r="N16" i="5"/>
  <c r="J16" i="5"/>
  <c r="F16" i="5"/>
  <c r="AC15" i="5"/>
  <c r="Y15" i="5"/>
  <c r="U15" i="5"/>
  <c r="Q15" i="5"/>
  <c r="M15" i="5"/>
  <c r="I15" i="5"/>
  <c r="E15" i="5"/>
  <c r="AF14" i="5"/>
  <c r="AB14" i="5"/>
  <c r="X14" i="5"/>
  <c r="T14" i="5"/>
  <c r="P14" i="5"/>
  <c r="L14" i="5"/>
  <c r="H14" i="5"/>
  <c r="D14" i="5"/>
  <c r="AA13" i="5"/>
  <c r="W13" i="5"/>
  <c r="S13" i="5"/>
  <c r="O13" i="5"/>
  <c r="K13" i="5"/>
  <c r="G13" i="5"/>
  <c r="AF23" i="5"/>
  <c r="AB23" i="5"/>
  <c r="X23" i="5"/>
  <c r="T23" i="5"/>
  <c r="P23" i="5"/>
  <c r="L23" i="5"/>
  <c r="H23" i="5"/>
  <c r="D23" i="5"/>
  <c r="AE22" i="5"/>
  <c r="AA22" i="5"/>
  <c r="W22" i="5"/>
  <c r="S22" i="5"/>
  <c r="O22" i="5"/>
  <c r="K22" i="5"/>
  <c r="G22" i="5"/>
  <c r="C22" i="5"/>
  <c r="AD21" i="5"/>
  <c r="Z21" i="5"/>
  <c r="V21" i="5"/>
  <c r="R21" i="5"/>
  <c r="N21" i="5"/>
  <c r="J21" i="5"/>
  <c r="F21" i="5"/>
  <c r="AC20" i="5"/>
  <c r="Y20" i="5"/>
  <c r="U20" i="5"/>
  <c r="Q20" i="5"/>
  <c r="M20" i="5"/>
  <c r="I20" i="5"/>
  <c r="E20" i="5"/>
  <c r="AF19" i="5"/>
  <c r="AB19" i="5"/>
  <c r="X19" i="5"/>
  <c r="T19" i="5"/>
  <c r="P19" i="5"/>
  <c r="L19" i="5"/>
  <c r="H19" i="5"/>
  <c r="D19" i="5"/>
  <c r="AE18" i="5"/>
  <c r="AA18" i="5"/>
  <c r="W18" i="5"/>
  <c r="S18" i="5"/>
  <c r="O18" i="5"/>
  <c r="K18" i="5"/>
  <c r="G18" i="5"/>
  <c r="C18" i="5"/>
  <c r="AD17" i="5"/>
  <c r="Z17" i="5"/>
  <c r="V17" i="5"/>
  <c r="R17" i="5"/>
  <c r="N17" i="5"/>
  <c r="J17" i="5"/>
  <c r="F17" i="5"/>
  <c r="AG16" i="5"/>
  <c r="AC16" i="5"/>
  <c r="Y16" i="5"/>
  <c r="U16" i="5"/>
  <c r="Q16" i="5"/>
  <c r="M16" i="5"/>
  <c r="I16" i="5"/>
  <c r="E16" i="5"/>
  <c r="AF15" i="5"/>
  <c r="AB15" i="5"/>
  <c r="X15" i="5"/>
  <c r="T15" i="5"/>
  <c r="P15" i="5"/>
  <c r="L15" i="5"/>
  <c r="H15" i="5"/>
  <c r="D15" i="5"/>
  <c r="AE14" i="5"/>
  <c r="AA14" i="5"/>
  <c r="W14" i="5"/>
  <c r="S14" i="5"/>
  <c r="O14" i="5"/>
  <c r="K14" i="5"/>
  <c r="G14" i="5"/>
  <c r="C14" i="5"/>
  <c r="AD13" i="5"/>
  <c r="Z13" i="5"/>
  <c r="V13" i="5"/>
  <c r="R13" i="5"/>
  <c r="N13" i="5"/>
  <c r="J13" i="5"/>
  <c r="F13" i="5"/>
  <c r="AG12" i="5"/>
  <c r="AE23" i="5"/>
  <c r="AA23" i="5"/>
  <c r="W23" i="5"/>
  <c r="S23" i="5"/>
  <c r="O23" i="5"/>
  <c r="K23" i="5"/>
  <c r="G23" i="5"/>
  <c r="C23" i="5"/>
  <c r="AD22" i="5"/>
  <c r="Z22" i="5"/>
  <c r="V22" i="5"/>
  <c r="R22" i="5"/>
  <c r="N22" i="5"/>
  <c r="J22" i="5"/>
  <c r="F22" i="5"/>
  <c r="AG21" i="5"/>
  <c r="AC21" i="5"/>
  <c r="Y21" i="5"/>
  <c r="U21" i="5"/>
  <c r="Q21" i="5"/>
  <c r="M21" i="5"/>
  <c r="I21" i="5"/>
  <c r="E21" i="5"/>
  <c r="AF20" i="5"/>
  <c r="AB20" i="5"/>
  <c r="X20" i="5"/>
  <c r="T20" i="5"/>
  <c r="P20" i="5"/>
  <c r="L20" i="5"/>
  <c r="H20" i="5"/>
  <c r="D20" i="5"/>
  <c r="AE19" i="5"/>
  <c r="AA19" i="5"/>
  <c r="W19" i="5"/>
  <c r="S19" i="5"/>
  <c r="O19" i="5"/>
  <c r="K19" i="5"/>
  <c r="G19" i="5"/>
  <c r="C19" i="5"/>
  <c r="AD18" i="5"/>
  <c r="Z18" i="5"/>
  <c r="V18" i="5"/>
  <c r="R18" i="5"/>
  <c r="N18" i="5"/>
  <c r="J18" i="5"/>
  <c r="F18" i="5"/>
  <c r="AC17" i="5"/>
  <c r="Y17" i="5"/>
  <c r="U17" i="5"/>
  <c r="Q17" i="5"/>
  <c r="M17" i="5"/>
  <c r="I17" i="5"/>
  <c r="E17" i="5"/>
  <c r="AF16" i="5"/>
  <c r="AB16" i="5"/>
  <c r="X16" i="5"/>
  <c r="T16" i="5"/>
  <c r="P16" i="5"/>
  <c r="L16" i="5"/>
  <c r="H16" i="5"/>
  <c r="D16" i="5"/>
  <c r="AE15" i="5"/>
  <c r="AA15" i="5"/>
  <c r="W15" i="5"/>
  <c r="S15" i="5"/>
  <c r="O15" i="5"/>
  <c r="K15" i="5"/>
  <c r="G15" i="5"/>
  <c r="C15" i="5"/>
  <c r="AD14" i="5"/>
  <c r="Z14" i="5"/>
  <c r="V14" i="5"/>
  <c r="R14" i="5"/>
  <c r="N14" i="5"/>
  <c r="J14" i="5"/>
  <c r="F14" i="5"/>
  <c r="AC13" i="5"/>
  <c r="Y13" i="5"/>
  <c r="U13" i="5"/>
  <c r="Q13" i="5"/>
  <c r="M13" i="5"/>
  <c r="I13" i="5"/>
  <c r="E13" i="5"/>
  <c r="AF12" i="5"/>
  <c r="AB12" i="5"/>
  <c r="AD23" i="5"/>
  <c r="N23" i="5"/>
  <c r="AC22" i="5"/>
  <c r="M22" i="5"/>
  <c r="AB21" i="5"/>
  <c r="L21" i="5"/>
  <c r="AE20" i="5"/>
  <c r="O20" i="5"/>
  <c r="AD19" i="5"/>
  <c r="N19" i="5"/>
  <c r="AC18" i="5"/>
  <c r="M18" i="5"/>
  <c r="AF17" i="5"/>
  <c r="P17" i="5"/>
  <c r="AE16" i="5"/>
  <c r="O16" i="5"/>
  <c r="R15" i="5"/>
  <c r="AG14" i="5"/>
  <c r="Q14" i="5"/>
  <c r="X13" i="5"/>
  <c r="H13" i="5"/>
  <c r="AD12" i="5"/>
  <c r="Y12" i="5"/>
  <c r="U12" i="5"/>
  <c r="Q12" i="5"/>
  <c r="M12" i="5"/>
  <c r="I12" i="5"/>
  <c r="E12" i="5"/>
  <c r="V23" i="5"/>
  <c r="U22" i="5"/>
  <c r="E22" i="5"/>
  <c r="T21" i="5"/>
  <c r="D21" i="5"/>
  <c r="W20" i="5"/>
  <c r="V19" i="5"/>
  <c r="U18" i="5"/>
  <c r="X17" i="5"/>
  <c r="W16" i="5"/>
  <c r="Z15" i="5"/>
  <c r="Y14" i="5"/>
  <c r="P13" i="5"/>
  <c r="AA12" i="5"/>
  <c r="S12" i="5"/>
  <c r="K12" i="5"/>
  <c r="R23" i="5"/>
  <c r="Q22" i="5"/>
  <c r="AF21" i="5"/>
  <c r="S20" i="5"/>
  <c r="R19" i="5"/>
  <c r="Q18" i="5"/>
  <c r="D17" i="5"/>
  <c r="C16" i="5"/>
  <c r="F15" i="5"/>
  <c r="AB13" i="5"/>
  <c r="AE12" i="5"/>
  <c r="V12" i="5"/>
  <c r="R12" i="5"/>
  <c r="J12" i="5"/>
  <c r="Z23" i="5"/>
  <c r="J23" i="5"/>
  <c r="Y22" i="5"/>
  <c r="I22" i="5"/>
  <c r="X21" i="5"/>
  <c r="H21" i="5"/>
  <c r="AA20" i="5"/>
  <c r="K20" i="5"/>
  <c r="Z19" i="5"/>
  <c r="J19" i="5"/>
  <c r="Y18" i="5"/>
  <c r="I18" i="5"/>
  <c r="AB17" i="5"/>
  <c r="L17" i="5"/>
  <c r="AA16" i="5"/>
  <c r="K16" i="5"/>
  <c r="AD15" i="5"/>
  <c r="N15" i="5"/>
  <c r="AC14" i="5"/>
  <c r="M14" i="5"/>
  <c r="T13" i="5"/>
  <c r="D13" i="5"/>
  <c r="AC12" i="5"/>
  <c r="X12" i="5"/>
  <c r="T12" i="5"/>
  <c r="P12" i="5"/>
  <c r="L12" i="5"/>
  <c r="H12" i="5"/>
  <c r="D12" i="5"/>
  <c r="F23" i="5"/>
  <c r="G20" i="5"/>
  <c r="F19" i="5"/>
  <c r="E18" i="5"/>
  <c r="H17" i="5"/>
  <c r="G16" i="5"/>
  <c r="J15" i="5"/>
  <c r="I14" i="5"/>
  <c r="C13" i="5"/>
  <c r="W12" i="5"/>
  <c r="O12" i="5"/>
  <c r="G12" i="5"/>
  <c r="P21" i="5"/>
  <c r="C20" i="5"/>
  <c r="AG18" i="5"/>
  <c r="T17" i="5"/>
  <c r="S16" i="5"/>
  <c r="V15" i="5"/>
  <c r="U14" i="5"/>
  <c r="E14" i="5"/>
  <c r="L13" i="5"/>
  <c r="Z12" i="5"/>
  <c r="N12" i="5"/>
  <c r="F12" i="5"/>
  <c r="C12" i="5"/>
  <c r="AP21" i="5" l="1"/>
  <c r="AM22" i="5"/>
  <c r="AK20" i="5"/>
  <c r="AO18" i="5"/>
  <c r="AO19" i="5"/>
  <c r="AN17" i="5"/>
  <c r="AM20" i="5"/>
  <c r="AQ23" i="5"/>
  <c r="AK16" i="5"/>
  <c r="AO22" i="5"/>
  <c r="AN20" i="5"/>
  <c r="AQ21" i="5"/>
  <c r="AN16" i="5"/>
  <c r="AO15" i="5"/>
  <c r="AO14" i="5"/>
  <c r="AJ15" i="5"/>
  <c r="AQ15" i="5"/>
  <c r="AQ17" i="5"/>
  <c r="AJ19" i="5"/>
  <c r="AJ18" i="5"/>
  <c r="AO23" i="5"/>
  <c r="AP23" i="5"/>
  <c r="AM16" i="5"/>
  <c r="AQ19" i="5"/>
  <c r="AJ22" i="5"/>
  <c r="AP15" i="5"/>
  <c r="AN21" i="5"/>
  <c r="AM18" i="5"/>
  <c r="AP19" i="5"/>
  <c r="AJ14" i="5"/>
  <c r="AP17" i="5"/>
  <c r="AM14" i="5"/>
  <c r="AO16" i="5"/>
  <c r="AO20" i="5"/>
  <c r="AL14" i="5"/>
  <c r="AL16" i="5"/>
  <c r="AL18" i="5"/>
  <c r="AL20" i="5"/>
  <c r="AL22" i="5"/>
  <c r="AN14" i="5"/>
  <c r="AN18" i="5"/>
  <c r="AN22" i="5"/>
  <c r="AK17" i="5"/>
  <c r="AK21" i="5"/>
  <c r="AQ14" i="5"/>
  <c r="AQ16" i="5"/>
  <c r="AQ18" i="5"/>
  <c r="AQ20" i="5"/>
  <c r="AQ22" i="5"/>
  <c r="AJ16" i="5"/>
  <c r="AJ20" i="5"/>
  <c r="AK14" i="5"/>
  <c r="AO17" i="5"/>
  <c r="AO21" i="5"/>
  <c r="AP14" i="5"/>
  <c r="AP16" i="5"/>
  <c r="AP18" i="5"/>
  <c r="AP20" i="5"/>
  <c r="AP22" i="5"/>
  <c r="AN15" i="5"/>
  <c r="AN19" i="5"/>
  <c r="AN23" i="5"/>
  <c r="AK18" i="5"/>
  <c r="AK22" i="5"/>
  <c r="AM15" i="5"/>
  <c r="AM17" i="5"/>
  <c r="AM19" i="5"/>
  <c r="AM21" i="5"/>
  <c r="AM23" i="5"/>
  <c r="AJ23" i="5"/>
  <c r="AJ17" i="5"/>
  <c r="AJ21" i="5"/>
  <c r="AK15" i="5"/>
  <c r="AL15" i="5"/>
  <c r="AL17" i="5"/>
  <c r="AL19" i="5"/>
  <c r="AL21" i="5"/>
  <c r="AL23" i="5"/>
  <c r="AK19" i="5"/>
  <c r="AK23" i="5"/>
  <c r="AQ13" i="5"/>
  <c r="AP13" i="5"/>
  <c r="AO13" i="5"/>
  <c r="AN13" i="5"/>
  <c r="AJ13" i="5"/>
  <c r="AM13" i="5"/>
  <c r="AK12" i="5"/>
  <c r="AK13" i="5"/>
  <c r="AL13" i="5"/>
  <c r="AQ12" i="5"/>
  <c r="AP12" i="5"/>
  <c r="AO12" i="5"/>
  <c r="AN12" i="5"/>
  <c r="AM12" i="5"/>
  <c r="AL12" i="5"/>
  <c r="AJ12" i="5"/>
  <c r="AR19" i="5" l="1"/>
  <c r="AR15" i="5"/>
  <c r="AR22" i="5"/>
  <c r="AR18" i="5"/>
  <c r="AR21" i="5"/>
  <c r="AR17" i="5"/>
  <c r="AR20" i="5"/>
  <c r="AR23" i="5"/>
  <c r="AR16" i="5"/>
  <c r="AR14" i="5"/>
  <c r="AR13" i="5"/>
  <c r="AP5" i="5"/>
  <c r="AO5" i="5"/>
  <c r="AN5" i="5"/>
  <c r="AR12" i="5"/>
  <c r="AR5" i="5" l="1"/>
  <c r="AJ8" i="3" l="1"/>
  <c r="AK8" i="3"/>
  <c r="AL8" i="3"/>
  <c r="AM8" i="3"/>
  <c r="F6" i="6"/>
  <c r="F35" i="6"/>
  <c r="F37" i="6"/>
  <c r="F36" i="6"/>
  <c r="S3" i="1"/>
  <c r="S4" i="1"/>
  <c r="S5" i="1"/>
  <c r="S6" i="1"/>
  <c r="S7" i="1"/>
  <c r="S8" i="1"/>
  <c r="S2" i="1"/>
  <c r="B10" i="3" l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9" i="3"/>
  <c r="D8" i="3"/>
  <c r="D9" i="3" s="1"/>
  <c r="D50" i="3" l="1"/>
  <c r="D54" i="3"/>
  <c r="D59" i="3"/>
  <c r="D60" i="3"/>
  <c r="D61" i="3"/>
  <c r="D63" i="3"/>
  <c r="D64" i="3"/>
  <c r="D66" i="3"/>
  <c r="D67" i="3"/>
  <c r="D73" i="3"/>
  <c r="D74" i="3"/>
  <c r="D75" i="3"/>
  <c r="D45" i="3"/>
  <c r="D46" i="3"/>
  <c r="D47" i="3"/>
  <c r="D48" i="3"/>
  <c r="D55" i="3"/>
  <c r="D57" i="3"/>
  <c r="D68" i="3"/>
  <c r="D69" i="3"/>
  <c r="D70" i="3"/>
  <c r="D76" i="3"/>
  <c r="D77" i="3"/>
  <c r="D78" i="3"/>
  <c r="D79" i="3"/>
  <c r="D44" i="3"/>
  <c r="D49" i="3"/>
  <c r="D51" i="3"/>
  <c r="D58" i="3"/>
  <c r="D62" i="3"/>
  <c r="D65" i="3"/>
  <c r="D81" i="3"/>
  <c r="D82" i="3"/>
  <c r="D87" i="3"/>
  <c r="D88" i="3"/>
  <c r="D91" i="3"/>
  <c r="D92" i="3"/>
  <c r="D93" i="3"/>
  <c r="D94" i="3"/>
  <c r="D95" i="3"/>
  <c r="D52" i="3"/>
  <c r="D71" i="3"/>
  <c r="D86" i="3"/>
  <c r="D89" i="3"/>
  <c r="D90" i="3"/>
  <c r="D53" i="3"/>
  <c r="D56" i="3"/>
  <c r="D72" i="3"/>
  <c r="D80" i="3"/>
  <c r="D83" i="3"/>
  <c r="D84" i="3"/>
  <c r="D96" i="3"/>
  <c r="D85" i="3"/>
  <c r="D97" i="3"/>
  <c r="D43" i="3"/>
  <c r="D100" i="3"/>
  <c r="D41" i="3"/>
  <c r="D37" i="3"/>
  <c r="D42" i="3"/>
  <c r="D38" i="3"/>
  <c r="D34" i="3"/>
  <c r="D40" i="3"/>
  <c r="D31" i="3"/>
  <c r="D35" i="3"/>
  <c r="D32" i="3"/>
  <c r="D28" i="3"/>
  <c r="D36" i="3"/>
  <c r="D33" i="3"/>
  <c r="D29" i="3"/>
  <c r="D24" i="3"/>
  <c r="D20" i="3"/>
  <c r="D30" i="3"/>
  <c r="D25" i="3"/>
  <c r="D21" i="3"/>
  <c r="D39" i="3"/>
  <c r="D26" i="3"/>
  <c r="D22" i="3"/>
  <c r="D23" i="3"/>
  <c r="D19" i="3"/>
  <c r="D15" i="3"/>
  <c r="D11" i="3"/>
  <c r="D14" i="3"/>
  <c r="D10" i="3"/>
  <c r="D27" i="3"/>
  <c r="D16" i="3"/>
  <c r="D12" i="3"/>
  <c r="D17" i="3"/>
  <c r="D13" i="3"/>
  <c r="D18" i="3"/>
  <c r="E8" i="3"/>
  <c r="D7" i="3"/>
  <c r="D99" i="3" s="1"/>
  <c r="E63" i="3" l="1"/>
  <c r="E57" i="3"/>
  <c r="E70" i="3"/>
  <c r="E95" i="3"/>
  <c r="E44" i="3"/>
  <c r="E82" i="3"/>
  <c r="E86" i="3"/>
  <c r="E69" i="3"/>
  <c r="E92" i="3"/>
  <c r="E90" i="3"/>
  <c r="E67" i="3"/>
  <c r="E45" i="3"/>
  <c r="E48" i="3"/>
  <c r="E81" i="3"/>
  <c r="E89" i="3"/>
  <c r="E88" i="3"/>
  <c r="E91" i="3"/>
  <c r="E87" i="3"/>
  <c r="E79" i="3"/>
  <c r="E75" i="3"/>
  <c r="E73" i="3"/>
  <c r="E96" i="3"/>
  <c r="E97" i="3"/>
  <c r="E85" i="3"/>
  <c r="E74" i="3"/>
  <c r="E72" i="3"/>
  <c r="E55" i="3"/>
  <c r="E93" i="3"/>
  <c r="E94" i="3"/>
  <c r="E64" i="3"/>
  <c r="E59" i="3"/>
  <c r="E80" i="3"/>
  <c r="E78" i="3"/>
  <c r="E68" i="3"/>
  <c r="E66" i="3"/>
  <c r="E60" i="3"/>
  <c r="E53" i="3"/>
  <c r="E84" i="3"/>
  <c r="E77" i="3"/>
  <c r="E76" i="3"/>
  <c r="E65" i="3"/>
  <c r="E46" i="3"/>
  <c r="E58" i="3"/>
  <c r="E54" i="3"/>
  <c r="E83" i="3"/>
  <c r="E56" i="3"/>
  <c r="E71" i="3"/>
  <c r="E61" i="3"/>
  <c r="E62" i="3"/>
  <c r="E51" i="3"/>
  <c r="E52" i="3"/>
  <c r="E49" i="3"/>
  <c r="E50" i="3"/>
  <c r="E47" i="3"/>
  <c r="E43" i="3"/>
  <c r="E100" i="3"/>
  <c r="D105" i="3"/>
  <c r="D103" i="3"/>
  <c r="D104" i="3"/>
  <c r="D108" i="3"/>
  <c r="D106" i="3"/>
  <c r="D107" i="3"/>
  <c r="D101" i="3"/>
  <c r="D102" i="3"/>
  <c r="E42" i="3"/>
  <c r="E38" i="3"/>
  <c r="E34" i="3"/>
  <c r="E39" i="3"/>
  <c r="E35" i="3"/>
  <c r="E41" i="3"/>
  <c r="E32" i="3"/>
  <c r="E28" i="3"/>
  <c r="E36" i="3"/>
  <c r="E33" i="3"/>
  <c r="E29" i="3"/>
  <c r="E37" i="3"/>
  <c r="E30" i="3"/>
  <c r="E25" i="3"/>
  <c r="E21" i="3"/>
  <c r="E31" i="3"/>
  <c r="E26" i="3"/>
  <c r="E22" i="3"/>
  <c r="E40" i="3"/>
  <c r="E27" i="3"/>
  <c r="E23" i="3"/>
  <c r="E24" i="3"/>
  <c r="E16" i="3"/>
  <c r="E12" i="3"/>
  <c r="E19" i="3"/>
  <c r="E17" i="3"/>
  <c r="E13" i="3"/>
  <c r="E9" i="3"/>
  <c r="E18" i="3"/>
  <c r="E14" i="3"/>
  <c r="E10" i="3"/>
  <c r="E20" i="3"/>
  <c r="E15" i="3"/>
  <c r="E11" i="3"/>
  <c r="E7" i="3"/>
  <c r="E99" i="3" s="1"/>
  <c r="F8" i="3"/>
  <c r="F44" i="3" l="1"/>
  <c r="F72" i="3"/>
  <c r="F74" i="3"/>
  <c r="F75" i="3"/>
  <c r="F46" i="3"/>
  <c r="F48" i="3"/>
  <c r="F63" i="3"/>
  <c r="F78" i="3"/>
  <c r="F57" i="3"/>
  <c r="F91" i="3"/>
  <c r="F70" i="3"/>
  <c r="F81" i="3"/>
  <c r="F82" i="3"/>
  <c r="F95" i="3"/>
  <c r="F92" i="3"/>
  <c r="F90" i="3"/>
  <c r="F56" i="3"/>
  <c r="F64" i="3"/>
  <c r="F68" i="3"/>
  <c r="F73" i="3"/>
  <c r="F65" i="3"/>
  <c r="F80" i="3"/>
  <c r="F96" i="3"/>
  <c r="F85" i="3"/>
  <c r="F50" i="3"/>
  <c r="F89" i="3"/>
  <c r="F87" i="3"/>
  <c r="F59" i="3"/>
  <c r="F93" i="3"/>
  <c r="F77" i="3"/>
  <c r="F79" i="3"/>
  <c r="F55" i="3"/>
  <c r="F69" i="3"/>
  <c r="F88" i="3"/>
  <c r="F86" i="3"/>
  <c r="F97" i="3"/>
  <c r="F94" i="3"/>
  <c r="F45" i="3"/>
  <c r="F61" i="3"/>
  <c r="F47" i="3"/>
  <c r="F84" i="3"/>
  <c r="F66" i="3"/>
  <c r="F58" i="3"/>
  <c r="F76" i="3"/>
  <c r="F67" i="3"/>
  <c r="F83" i="3"/>
  <c r="F71" i="3"/>
  <c r="F49" i="3"/>
  <c r="F60" i="3"/>
  <c r="F51" i="3"/>
  <c r="F62" i="3"/>
  <c r="F53" i="3"/>
  <c r="F54" i="3"/>
  <c r="F52" i="3"/>
  <c r="F43" i="3"/>
  <c r="F100" i="3"/>
  <c r="D109" i="3"/>
  <c r="E107" i="3"/>
  <c r="E105" i="3"/>
  <c r="E104" i="3"/>
  <c r="E101" i="3"/>
  <c r="E108" i="3"/>
  <c r="E106" i="3"/>
  <c r="E102" i="3"/>
  <c r="E103" i="3"/>
  <c r="F39" i="3"/>
  <c r="F35" i="3"/>
  <c r="F40" i="3"/>
  <c r="F36" i="3"/>
  <c r="F42" i="3"/>
  <c r="F34" i="3"/>
  <c r="F33" i="3"/>
  <c r="F29" i="3"/>
  <c r="F37" i="3"/>
  <c r="F30" i="3"/>
  <c r="F38" i="3"/>
  <c r="F31" i="3"/>
  <c r="F26" i="3"/>
  <c r="F22" i="3"/>
  <c r="F32" i="3"/>
  <c r="F28" i="3"/>
  <c r="F27" i="3"/>
  <c r="F23" i="3"/>
  <c r="F41" i="3"/>
  <c r="F24" i="3"/>
  <c r="F20" i="3"/>
  <c r="F25" i="3"/>
  <c r="F17" i="3"/>
  <c r="F13" i="3"/>
  <c r="F9" i="3"/>
  <c r="F18" i="3"/>
  <c r="F14" i="3"/>
  <c r="F10" i="3"/>
  <c r="F16" i="3"/>
  <c r="F12" i="3"/>
  <c r="F19" i="3"/>
  <c r="F15" i="3"/>
  <c r="F11" i="3"/>
  <c r="F21" i="3"/>
  <c r="F7" i="3"/>
  <c r="F99" i="3" s="1"/>
  <c r="G8" i="3"/>
  <c r="G70" i="3" l="1"/>
  <c r="G59" i="3"/>
  <c r="G47" i="3"/>
  <c r="G95" i="3"/>
  <c r="G86" i="3"/>
  <c r="G81" i="3"/>
  <c r="G94" i="3"/>
  <c r="G80" i="3"/>
  <c r="G82" i="3"/>
  <c r="G57" i="3"/>
  <c r="G91" i="3"/>
  <c r="G44" i="3"/>
  <c r="G89" i="3"/>
  <c r="G65" i="3"/>
  <c r="G78" i="3"/>
  <c r="G97" i="3"/>
  <c r="G55" i="3"/>
  <c r="G74" i="3"/>
  <c r="G53" i="3"/>
  <c r="G93" i="3"/>
  <c r="G87" i="3"/>
  <c r="G90" i="3"/>
  <c r="G72" i="3"/>
  <c r="G49" i="3"/>
  <c r="G45" i="3"/>
  <c r="G64" i="3"/>
  <c r="G63" i="3"/>
  <c r="G83" i="3"/>
  <c r="G69" i="3"/>
  <c r="G85" i="3"/>
  <c r="G67" i="3"/>
  <c r="G92" i="3"/>
  <c r="G77" i="3"/>
  <c r="G71" i="3"/>
  <c r="G73" i="3"/>
  <c r="G96" i="3"/>
  <c r="G76" i="3"/>
  <c r="G51" i="3"/>
  <c r="G75" i="3"/>
  <c r="G62" i="3"/>
  <c r="G56" i="3"/>
  <c r="G88" i="3"/>
  <c r="G84" i="3"/>
  <c r="G66" i="3"/>
  <c r="G68" i="3"/>
  <c r="G52" i="3"/>
  <c r="G61" i="3"/>
  <c r="G79" i="3"/>
  <c r="G60" i="3"/>
  <c r="G58" i="3"/>
  <c r="G54" i="3"/>
  <c r="G50" i="3"/>
  <c r="G48" i="3"/>
  <c r="G46" i="3"/>
  <c r="G43" i="3"/>
  <c r="G100" i="3"/>
  <c r="E109" i="3"/>
  <c r="F104" i="3"/>
  <c r="F107" i="3"/>
  <c r="F106" i="3"/>
  <c r="F101" i="3"/>
  <c r="F105" i="3"/>
  <c r="F108" i="3"/>
  <c r="F102" i="3"/>
  <c r="F103" i="3"/>
  <c r="G40" i="3"/>
  <c r="G36" i="3"/>
  <c r="G41" i="3"/>
  <c r="G37" i="3"/>
  <c r="G35" i="3"/>
  <c r="G30" i="3"/>
  <c r="G38" i="3"/>
  <c r="G31" i="3"/>
  <c r="G39" i="3"/>
  <c r="G32" i="3"/>
  <c r="G29" i="3"/>
  <c r="G28" i="3"/>
  <c r="G27" i="3"/>
  <c r="G23" i="3"/>
  <c r="G34" i="3"/>
  <c r="G33" i="3"/>
  <c r="G24" i="3"/>
  <c r="G20" i="3"/>
  <c r="G42" i="3"/>
  <c r="G25" i="3"/>
  <c r="G21" i="3"/>
  <c r="G26" i="3"/>
  <c r="G18" i="3"/>
  <c r="G14" i="3"/>
  <c r="G10" i="3"/>
  <c r="G17" i="3"/>
  <c r="G19" i="3"/>
  <c r="G15" i="3"/>
  <c r="G11" i="3"/>
  <c r="G22" i="3"/>
  <c r="G16" i="3"/>
  <c r="G12" i="3"/>
  <c r="G13" i="3"/>
  <c r="G9" i="3"/>
  <c r="G7" i="3"/>
  <c r="G99" i="3" s="1"/>
  <c r="H8" i="3"/>
  <c r="H50" i="3" l="1"/>
  <c r="H61" i="3"/>
  <c r="H72" i="3"/>
  <c r="H73" i="3"/>
  <c r="H75" i="3"/>
  <c r="H95" i="3"/>
  <c r="H94" i="3"/>
  <c r="H47" i="3"/>
  <c r="H57" i="3"/>
  <c r="H86" i="3"/>
  <c r="H49" i="3"/>
  <c r="H70" i="3"/>
  <c r="H84" i="3"/>
  <c r="H91" i="3"/>
  <c r="H97" i="3"/>
  <c r="H79" i="3"/>
  <c r="H80" i="3"/>
  <c r="H62" i="3"/>
  <c r="H82" i="3"/>
  <c r="H63" i="3"/>
  <c r="H46" i="3"/>
  <c r="H59" i="3"/>
  <c r="H51" i="3"/>
  <c r="H87" i="3"/>
  <c r="H85" i="3"/>
  <c r="H65" i="3"/>
  <c r="H76" i="3"/>
  <c r="H66" i="3"/>
  <c r="H92" i="3"/>
  <c r="H44" i="3"/>
  <c r="H55" i="3"/>
  <c r="H67" i="3"/>
  <c r="H93" i="3"/>
  <c r="H64" i="3"/>
  <c r="H45" i="3"/>
  <c r="H83" i="3"/>
  <c r="H96" i="3"/>
  <c r="H90" i="3"/>
  <c r="H89" i="3"/>
  <c r="H71" i="3"/>
  <c r="H88" i="3"/>
  <c r="H81" i="3"/>
  <c r="H77" i="3"/>
  <c r="H68" i="3"/>
  <c r="H60" i="3"/>
  <c r="H52" i="3"/>
  <c r="H78" i="3"/>
  <c r="H74" i="3"/>
  <c r="H69" i="3"/>
  <c r="H48" i="3"/>
  <c r="H58" i="3"/>
  <c r="H54" i="3"/>
  <c r="H53" i="3"/>
  <c r="H56" i="3"/>
  <c r="H43" i="3"/>
  <c r="H100" i="3"/>
  <c r="F109" i="3"/>
  <c r="G108" i="3"/>
  <c r="G105" i="3"/>
  <c r="G101" i="3"/>
  <c r="G104" i="3"/>
  <c r="G103" i="3"/>
  <c r="G102" i="3"/>
  <c r="G107" i="3"/>
  <c r="G106" i="3"/>
  <c r="H41" i="3"/>
  <c r="H37" i="3"/>
  <c r="H33" i="3"/>
  <c r="H42" i="3"/>
  <c r="H38" i="3"/>
  <c r="H34" i="3"/>
  <c r="H36" i="3"/>
  <c r="H31" i="3"/>
  <c r="H39" i="3"/>
  <c r="H32" i="3"/>
  <c r="H28" i="3"/>
  <c r="H40" i="3"/>
  <c r="H29" i="3"/>
  <c r="H30" i="3"/>
  <c r="H24" i="3"/>
  <c r="H20" i="3"/>
  <c r="H35" i="3"/>
  <c r="H25" i="3"/>
  <c r="H21" i="3"/>
  <c r="H26" i="3"/>
  <c r="H22" i="3"/>
  <c r="H27" i="3"/>
  <c r="H19" i="3"/>
  <c r="H15" i="3"/>
  <c r="H11" i="3"/>
  <c r="H23" i="3"/>
  <c r="H16" i="3"/>
  <c r="H12" i="3"/>
  <c r="H18" i="3"/>
  <c r="H14" i="3"/>
  <c r="H10" i="3"/>
  <c r="H17" i="3"/>
  <c r="H13" i="3"/>
  <c r="H9" i="3"/>
  <c r="H7" i="3"/>
  <c r="H99" i="3" s="1"/>
  <c r="I8" i="3"/>
  <c r="I44" i="3" l="1"/>
  <c r="I70" i="3"/>
  <c r="I82" i="3"/>
  <c r="I69" i="3"/>
  <c r="I48" i="3"/>
  <c r="I63" i="3"/>
  <c r="I95" i="3"/>
  <c r="I89" i="3"/>
  <c r="I75" i="3"/>
  <c r="I93" i="3"/>
  <c r="I81" i="3"/>
  <c r="I91" i="3"/>
  <c r="I79" i="3"/>
  <c r="I72" i="3"/>
  <c r="I73" i="3"/>
  <c r="I87" i="3"/>
  <c r="I92" i="3"/>
  <c r="I74" i="3"/>
  <c r="I86" i="3"/>
  <c r="I55" i="3"/>
  <c r="I57" i="3"/>
  <c r="I90" i="3"/>
  <c r="I94" i="3"/>
  <c r="I64" i="3"/>
  <c r="I59" i="3"/>
  <c r="I96" i="3"/>
  <c r="I67" i="3"/>
  <c r="I97" i="3"/>
  <c r="I85" i="3"/>
  <c r="I71" i="3"/>
  <c r="I61" i="3"/>
  <c r="I62" i="3"/>
  <c r="I51" i="3"/>
  <c r="I52" i="3"/>
  <c r="I49" i="3"/>
  <c r="I80" i="3"/>
  <c r="I88" i="3"/>
  <c r="I60" i="3"/>
  <c r="I53" i="3"/>
  <c r="I78" i="3"/>
  <c r="I76" i="3"/>
  <c r="I65" i="3"/>
  <c r="I58" i="3"/>
  <c r="I54" i="3"/>
  <c r="I84" i="3"/>
  <c r="I77" i="3"/>
  <c r="I83" i="3"/>
  <c r="I68" i="3"/>
  <c r="I66" i="3"/>
  <c r="I50" i="3"/>
  <c r="I56" i="3"/>
  <c r="I47" i="3"/>
  <c r="I45" i="3"/>
  <c r="I46" i="3"/>
  <c r="I43" i="3"/>
  <c r="I100" i="3"/>
  <c r="G109" i="3"/>
  <c r="H103" i="3"/>
  <c r="H108" i="3"/>
  <c r="H104" i="3"/>
  <c r="H105" i="3"/>
  <c r="H106" i="3"/>
  <c r="H107" i="3"/>
  <c r="H101" i="3"/>
  <c r="H102" i="3"/>
  <c r="I42" i="3"/>
  <c r="I38" i="3"/>
  <c r="I34" i="3"/>
  <c r="I39" i="3"/>
  <c r="I35" i="3"/>
  <c r="I37" i="3"/>
  <c r="I32" i="3"/>
  <c r="I28" i="3"/>
  <c r="I40" i="3"/>
  <c r="I29" i="3"/>
  <c r="I41" i="3"/>
  <c r="I33" i="3"/>
  <c r="I30" i="3"/>
  <c r="I31" i="3"/>
  <c r="I25" i="3"/>
  <c r="I21" i="3"/>
  <c r="I36" i="3"/>
  <c r="I26" i="3"/>
  <c r="I22" i="3"/>
  <c r="I27" i="3"/>
  <c r="I23" i="3"/>
  <c r="I16" i="3"/>
  <c r="I12" i="3"/>
  <c r="I15" i="3"/>
  <c r="I17" i="3"/>
  <c r="I13" i="3"/>
  <c r="I9" i="3"/>
  <c r="I11" i="3"/>
  <c r="I20" i="3"/>
  <c r="I18" i="3"/>
  <c r="I14" i="3"/>
  <c r="I10" i="3"/>
  <c r="I24" i="3"/>
  <c r="I19" i="3"/>
  <c r="I7" i="3"/>
  <c r="I99" i="3" s="1"/>
  <c r="J8" i="3"/>
  <c r="J56" i="3" l="1"/>
  <c r="J57" i="3"/>
  <c r="J63" i="3"/>
  <c r="J54" i="3"/>
  <c r="J64" i="3"/>
  <c r="J44" i="3"/>
  <c r="J55" i="3"/>
  <c r="J61" i="3"/>
  <c r="J70" i="3"/>
  <c r="J82" i="3"/>
  <c r="J97" i="3"/>
  <c r="J91" i="3"/>
  <c r="J49" i="3"/>
  <c r="J69" i="3"/>
  <c r="J88" i="3"/>
  <c r="J92" i="3"/>
  <c r="J93" i="3"/>
  <c r="J90" i="3"/>
  <c r="J94" i="3"/>
  <c r="J95" i="3"/>
  <c r="J65" i="3"/>
  <c r="J73" i="3"/>
  <c r="J89" i="3"/>
  <c r="J62" i="3"/>
  <c r="J85" i="3"/>
  <c r="J87" i="3"/>
  <c r="J76" i="3"/>
  <c r="J79" i="3"/>
  <c r="J83" i="3"/>
  <c r="J51" i="3"/>
  <c r="J96" i="3"/>
  <c r="J58" i="3"/>
  <c r="J86" i="3"/>
  <c r="J67" i="3"/>
  <c r="J72" i="3"/>
  <c r="J59" i="3"/>
  <c r="J45" i="3"/>
  <c r="J81" i="3"/>
  <c r="J71" i="3"/>
  <c r="J74" i="3"/>
  <c r="J84" i="3"/>
  <c r="J46" i="3"/>
  <c r="J53" i="3"/>
  <c r="J75" i="3"/>
  <c r="J52" i="3"/>
  <c r="J47" i="3"/>
  <c r="J50" i="3"/>
  <c r="J77" i="3"/>
  <c r="J80" i="3"/>
  <c r="J60" i="3"/>
  <c r="J78" i="3"/>
  <c r="J68" i="3"/>
  <c r="J66" i="3"/>
  <c r="J48" i="3"/>
  <c r="J43" i="3"/>
  <c r="J100" i="3"/>
  <c r="H109" i="3"/>
  <c r="I107" i="3"/>
  <c r="I105" i="3"/>
  <c r="I101" i="3"/>
  <c r="I108" i="3"/>
  <c r="I104" i="3"/>
  <c r="I102" i="3"/>
  <c r="I106" i="3"/>
  <c r="I103" i="3"/>
  <c r="J39" i="3"/>
  <c r="J35" i="3"/>
  <c r="J40" i="3"/>
  <c r="J36" i="3"/>
  <c r="J38" i="3"/>
  <c r="J29" i="3"/>
  <c r="J41" i="3"/>
  <c r="J33" i="3"/>
  <c r="J30" i="3"/>
  <c r="J42" i="3"/>
  <c r="J34" i="3"/>
  <c r="J31" i="3"/>
  <c r="J32" i="3"/>
  <c r="J26" i="3"/>
  <c r="J22" i="3"/>
  <c r="J37" i="3"/>
  <c r="J27" i="3"/>
  <c r="J23" i="3"/>
  <c r="J24" i="3"/>
  <c r="J20" i="3"/>
  <c r="J17" i="3"/>
  <c r="J13" i="3"/>
  <c r="J9" i="3"/>
  <c r="J25" i="3"/>
  <c r="J12" i="3"/>
  <c r="J18" i="3"/>
  <c r="J14" i="3"/>
  <c r="J10" i="3"/>
  <c r="J21" i="3"/>
  <c r="J19" i="3"/>
  <c r="J15" i="3"/>
  <c r="J11" i="3"/>
  <c r="J28" i="3"/>
  <c r="J16" i="3"/>
  <c r="J7" i="3"/>
  <c r="J99" i="3" s="1"/>
  <c r="K8" i="3"/>
  <c r="K57" i="3" l="1"/>
  <c r="K63" i="3"/>
  <c r="K59" i="3"/>
  <c r="K80" i="3"/>
  <c r="K47" i="3"/>
  <c r="K78" i="3"/>
  <c r="K89" i="3"/>
  <c r="K44" i="3"/>
  <c r="K82" i="3"/>
  <c r="K70" i="3"/>
  <c r="K95" i="3"/>
  <c r="K73" i="3"/>
  <c r="K81" i="3"/>
  <c r="K91" i="3"/>
  <c r="K68" i="3"/>
  <c r="K71" i="3"/>
  <c r="K86" i="3"/>
  <c r="K69" i="3"/>
  <c r="K74" i="3"/>
  <c r="K67" i="3"/>
  <c r="K93" i="3"/>
  <c r="K94" i="3"/>
  <c r="K96" i="3"/>
  <c r="K83" i="3"/>
  <c r="K45" i="3"/>
  <c r="K97" i="3"/>
  <c r="K85" i="3"/>
  <c r="K92" i="3"/>
  <c r="K90" i="3"/>
  <c r="K64" i="3"/>
  <c r="K55" i="3"/>
  <c r="K88" i="3"/>
  <c r="K79" i="3"/>
  <c r="K77" i="3"/>
  <c r="K58" i="3"/>
  <c r="K54" i="3"/>
  <c r="K51" i="3"/>
  <c r="K65" i="3"/>
  <c r="K76" i="3"/>
  <c r="K75" i="3"/>
  <c r="K62" i="3"/>
  <c r="K56" i="3"/>
  <c r="K84" i="3"/>
  <c r="K66" i="3"/>
  <c r="K72" i="3"/>
  <c r="K60" i="3"/>
  <c r="K52" i="3"/>
  <c r="K87" i="3"/>
  <c r="K61" i="3"/>
  <c r="K49" i="3"/>
  <c r="K53" i="3"/>
  <c r="K50" i="3"/>
  <c r="K48" i="3"/>
  <c r="K46" i="3"/>
  <c r="K43" i="3"/>
  <c r="K100" i="3"/>
  <c r="I109" i="3"/>
  <c r="J104" i="3"/>
  <c r="J101" i="3"/>
  <c r="J105" i="3"/>
  <c r="J106" i="3"/>
  <c r="J103" i="3"/>
  <c r="J107" i="3"/>
  <c r="J108" i="3"/>
  <c r="J102" i="3"/>
  <c r="K40" i="3"/>
  <c r="K36" i="3"/>
  <c r="K41" i="3"/>
  <c r="K37" i="3"/>
  <c r="K33" i="3"/>
  <c r="K39" i="3"/>
  <c r="K30" i="3"/>
  <c r="K42" i="3"/>
  <c r="K34" i="3"/>
  <c r="K31" i="3"/>
  <c r="K35" i="3"/>
  <c r="K32" i="3"/>
  <c r="K28" i="3"/>
  <c r="K27" i="3"/>
  <c r="K23" i="3"/>
  <c r="K38" i="3"/>
  <c r="K24" i="3"/>
  <c r="K20" i="3"/>
  <c r="K25" i="3"/>
  <c r="K21" i="3"/>
  <c r="K18" i="3"/>
  <c r="K14" i="3"/>
  <c r="K10" i="3"/>
  <c r="K9" i="3"/>
  <c r="K29" i="3"/>
  <c r="K19" i="3"/>
  <c r="K15" i="3"/>
  <c r="K11" i="3"/>
  <c r="K26" i="3"/>
  <c r="K13" i="3"/>
  <c r="K22" i="3"/>
  <c r="K16" i="3"/>
  <c r="K12" i="3"/>
  <c r="K17" i="3"/>
  <c r="K7" i="3"/>
  <c r="K99" i="3" s="1"/>
  <c r="L8" i="3"/>
  <c r="L44" i="3" l="1"/>
  <c r="L45" i="3"/>
  <c r="L50" i="3"/>
  <c r="L65" i="3"/>
  <c r="L75" i="3"/>
  <c r="L95" i="3"/>
  <c r="L87" i="3"/>
  <c r="L46" i="3"/>
  <c r="L62" i="3"/>
  <c r="L91" i="3"/>
  <c r="L52" i="3"/>
  <c r="L79" i="3"/>
  <c r="L73" i="3"/>
  <c r="L49" i="3"/>
  <c r="L61" i="3"/>
  <c r="L72" i="3"/>
  <c r="L83" i="3"/>
  <c r="L48" i="3"/>
  <c r="L70" i="3"/>
  <c r="L84" i="3"/>
  <c r="L97" i="3"/>
  <c r="L94" i="3"/>
  <c r="L80" i="3"/>
  <c r="L76" i="3"/>
  <c r="L82" i="3"/>
  <c r="L93" i="3"/>
  <c r="L66" i="3"/>
  <c r="L64" i="3"/>
  <c r="L59" i="3"/>
  <c r="L96" i="3"/>
  <c r="L90" i="3"/>
  <c r="L89" i="3"/>
  <c r="L67" i="3"/>
  <c r="L53" i="3"/>
  <c r="L92" i="3"/>
  <c r="L85" i="3"/>
  <c r="L55" i="3"/>
  <c r="L51" i="3"/>
  <c r="L47" i="3"/>
  <c r="L88" i="3"/>
  <c r="L56" i="3"/>
  <c r="L86" i="3"/>
  <c r="L71" i="3"/>
  <c r="L69" i="3"/>
  <c r="L57" i="3"/>
  <c r="L81" i="3"/>
  <c r="L77" i="3"/>
  <c r="L68" i="3"/>
  <c r="L63" i="3"/>
  <c r="L60" i="3"/>
  <c r="L78" i="3"/>
  <c r="L74" i="3"/>
  <c r="L58" i="3"/>
  <c r="L54" i="3"/>
  <c r="L43" i="3"/>
  <c r="L100" i="3"/>
  <c r="J109" i="3"/>
  <c r="K103" i="3"/>
  <c r="K104" i="3"/>
  <c r="K108" i="3"/>
  <c r="K106" i="3"/>
  <c r="K102" i="3"/>
  <c r="K107" i="3"/>
  <c r="K101" i="3"/>
  <c r="K105" i="3"/>
  <c r="L41" i="3"/>
  <c r="L37" i="3"/>
  <c r="L33" i="3"/>
  <c r="L42" i="3"/>
  <c r="L38" i="3"/>
  <c r="L34" i="3"/>
  <c r="L40" i="3"/>
  <c r="L31" i="3"/>
  <c r="L27" i="3"/>
  <c r="L35" i="3"/>
  <c r="L32" i="3"/>
  <c r="L28" i="3"/>
  <c r="L36" i="3"/>
  <c r="L29" i="3"/>
  <c r="L24" i="3"/>
  <c r="L20" i="3"/>
  <c r="L39" i="3"/>
  <c r="L25" i="3"/>
  <c r="L21" i="3"/>
  <c r="L26" i="3"/>
  <c r="L22" i="3"/>
  <c r="L19" i="3"/>
  <c r="L15" i="3"/>
  <c r="L11" i="3"/>
  <c r="L18" i="3"/>
  <c r="L16" i="3"/>
  <c r="L12" i="3"/>
  <c r="L23" i="3"/>
  <c r="L17" i="3"/>
  <c r="L13" i="3"/>
  <c r="L9" i="3"/>
  <c r="L30" i="3"/>
  <c r="L14" i="3"/>
  <c r="L10" i="3"/>
  <c r="L7" i="3"/>
  <c r="L99" i="3" s="1"/>
  <c r="M8" i="3"/>
  <c r="M69" i="3" l="1"/>
  <c r="M70" i="3"/>
  <c r="M75" i="3"/>
  <c r="M44" i="3"/>
  <c r="M72" i="3"/>
  <c r="M74" i="3"/>
  <c r="M86" i="3"/>
  <c r="M95" i="3"/>
  <c r="M91" i="3"/>
  <c r="M81" i="3"/>
  <c r="M89" i="3"/>
  <c r="M63" i="3"/>
  <c r="M96" i="3"/>
  <c r="M87" i="3"/>
  <c r="M77" i="3"/>
  <c r="M73" i="3"/>
  <c r="M82" i="3"/>
  <c r="M57" i="3"/>
  <c r="M67" i="3"/>
  <c r="M55" i="3"/>
  <c r="M90" i="3"/>
  <c r="M94" i="3"/>
  <c r="M64" i="3"/>
  <c r="M59" i="3"/>
  <c r="M93" i="3"/>
  <c r="M97" i="3"/>
  <c r="M85" i="3"/>
  <c r="M66" i="3"/>
  <c r="M92" i="3"/>
  <c r="M88" i="3"/>
  <c r="M83" i="3"/>
  <c r="M68" i="3"/>
  <c r="M56" i="3"/>
  <c r="M52" i="3"/>
  <c r="M47" i="3"/>
  <c r="M79" i="3"/>
  <c r="M71" i="3"/>
  <c r="M61" i="3"/>
  <c r="M62" i="3"/>
  <c r="M48" i="3"/>
  <c r="M51" i="3"/>
  <c r="M49" i="3"/>
  <c r="M80" i="3"/>
  <c r="M78" i="3"/>
  <c r="M50" i="3"/>
  <c r="M60" i="3"/>
  <c r="M53" i="3"/>
  <c r="M84" i="3"/>
  <c r="M76" i="3"/>
  <c r="M65" i="3"/>
  <c r="M58" i="3"/>
  <c r="M54" i="3"/>
  <c r="M45" i="3"/>
  <c r="M46" i="3"/>
  <c r="M43" i="3"/>
  <c r="M100" i="3"/>
  <c r="K109" i="3"/>
  <c r="L107" i="3"/>
  <c r="L102" i="3"/>
  <c r="L101" i="3"/>
  <c r="L104" i="3"/>
  <c r="L103" i="3"/>
  <c r="L106" i="3"/>
  <c r="L105" i="3"/>
  <c r="L108" i="3"/>
  <c r="M42" i="3"/>
  <c r="M38" i="3"/>
  <c r="M34" i="3"/>
  <c r="M39" i="3"/>
  <c r="M35" i="3"/>
  <c r="M41" i="3"/>
  <c r="M33" i="3"/>
  <c r="M32" i="3"/>
  <c r="M28" i="3"/>
  <c r="M36" i="3"/>
  <c r="M29" i="3"/>
  <c r="M37" i="3"/>
  <c r="M30" i="3"/>
  <c r="M25" i="3"/>
  <c r="M21" i="3"/>
  <c r="M40" i="3"/>
  <c r="M26" i="3"/>
  <c r="M22" i="3"/>
  <c r="M23" i="3"/>
  <c r="M16" i="3"/>
  <c r="M12" i="3"/>
  <c r="M31" i="3"/>
  <c r="M20" i="3"/>
  <c r="M17" i="3"/>
  <c r="M13" i="3"/>
  <c r="M9" i="3"/>
  <c r="M27" i="3"/>
  <c r="M19" i="3"/>
  <c r="M15" i="3"/>
  <c r="M24" i="3"/>
  <c r="M18" i="3"/>
  <c r="M14" i="3"/>
  <c r="M10" i="3"/>
  <c r="M11" i="3"/>
  <c r="M7" i="3"/>
  <c r="M99" i="3" s="1"/>
  <c r="N8" i="3"/>
  <c r="N48" i="3" l="1"/>
  <c r="N67" i="3"/>
  <c r="N70" i="3"/>
  <c r="N75" i="3"/>
  <c r="N44" i="3"/>
  <c r="N63" i="3"/>
  <c r="N64" i="3"/>
  <c r="N73" i="3"/>
  <c r="N82" i="3"/>
  <c r="N58" i="3"/>
  <c r="N92" i="3"/>
  <c r="N59" i="3"/>
  <c r="N72" i="3"/>
  <c r="N96" i="3"/>
  <c r="N93" i="3"/>
  <c r="N91" i="3"/>
  <c r="N95" i="3"/>
  <c r="N69" i="3"/>
  <c r="N85" i="3"/>
  <c r="N57" i="3"/>
  <c r="N45" i="3"/>
  <c r="N56" i="3"/>
  <c r="N79" i="3"/>
  <c r="N65" i="3"/>
  <c r="N97" i="3"/>
  <c r="N94" i="3"/>
  <c r="N89" i="3"/>
  <c r="N90" i="3"/>
  <c r="N88" i="3"/>
  <c r="N87" i="3"/>
  <c r="N86" i="3"/>
  <c r="N71" i="3"/>
  <c r="N76" i="3"/>
  <c r="N50" i="3"/>
  <c r="N83" i="3"/>
  <c r="N74" i="3"/>
  <c r="N55" i="3"/>
  <c r="N51" i="3"/>
  <c r="N81" i="3"/>
  <c r="N61" i="3"/>
  <c r="N80" i="3"/>
  <c r="N77" i="3"/>
  <c r="N54" i="3"/>
  <c r="N60" i="3"/>
  <c r="N78" i="3"/>
  <c r="N62" i="3"/>
  <c r="N46" i="3"/>
  <c r="N47" i="3"/>
  <c r="N84" i="3"/>
  <c r="N68" i="3"/>
  <c r="N66" i="3"/>
  <c r="N49" i="3"/>
  <c r="N53" i="3"/>
  <c r="N52" i="3"/>
  <c r="N43" i="3"/>
  <c r="N100" i="3"/>
  <c r="L109" i="3"/>
  <c r="M101" i="3"/>
  <c r="M108" i="3"/>
  <c r="M105" i="3"/>
  <c r="M104" i="3"/>
  <c r="M102" i="3"/>
  <c r="M103" i="3"/>
  <c r="M107" i="3"/>
  <c r="M106" i="3"/>
  <c r="N39" i="3"/>
  <c r="N35" i="3"/>
  <c r="N40" i="3"/>
  <c r="N36" i="3"/>
  <c r="N42" i="3"/>
  <c r="N34" i="3"/>
  <c r="N29" i="3"/>
  <c r="N37" i="3"/>
  <c r="N30" i="3"/>
  <c r="N38" i="3"/>
  <c r="N31" i="3"/>
  <c r="N33" i="3"/>
  <c r="N26" i="3"/>
  <c r="N22" i="3"/>
  <c r="N41" i="3"/>
  <c r="N23" i="3"/>
  <c r="N28" i="3"/>
  <c r="N27" i="3"/>
  <c r="N24" i="3"/>
  <c r="N20" i="3"/>
  <c r="N17" i="3"/>
  <c r="N13" i="3"/>
  <c r="N9" i="3"/>
  <c r="N32" i="3"/>
  <c r="N16" i="3"/>
  <c r="N21" i="3"/>
  <c r="N18" i="3"/>
  <c r="N14" i="3"/>
  <c r="N10" i="3"/>
  <c r="N25" i="3"/>
  <c r="N19" i="3"/>
  <c r="N15" i="3"/>
  <c r="N11" i="3"/>
  <c r="N12" i="3"/>
  <c r="N7" i="3"/>
  <c r="N99" i="3" s="1"/>
  <c r="O8" i="3"/>
  <c r="O69" i="3" l="1"/>
  <c r="O81" i="3"/>
  <c r="O82" i="3"/>
  <c r="O57" i="3"/>
  <c r="O70" i="3"/>
  <c r="O76" i="3"/>
  <c r="O44" i="3"/>
  <c r="O86" i="3"/>
  <c r="O95" i="3"/>
  <c r="O51" i="3"/>
  <c r="O63" i="3"/>
  <c r="O65" i="3"/>
  <c r="O91" i="3"/>
  <c r="O59" i="3"/>
  <c r="O49" i="3"/>
  <c r="O67" i="3"/>
  <c r="O60" i="3"/>
  <c r="O89" i="3"/>
  <c r="O73" i="3"/>
  <c r="O93" i="3"/>
  <c r="O71" i="3"/>
  <c r="O45" i="3"/>
  <c r="O94" i="3"/>
  <c r="O96" i="3"/>
  <c r="O97" i="3"/>
  <c r="O85" i="3"/>
  <c r="O74" i="3"/>
  <c r="O92" i="3"/>
  <c r="O90" i="3"/>
  <c r="O64" i="3"/>
  <c r="O55" i="3"/>
  <c r="O83" i="3"/>
  <c r="O61" i="3"/>
  <c r="O50" i="3"/>
  <c r="O47" i="3"/>
  <c r="O48" i="3"/>
  <c r="O79" i="3"/>
  <c r="O77" i="3"/>
  <c r="O80" i="3"/>
  <c r="O72" i="3"/>
  <c r="O58" i="3"/>
  <c r="O54" i="3"/>
  <c r="O53" i="3"/>
  <c r="O87" i="3"/>
  <c r="O78" i="3"/>
  <c r="O75" i="3"/>
  <c r="O68" i="3"/>
  <c r="O62" i="3"/>
  <c r="O56" i="3"/>
  <c r="O88" i="3"/>
  <c r="O84" i="3"/>
  <c r="O66" i="3"/>
  <c r="O52" i="3"/>
  <c r="O46" i="3"/>
  <c r="O43" i="3"/>
  <c r="O100" i="3"/>
  <c r="M109" i="3"/>
  <c r="N104" i="3"/>
  <c r="N103" i="3"/>
  <c r="N105" i="3"/>
  <c r="N106" i="3"/>
  <c r="N107" i="3"/>
  <c r="N101" i="3"/>
  <c r="N108" i="3"/>
  <c r="N102" i="3"/>
  <c r="O40" i="3"/>
  <c r="O36" i="3"/>
  <c r="O41" i="3"/>
  <c r="O37" i="3"/>
  <c r="O33" i="3"/>
  <c r="O35" i="3"/>
  <c r="O30" i="3"/>
  <c r="O38" i="3"/>
  <c r="O31" i="3"/>
  <c r="O39" i="3"/>
  <c r="O32" i="3"/>
  <c r="O28" i="3"/>
  <c r="O34" i="3"/>
  <c r="O23" i="3"/>
  <c r="O42" i="3"/>
  <c r="O27" i="3"/>
  <c r="O24" i="3"/>
  <c r="O20" i="3"/>
  <c r="O29" i="3"/>
  <c r="O25" i="3"/>
  <c r="O21" i="3"/>
  <c r="O18" i="3"/>
  <c r="O14" i="3"/>
  <c r="O10" i="3"/>
  <c r="O13" i="3"/>
  <c r="O22" i="3"/>
  <c r="O19" i="3"/>
  <c r="O15" i="3"/>
  <c r="O11" i="3"/>
  <c r="O17" i="3"/>
  <c r="O9" i="3"/>
  <c r="O26" i="3"/>
  <c r="O16" i="3"/>
  <c r="O12" i="3"/>
  <c r="O7" i="3"/>
  <c r="O99" i="3" s="1"/>
  <c r="P8" i="3"/>
  <c r="P44" i="3" l="1"/>
  <c r="P79" i="3"/>
  <c r="P95" i="3"/>
  <c r="P97" i="3"/>
  <c r="P94" i="3"/>
  <c r="P82" i="3"/>
  <c r="P87" i="3"/>
  <c r="P45" i="3"/>
  <c r="P73" i="3"/>
  <c r="P80" i="3"/>
  <c r="P70" i="3"/>
  <c r="P91" i="3"/>
  <c r="P61" i="3"/>
  <c r="P96" i="3"/>
  <c r="P90" i="3"/>
  <c r="P89" i="3"/>
  <c r="P65" i="3"/>
  <c r="P88" i="3"/>
  <c r="P83" i="3"/>
  <c r="P62" i="3"/>
  <c r="P92" i="3"/>
  <c r="P85" i="3"/>
  <c r="P55" i="3"/>
  <c r="P67" i="3"/>
  <c r="P93" i="3"/>
  <c r="P72" i="3"/>
  <c r="P64" i="3"/>
  <c r="P47" i="3"/>
  <c r="P59" i="3"/>
  <c r="P78" i="3"/>
  <c r="P86" i="3"/>
  <c r="P76" i="3"/>
  <c r="P75" i="3"/>
  <c r="P74" i="3"/>
  <c r="P69" i="3"/>
  <c r="P57" i="3"/>
  <c r="P46" i="3"/>
  <c r="P58" i="3"/>
  <c r="P54" i="3"/>
  <c r="P53" i="3"/>
  <c r="P52" i="3"/>
  <c r="P50" i="3"/>
  <c r="P63" i="3"/>
  <c r="P56" i="3"/>
  <c r="P71" i="3"/>
  <c r="P66" i="3"/>
  <c r="P49" i="3"/>
  <c r="P48" i="3"/>
  <c r="P81" i="3"/>
  <c r="P77" i="3"/>
  <c r="P84" i="3"/>
  <c r="P68" i="3"/>
  <c r="P60" i="3"/>
  <c r="P51" i="3"/>
  <c r="P43" i="3"/>
  <c r="P100" i="3"/>
  <c r="N109" i="3"/>
  <c r="O102" i="3"/>
  <c r="O103" i="3"/>
  <c r="O105" i="3"/>
  <c r="O104" i="3"/>
  <c r="O108" i="3"/>
  <c r="O107" i="3"/>
  <c r="O101" i="3"/>
  <c r="O106" i="3"/>
  <c r="P41" i="3"/>
  <c r="P37" i="3"/>
  <c r="P33" i="3"/>
  <c r="P42" i="3"/>
  <c r="P38" i="3"/>
  <c r="P34" i="3"/>
  <c r="P36" i="3"/>
  <c r="P31" i="3"/>
  <c r="P27" i="3"/>
  <c r="P39" i="3"/>
  <c r="P32" i="3"/>
  <c r="P28" i="3"/>
  <c r="P40" i="3"/>
  <c r="P29" i="3"/>
  <c r="P35" i="3"/>
  <c r="P24" i="3"/>
  <c r="P20" i="3"/>
  <c r="P25" i="3"/>
  <c r="P21" i="3"/>
  <c r="P30" i="3"/>
  <c r="P26" i="3"/>
  <c r="P22" i="3"/>
  <c r="P19" i="3"/>
  <c r="P15" i="3"/>
  <c r="P11" i="3"/>
  <c r="P14" i="3"/>
  <c r="P10" i="3"/>
  <c r="P23" i="3"/>
  <c r="P16" i="3"/>
  <c r="P12" i="3"/>
  <c r="P17" i="3"/>
  <c r="P13" i="3"/>
  <c r="P9" i="3"/>
  <c r="P18" i="3"/>
  <c r="P7" i="3"/>
  <c r="P99" i="3" s="1"/>
  <c r="Q8" i="3"/>
  <c r="Q63" i="3" l="1"/>
  <c r="Q44" i="3"/>
  <c r="Q48" i="3"/>
  <c r="Q82" i="3"/>
  <c r="Q70" i="3"/>
  <c r="Q89" i="3"/>
  <c r="Q95" i="3"/>
  <c r="Q57" i="3"/>
  <c r="Q87" i="3"/>
  <c r="Q78" i="3"/>
  <c r="Q91" i="3"/>
  <c r="Q72" i="3"/>
  <c r="Q75" i="3"/>
  <c r="Q68" i="3"/>
  <c r="Q86" i="3"/>
  <c r="Q73" i="3"/>
  <c r="Q52" i="3"/>
  <c r="Q79" i="3"/>
  <c r="Q90" i="3"/>
  <c r="Q94" i="3"/>
  <c r="Q64" i="3"/>
  <c r="Q59" i="3"/>
  <c r="Q69" i="3"/>
  <c r="Q93" i="3"/>
  <c r="Q67" i="3"/>
  <c r="Q97" i="3"/>
  <c r="Q85" i="3"/>
  <c r="Q96" i="3"/>
  <c r="Q92" i="3"/>
  <c r="Q84" i="3"/>
  <c r="Q81" i="3"/>
  <c r="Q74" i="3"/>
  <c r="Q66" i="3"/>
  <c r="Q55" i="3"/>
  <c r="Q76" i="3"/>
  <c r="Q65" i="3"/>
  <c r="Q54" i="3"/>
  <c r="Q46" i="3"/>
  <c r="Q77" i="3"/>
  <c r="Q83" i="3"/>
  <c r="Q56" i="3"/>
  <c r="Q47" i="3"/>
  <c r="Q71" i="3"/>
  <c r="Q61" i="3"/>
  <c r="Q62" i="3"/>
  <c r="Q50" i="3"/>
  <c r="Q58" i="3"/>
  <c r="Q80" i="3"/>
  <c r="Q88" i="3"/>
  <c r="Q60" i="3"/>
  <c r="Q53" i="3"/>
  <c r="Q51" i="3"/>
  <c r="Q49" i="3"/>
  <c r="Q45" i="3"/>
  <c r="Q43" i="3"/>
  <c r="Q100" i="3"/>
  <c r="O109" i="3"/>
  <c r="P101" i="3"/>
  <c r="P103" i="3"/>
  <c r="P108" i="3"/>
  <c r="P105" i="3"/>
  <c r="P106" i="3"/>
  <c r="P102" i="3"/>
  <c r="P107" i="3"/>
  <c r="P104" i="3"/>
  <c r="Q42" i="3"/>
  <c r="Q38" i="3"/>
  <c r="Q34" i="3"/>
  <c r="Q39" i="3"/>
  <c r="Q35" i="3"/>
  <c r="Q37" i="3"/>
  <c r="Q32" i="3"/>
  <c r="Q28" i="3"/>
  <c r="Q40" i="3"/>
  <c r="Q29" i="3"/>
  <c r="Q41" i="3"/>
  <c r="Q33" i="3"/>
  <c r="Q30" i="3"/>
  <c r="Q36" i="3"/>
  <c r="Q27" i="3"/>
  <c r="Q25" i="3"/>
  <c r="Q21" i="3"/>
  <c r="Q26" i="3"/>
  <c r="Q22" i="3"/>
  <c r="Q31" i="3"/>
  <c r="Q23" i="3"/>
  <c r="Q19" i="3"/>
  <c r="Q20" i="3"/>
  <c r="Q16" i="3"/>
  <c r="Q12" i="3"/>
  <c r="Q11" i="3"/>
  <c r="Q24" i="3"/>
  <c r="Q17" i="3"/>
  <c r="Q13" i="3"/>
  <c r="Q9" i="3"/>
  <c r="Q18" i="3"/>
  <c r="Q14" i="3"/>
  <c r="Q10" i="3"/>
  <c r="Q15" i="3"/>
  <c r="Q7" i="3"/>
  <c r="Q99" i="3" s="1"/>
  <c r="R8" i="3"/>
  <c r="R70" i="3" l="1"/>
  <c r="R44" i="3"/>
  <c r="R69" i="3"/>
  <c r="R75" i="3"/>
  <c r="R81" i="3"/>
  <c r="R64" i="3"/>
  <c r="R91" i="3"/>
  <c r="R94" i="3"/>
  <c r="R61" i="3"/>
  <c r="R45" i="3"/>
  <c r="R95" i="3"/>
  <c r="R97" i="3"/>
  <c r="R54" i="3"/>
  <c r="R72" i="3"/>
  <c r="R96" i="3"/>
  <c r="R93" i="3"/>
  <c r="R55" i="3"/>
  <c r="R87" i="3"/>
  <c r="R85" i="3"/>
  <c r="R79" i="3"/>
  <c r="R63" i="3"/>
  <c r="R58" i="3"/>
  <c r="R92" i="3"/>
  <c r="R90" i="3"/>
  <c r="R49" i="3"/>
  <c r="R89" i="3"/>
  <c r="R67" i="3"/>
  <c r="R83" i="3"/>
  <c r="R80" i="3"/>
  <c r="R73" i="3"/>
  <c r="R66" i="3"/>
  <c r="R47" i="3"/>
  <c r="R88" i="3"/>
  <c r="R86" i="3"/>
  <c r="R65" i="3"/>
  <c r="R59" i="3"/>
  <c r="R50" i="3"/>
  <c r="R51" i="3"/>
  <c r="R82" i="3"/>
  <c r="R57" i="3"/>
  <c r="R76" i="3"/>
  <c r="R74" i="3"/>
  <c r="R48" i="3"/>
  <c r="R56" i="3"/>
  <c r="R78" i="3"/>
  <c r="R53" i="3"/>
  <c r="R60" i="3"/>
  <c r="R46" i="3"/>
  <c r="R84" i="3"/>
  <c r="R62" i="3"/>
  <c r="R77" i="3"/>
  <c r="R71" i="3"/>
  <c r="R68" i="3"/>
  <c r="R52" i="3"/>
  <c r="R43" i="3"/>
  <c r="R100" i="3"/>
  <c r="P109" i="3"/>
  <c r="Q103" i="3"/>
  <c r="Q107" i="3"/>
  <c r="Q106" i="3"/>
  <c r="Q101" i="3"/>
  <c r="Q105" i="3"/>
  <c r="Q104" i="3"/>
  <c r="Q108" i="3"/>
  <c r="Q102" i="3"/>
  <c r="R39" i="3"/>
  <c r="R35" i="3"/>
  <c r="R40" i="3"/>
  <c r="R36" i="3"/>
  <c r="R38" i="3"/>
  <c r="R29" i="3"/>
  <c r="R41" i="3"/>
  <c r="R33" i="3"/>
  <c r="R30" i="3"/>
  <c r="R42" i="3"/>
  <c r="R34" i="3"/>
  <c r="R31" i="3"/>
  <c r="R37" i="3"/>
  <c r="R26" i="3"/>
  <c r="R22" i="3"/>
  <c r="R28" i="3"/>
  <c r="R23" i="3"/>
  <c r="R19" i="3"/>
  <c r="R32" i="3"/>
  <c r="R24" i="3"/>
  <c r="R20" i="3"/>
  <c r="R21" i="3"/>
  <c r="R17" i="3"/>
  <c r="R13" i="3"/>
  <c r="R9" i="3"/>
  <c r="R25" i="3"/>
  <c r="R18" i="3"/>
  <c r="R14" i="3"/>
  <c r="R10" i="3"/>
  <c r="R16" i="3"/>
  <c r="R12" i="3"/>
  <c r="R27" i="3"/>
  <c r="R15" i="3"/>
  <c r="R11" i="3"/>
  <c r="R7" i="3"/>
  <c r="R99" i="3" s="1"/>
  <c r="S8" i="3"/>
  <c r="S59" i="3" l="1"/>
  <c r="S63" i="3"/>
  <c r="S70" i="3"/>
  <c r="S44" i="3"/>
  <c r="S82" i="3"/>
  <c r="S69" i="3"/>
  <c r="S95" i="3"/>
  <c r="S76" i="3"/>
  <c r="S71" i="3"/>
  <c r="S65" i="3"/>
  <c r="S94" i="3"/>
  <c r="S85" i="3"/>
  <c r="S89" i="3"/>
  <c r="S91" i="3"/>
  <c r="S83" i="3"/>
  <c r="S81" i="3"/>
  <c r="S96" i="3"/>
  <c r="S57" i="3"/>
  <c r="S45" i="3"/>
  <c r="S97" i="3"/>
  <c r="S73" i="3"/>
  <c r="S92" i="3"/>
  <c r="S90" i="3"/>
  <c r="S67" i="3"/>
  <c r="S74" i="3"/>
  <c r="S51" i="3"/>
  <c r="S93" i="3"/>
  <c r="S86" i="3"/>
  <c r="S78" i="3"/>
  <c r="S84" i="3"/>
  <c r="S66" i="3"/>
  <c r="S72" i="3"/>
  <c r="S53" i="3"/>
  <c r="S52" i="3"/>
  <c r="S47" i="3"/>
  <c r="S46" i="3"/>
  <c r="S77" i="3"/>
  <c r="S87" i="3"/>
  <c r="S61" i="3"/>
  <c r="S68" i="3"/>
  <c r="S50" i="3"/>
  <c r="S48" i="3"/>
  <c r="S64" i="3"/>
  <c r="S55" i="3"/>
  <c r="S88" i="3"/>
  <c r="S79" i="3"/>
  <c r="S49" i="3"/>
  <c r="S58" i="3"/>
  <c r="S54" i="3"/>
  <c r="S60" i="3"/>
  <c r="S80" i="3"/>
  <c r="S75" i="3"/>
  <c r="S62" i="3"/>
  <c r="S56" i="3"/>
  <c r="S43" i="3"/>
  <c r="S100" i="3"/>
  <c r="Q109" i="3"/>
  <c r="R104" i="3"/>
  <c r="R105" i="3"/>
  <c r="R106" i="3"/>
  <c r="R103" i="3"/>
  <c r="R108" i="3"/>
  <c r="R107" i="3"/>
  <c r="R102" i="3"/>
  <c r="R101" i="3"/>
  <c r="S40" i="3"/>
  <c r="S36" i="3"/>
  <c r="S41" i="3"/>
  <c r="S37" i="3"/>
  <c r="S33" i="3"/>
  <c r="S39" i="3"/>
  <c r="S30" i="3"/>
  <c r="S42" i="3"/>
  <c r="S34" i="3"/>
  <c r="S31" i="3"/>
  <c r="S35" i="3"/>
  <c r="S32" i="3"/>
  <c r="S28" i="3"/>
  <c r="S38" i="3"/>
  <c r="S23" i="3"/>
  <c r="S19" i="3"/>
  <c r="S29" i="3"/>
  <c r="S24" i="3"/>
  <c r="S20" i="3"/>
  <c r="S27" i="3"/>
  <c r="S25" i="3"/>
  <c r="S21" i="3"/>
  <c r="S22" i="3"/>
  <c r="S18" i="3"/>
  <c r="S14" i="3"/>
  <c r="S10" i="3"/>
  <c r="S17" i="3"/>
  <c r="S26" i="3"/>
  <c r="S15" i="3"/>
  <c r="S11" i="3"/>
  <c r="S16" i="3"/>
  <c r="S12" i="3"/>
  <c r="S13" i="3"/>
  <c r="S9" i="3"/>
  <c r="S7" i="3"/>
  <c r="S99" i="3" s="1"/>
  <c r="T8" i="3"/>
  <c r="T44" i="3" l="1"/>
  <c r="T72" i="3"/>
  <c r="T80" i="3"/>
  <c r="T48" i="3"/>
  <c r="T95" i="3"/>
  <c r="T75" i="3"/>
  <c r="T67" i="3"/>
  <c r="T97" i="3"/>
  <c r="T94" i="3"/>
  <c r="T82" i="3"/>
  <c r="T87" i="3"/>
  <c r="T49" i="3"/>
  <c r="T91" i="3"/>
  <c r="T62" i="3"/>
  <c r="T73" i="3"/>
  <c r="T70" i="3"/>
  <c r="T65" i="3"/>
  <c r="T79" i="3"/>
  <c r="T45" i="3"/>
  <c r="T92" i="3"/>
  <c r="T85" i="3"/>
  <c r="T76" i="3"/>
  <c r="T51" i="3"/>
  <c r="T55" i="3"/>
  <c r="T93" i="3"/>
  <c r="T83" i="3"/>
  <c r="T64" i="3"/>
  <c r="T61" i="3"/>
  <c r="T59" i="3"/>
  <c r="T96" i="3"/>
  <c r="T90" i="3"/>
  <c r="T89" i="3"/>
  <c r="T81" i="3"/>
  <c r="T77" i="3"/>
  <c r="T68" i="3"/>
  <c r="T63" i="3"/>
  <c r="T60" i="3"/>
  <c r="T46" i="3"/>
  <c r="T84" i="3"/>
  <c r="T78" i="3"/>
  <c r="T74" i="3"/>
  <c r="T66" i="3"/>
  <c r="T50" i="3"/>
  <c r="T58" i="3"/>
  <c r="T54" i="3"/>
  <c r="T56" i="3"/>
  <c r="T53" i="3"/>
  <c r="T88" i="3"/>
  <c r="T86" i="3"/>
  <c r="T71" i="3"/>
  <c r="T69" i="3"/>
  <c r="T57" i="3"/>
  <c r="T47" i="3"/>
  <c r="T52" i="3"/>
  <c r="T43" i="3"/>
  <c r="T100" i="3"/>
  <c r="S106" i="3"/>
  <c r="R109" i="3"/>
  <c r="S105" i="3"/>
  <c r="S107" i="3"/>
  <c r="S103" i="3"/>
  <c r="S101" i="3"/>
  <c r="S108" i="3"/>
  <c r="S102" i="3"/>
  <c r="S104" i="3"/>
  <c r="T41" i="3"/>
  <c r="T37" i="3"/>
  <c r="T33" i="3"/>
  <c r="T42" i="3"/>
  <c r="T38" i="3"/>
  <c r="T34" i="3"/>
  <c r="T40" i="3"/>
  <c r="T31" i="3"/>
  <c r="T27" i="3"/>
  <c r="T35" i="3"/>
  <c r="T32" i="3"/>
  <c r="T28" i="3"/>
  <c r="T36" i="3"/>
  <c r="T29" i="3"/>
  <c r="T39" i="3"/>
  <c r="T24" i="3"/>
  <c r="T20" i="3"/>
  <c r="T30" i="3"/>
  <c r="T25" i="3"/>
  <c r="T21" i="3"/>
  <c r="T26" i="3"/>
  <c r="T22" i="3"/>
  <c r="T23" i="3"/>
  <c r="T15" i="3"/>
  <c r="T11" i="3"/>
  <c r="T19" i="3"/>
  <c r="T16" i="3"/>
  <c r="T12" i="3"/>
  <c r="T18" i="3"/>
  <c r="T14" i="3"/>
  <c r="T10" i="3"/>
  <c r="T17" i="3"/>
  <c r="T13" i="3"/>
  <c r="T9" i="3"/>
  <c r="T7" i="3"/>
  <c r="T99" i="3" s="1"/>
  <c r="U8" i="3"/>
  <c r="U45" i="3" l="1"/>
  <c r="U46" i="3"/>
  <c r="U47" i="3"/>
  <c r="U49" i="3"/>
  <c r="U51" i="3"/>
  <c r="U52" i="3"/>
  <c r="U53" i="3"/>
  <c r="U57" i="3"/>
  <c r="U58" i="3"/>
  <c r="U61" i="3"/>
  <c r="U62" i="3"/>
  <c r="U64" i="3"/>
  <c r="U65" i="3"/>
  <c r="U69" i="3"/>
  <c r="U71" i="3"/>
  <c r="U44" i="3"/>
  <c r="U56" i="3"/>
  <c r="U59" i="3"/>
  <c r="U60" i="3"/>
  <c r="U66" i="3"/>
  <c r="U72" i="3"/>
  <c r="U54" i="3"/>
  <c r="U63" i="3"/>
  <c r="U67" i="3"/>
  <c r="U68" i="3"/>
  <c r="U70" i="3"/>
  <c r="U77" i="3"/>
  <c r="U80" i="3"/>
  <c r="U50" i="3"/>
  <c r="U76" i="3"/>
  <c r="U81" i="3"/>
  <c r="U90" i="3"/>
  <c r="U73" i="3"/>
  <c r="U78" i="3"/>
  <c r="U82" i="3"/>
  <c r="U84" i="3"/>
  <c r="U48" i="3"/>
  <c r="U74" i="3"/>
  <c r="U79" i="3"/>
  <c r="U89" i="3"/>
  <c r="U91" i="3"/>
  <c r="U94" i="3"/>
  <c r="U95" i="3"/>
  <c r="U55" i="3"/>
  <c r="U75" i="3"/>
  <c r="U83" i="3"/>
  <c r="U86" i="3"/>
  <c r="U88" i="3"/>
  <c r="U92" i="3"/>
  <c r="U97" i="3"/>
  <c r="U87" i="3"/>
  <c r="U96" i="3"/>
  <c r="U85" i="3"/>
  <c r="U93" i="3"/>
  <c r="U43" i="3"/>
  <c r="U100" i="3"/>
  <c r="S109" i="3"/>
  <c r="T105" i="3"/>
  <c r="T108" i="3"/>
  <c r="T104" i="3"/>
  <c r="T107" i="3"/>
  <c r="T101" i="3"/>
  <c r="T102" i="3"/>
  <c r="T103" i="3"/>
  <c r="T106" i="3"/>
  <c r="U42" i="3"/>
  <c r="U38" i="3"/>
  <c r="U34" i="3"/>
  <c r="U39" i="3"/>
  <c r="U35" i="3"/>
  <c r="U41" i="3"/>
  <c r="U33" i="3"/>
  <c r="U32" i="3"/>
  <c r="U28" i="3"/>
  <c r="U36" i="3"/>
  <c r="U29" i="3"/>
  <c r="U37" i="3"/>
  <c r="U30" i="3"/>
  <c r="U40" i="3"/>
  <c r="U25" i="3"/>
  <c r="U21" i="3"/>
  <c r="U31" i="3"/>
  <c r="U27" i="3"/>
  <c r="U26" i="3"/>
  <c r="U22" i="3"/>
  <c r="U23" i="3"/>
  <c r="U19" i="3"/>
  <c r="U24" i="3"/>
  <c r="U16" i="3"/>
  <c r="U12" i="3"/>
  <c r="U15" i="3"/>
  <c r="U17" i="3"/>
  <c r="U13" i="3"/>
  <c r="U9" i="3"/>
  <c r="U20" i="3"/>
  <c r="U18" i="3"/>
  <c r="U14" i="3"/>
  <c r="U10" i="3"/>
  <c r="U11" i="3"/>
  <c r="U7" i="3"/>
  <c r="U99" i="3" s="1"/>
  <c r="V8" i="3"/>
  <c r="V48" i="3" l="1"/>
  <c r="V55" i="3"/>
  <c r="V46" i="3"/>
  <c r="V57" i="3"/>
  <c r="V58" i="3"/>
  <c r="V61" i="3"/>
  <c r="V64" i="3"/>
  <c r="V78" i="3"/>
  <c r="V82" i="3"/>
  <c r="V44" i="3"/>
  <c r="V59" i="3"/>
  <c r="V63" i="3"/>
  <c r="V92" i="3"/>
  <c r="V93" i="3"/>
  <c r="V96" i="3"/>
  <c r="V97" i="3"/>
  <c r="V91" i="3"/>
  <c r="V70" i="3"/>
  <c r="V90" i="3"/>
  <c r="V86" i="3"/>
  <c r="V95" i="3"/>
  <c r="V94" i="3"/>
  <c r="V89" i="3"/>
  <c r="V87" i="3"/>
  <c r="V72" i="3"/>
  <c r="V79" i="3"/>
  <c r="V84" i="3"/>
  <c r="V83" i="3"/>
  <c r="V62" i="3"/>
  <c r="V76" i="3"/>
  <c r="V73" i="3"/>
  <c r="V60" i="3"/>
  <c r="V88" i="3"/>
  <c r="V45" i="3"/>
  <c r="V80" i="3"/>
  <c r="V75" i="3"/>
  <c r="V65" i="3"/>
  <c r="V81" i="3"/>
  <c r="V49" i="3"/>
  <c r="V85" i="3"/>
  <c r="V69" i="3"/>
  <c r="V74" i="3"/>
  <c r="V71" i="3"/>
  <c r="V68" i="3"/>
  <c r="V47" i="3"/>
  <c r="V67" i="3"/>
  <c r="V56" i="3"/>
  <c r="V66" i="3"/>
  <c r="V77" i="3"/>
  <c r="V50" i="3"/>
  <c r="V53" i="3"/>
  <c r="V54" i="3"/>
  <c r="V52" i="3"/>
  <c r="V51" i="3"/>
  <c r="V43" i="3"/>
  <c r="V100" i="3"/>
  <c r="T109" i="3"/>
  <c r="U107" i="3"/>
  <c r="U105" i="3"/>
  <c r="U104" i="3"/>
  <c r="U108" i="3"/>
  <c r="U101" i="3"/>
  <c r="U106" i="3"/>
  <c r="U102" i="3"/>
  <c r="U103" i="3"/>
  <c r="V39" i="3"/>
  <c r="V35" i="3"/>
  <c r="V40" i="3"/>
  <c r="V36" i="3"/>
  <c r="V42" i="3"/>
  <c r="V34" i="3"/>
  <c r="V29" i="3"/>
  <c r="V37" i="3"/>
  <c r="V30" i="3"/>
  <c r="V38" i="3"/>
  <c r="V31" i="3"/>
  <c r="V41" i="3"/>
  <c r="V28" i="3"/>
  <c r="V27" i="3"/>
  <c r="V26" i="3"/>
  <c r="V22" i="3"/>
  <c r="V32" i="3"/>
  <c r="V23" i="3"/>
  <c r="V19" i="3"/>
  <c r="V24" i="3"/>
  <c r="V20" i="3"/>
  <c r="V25" i="3"/>
  <c r="V17" i="3"/>
  <c r="V13" i="3"/>
  <c r="V9" i="3"/>
  <c r="V21" i="3"/>
  <c r="V12" i="3"/>
  <c r="V33" i="3"/>
  <c r="V18" i="3"/>
  <c r="V14" i="3"/>
  <c r="V10" i="3"/>
  <c r="V15" i="3"/>
  <c r="V11" i="3"/>
  <c r="V16" i="3"/>
  <c r="V7" i="3"/>
  <c r="V99" i="3" s="1"/>
  <c r="W8" i="3"/>
  <c r="W70" i="3" l="1"/>
  <c r="W69" i="3"/>
  <c r="W44" i="3"/>
  <c r="W95" i="3"/>
  <c r="W97" i="3"/>
  <c r="W83" i="3"/>
  <c r="W86" i="3"/>
  <c r="W82" i="3"/>
  <c r="W91" i="3"/>
  <c r="W89" i="3"/>
  <c r="W63" i="3"/>
  <c r="W65" i="3"/>
  <c r="W59" i="3"/>
  <c r="W45" i="3"/>
  <c r="W94" i="3"/>
  <c r="W92" i="3"/>
  <c r="W90" i="3"/>
  <c r="W64" i="3"/>
  <c r="W55" i="3"/>
  <c r="W85" i="3"/>
  <c r="W81" i="3"/>
  <c r="W74" i="3"/>
  <c r="W51" i="3"/>
  <c r="W57" i="3"/>
  <c r="W76" i="3"/>
  <c r="W73" i="3"/>
  <c r="W93" i="3"/>
  <c r="W67" i="3"/>
  <c r="W96" i="3"/>
  <c r="W77" i="3"/>
  <c r="W78" i="3"/>
  <c r="W87" i="3"/>
  <c r="W75" i="3"/>
  <c r="W62" i="3"/>
  <c r="W60" i="3"/>
  <c r="W56" i="3"/>
  <c r="W88" i="3"/>
  <c r="W84" i="3"/>
  <c r="W66" i="3"/>
  <c r="W49" i="3"/>
  <c r="W53" i="3"/>
  <c r="W52" i="3"/>
  <c r="W80" i="3"/>
  <c r="W71" i="3"/>
  <c r="W61" i="3"/>
  <c r="W68" i="3"/>
  <c r="W79" i="3"/>
  <c r="W72" i="3"/>
  <c r="W58" i="3"/>
  <c r="W54" i="3"/>
  <c r="W47" i="3"/>
  <c r="W48" i="3"/>
  <c r="W46" i="3"/>
  <c r="W50" i="3"/>
  <c r="W43" i="3"/>
  <c r="W100" i="3"/>
  <c r="U109" i="3"/>
  <c r="V108" i="3"/>
  <c r="V101" i="3"/>
  <c r="V102" i="3"/>
  <c r="V104" i="3"/>
  <c r="V107" i="3"/>
  <c r="V106" i="3"/>
  <c r="V103" i="3"/>
  <c r="V105" i="3"/>
  <c r="W40" i="3"/>
  <c r="W36" i="3"/>
  <c r="W41" i="3"/>
  <c r="W37" i="3"/>
  <c r="W33" i="3"/>
  <c r="W35" i="3"/>
  <c r="W30" i="3"/>
  <c r="W38" i="3"/>
  <c r="W31" i="3"/>
  <c r="W27" i="3"/>
  <c r="W39" i="3"/>
  <c r="W32" i="3"/>
  <c r="W28" i="3"/>
  <c r="W42" i="3"/>
  <c r="W29" i="3"/>
  <c r="W23" i="3"/>
  <c r="W19" i="3"/>
  <c r="W24" i="3"/>
  <c r="W20" i="3"/>
  <c r="W25" i="3"/>
  <c r="W21" i="3"/>
  <c r="W34" i="3"/>
  <c r="W26" i="3"/>
  <c r="W18" i="3"/>
  <c r="W14" i="3"/>
  <c r="W10" i="3"/>
  <c r="W9" i="3"/>
  <c r="W15" i="3"/>
  <c r="W11" i="3"/>
  <c r="W13" i="3"/>
  <c r="W16" i="3"/>
  <c r="W12" i="3"/>
  <c r="W22" i="3"/>
  <c r="W17" i="3"/>
  <c r="W7" i="3"/>
  <c r="W99" i="3" s="1"/>
  <c r="X8" i="3"/>
  <c r="X44" i="3" l="1"/>
  <c r="X75" i="3"/>
  <c r="X95" i="3"/>
  <c r="X97" i="3"/>
  <c r="X79" i="3"/>
  <c r="X94" i="3"/>
  <c r="X87" i="3"/>
  <c r="X70" i="3"/>
  <c r="X65" i="3"/>
  <c r="X45" i="3"/>
  <c r="X91" i="3"/>
  <c r="X49" i="3"/>
  <c r="X82" i="3"/>
  <c r="X72" i="3"/>
  <c r="X80" i="3"/>
  <c r="X57" i="3"/>
  <c r="X67" i="3"/>
  <c r="X92" i="3"/>
  <c r="X85" i="3"/>
  <c r="X51" i="3"/>
  <c r="X55" i="3"/>
  <c r="X93" i="3"/>
  <c r="X83" i="3"/>
  <c r="X64" i="3"/>
  <c r="X73" i="3"/>
  <c r="X50" i="3"/>
  <c r="X96" i="3"/>
  <c r="X90" i="3"/>
  <c r="X89" i="3"/>
  <c r="X76" i="3"/>
  <c r="X61" i="3"/>
  <c r="X66" i="3"/>
  <c r="X59" i="3"/>
  <c r="X71" i="3"/>
  <c r="X46" i="3"/>
  <c r="X81" i="3"/>
  <c r="X84" i="3"/>
  <c r="X77" i="3"/>
  <c r="X68" i="3"/>
  <c r="X62" i="3"/>
  <c r="X60" i="3"/>
  <c r="X88" i="3"/>
  <c r="X78" i="3"/>
  <c r="X86" i="3"/>
  <c r="X74" i="3"/>
  <c r="X69" i="3"/>
  <c r="X58" i="3"/>
  <c r="X54" i="3"/>
  <c r="X63" i="3"/>
  <c r="X48" i="3"/>
  <c r="X56" i="3"/>
  <c r="X53" i="3"/>
  <c r="X47" i="3"/>
  <c r="X52" i="3"/>
  <c r="X43" i="3"/>
  <c r="X100" i="3"/>
  <c r="V109" i="3"/>
  <c r="W108" i="3"/>
  <c r="W105" i="3"/>
  <c r="W101" i="3"/>
  <c r="W104" i="3"/>
  <c r="W106" i="3"/>
  <c r="W107" i="3"/>
  <c r="W103" i="3"/>
  <c r="W102" i="3"/>
  <c r="X41" i="3"/>
  <c r="X37" i="3"/>
  <c r="X33" i="3"/>
  <c r="X42" i="3"/>
  <c r="X38" i="3"/>
  <c r="X34" i="3"/>
  <c r="X36" i="3"/>
  <c r="X31" i="3"/>
  <c r="X27" i="3"/>
  <c r="X39" i="3"/>
  <c r="X32" i="3"/>
  <c r="X28" i="3"/>
  <c r="X40" i="3"/>
  <c r="X29" i="3"/>
  <c r="X30" i="3"/>
  <c r="X24" i="3"/>
  <c r="X20" i="3"/>
  <c r="X25" i="3"/>
  <c r="X21" i="3"/>
  <c r="X26" i="3"/>
  <c r="X22" i="3"/>
  <c r="X15" i="3"/>
  <c r="X11" i="3"/>
  <c r="X18" i="3"/>
  <c r="X16" i="3"/>
  <c r="X12" i="3"/>
  <c r="X23" i="3"/>
  <c r="X19" i="3"/>
  <c r="X17" i="3"/>
  <c r="X13" i="3"/>
  <c r="X9" i="3"/>
  <c r="X35" i="3"/>
  <c r="X14" i="3"/>
  <c r="X10" i="3"/>
  <c r="X7" i="3"/>
  <c r="X99" i="3" s="1"/>
  <c r="Y8" i="3"/>
  <c r="Y63" i="3" l="1"/>
  <c r="Y44" i="3"/>
  <c r="Y48" i="3"/>
  <c r="Y70" i="3"/>
  <c r="Y57" i="3"/>
  <c r="Y69" i="3"/>
  <c r="Y72" i="3"/>
  <c r="Y75" i="3"/>
  <c r="Y82" i="3"/>
  <c r="Y95" i="3"/>
  <c r="Y79" i="3"/>
  <c r="Y89" i="3"/>
  <c r="Y87" i="3"/>
  <c r="Y92" i="3"/>
  <c r="Y90" i="3"/>
  <c r="Y67" i="3"/>
  <c r="Y73" i="3"/>
  <c r="Y91" i="3"/>
  <c r="Y93" i="3"/>
  <c r="Y97" i="3"/>
  <c r="Y85" i="3"/>
  <c r="Y96" i="3"/>
  <c r="Y81" i="3"/>
  <c r="Y86" i="3"/>
  <c r="Y55" i="3"/>
  <c r="Y74" i="3"/>
  <c r="Y94" i="3"/>
  <c r="Y64" i="3"/>
  <c r="Y59" i="3"/>
  <c r="Y84" i="3"/>
  <c r="Y80" i="3"/>
  <c r="Y68" i="3"/>
  <c r="Y66" i="3"/>
  <c r="Y50" i="3"/>
  <c r="Y60" i="3"/>
  <c r="Y58" i="3"/>
  <c r="Y53" i="3"/>
  <c r="Y76" i="3"/>
  <c r="Y65" i="3"/>
  <c r="Y54" i="3"/>
  <c r="Y52" i="3"/>
  <c r="Y77" i="3"/>
  <c r="Y88" i="3"/>
  <c r="Y83" i="3"/>
  <c r="Y56" i="3"/>
  <c r="Y78" i="3"/>
  <c r="Y71" i="3"/>
  <c r="Y61" i="3"/>
  <c r="Y62" i="3"/>
  <c r="Y51" i="3"/>
  <c r="Y46" i="3"/>
  <c r="Y47" i="3"/>
  <c r="Y49" i="3"/>
  <c r="Y45" i="3"/>
  <c r="Y43" i="3"/>
  <c r="Y100" i="3"/>
  <c r="W109" i="3"/>
  <c r="X103" i="3"/>
  <c r="X104" i="3"/>
  <c r="X105" i="3"/>
  <c r="X106" i="3"/>
  <c r="X107" i="3"/>
  <c r="X102" i="3"/>
  <c r="X101" i="3"/>
  <c r="X108" i="3"/>
  <c r="Y42" i="3"/>
  <c r="Y38" i="3"/>
  <c r="Y34" i="3"/>
  <c r="Y39" i="3"/>
  <c r="Y35" i="3"/>
  <c r="Y37" i="3"/>
  <c r="Y32" i="3"/>
  <c r="Y28" i="3"/>
  <c r="Y40" i="3"/>
  <c r="Y29" i="3"/>
  <c r="Y41" i="3"/>
  <c r="Y33" i="3"/>
  <c r="Y30" i="3"/>
  <c r="Y31" i="3"/>
  <c r="Y25" i="3"/>
  <c r="Y21" i="3"/>
  <c r="Y26" i="3"/>
  <c r="Y22" i="3"/>
  <c r="Y23" i="3"/>
  <c r="Y19" i="3"/>
  <c r="Y16" i="3"/>
  <c r="Y12" i="3"/>
  <c r="Y27" i="3"/>
  <c r="Y17" i="3"/>
  <c r="Y13" i="3"/>
  <c r="Y9" i="3"/>
  <c r="Y24" i="3"/>
  <c r="Y15" i="3"/>
  <c r="Y11" i="3"/>
  <c r="Y36" i="3"/>
  <c r="Y20" i="3"/>
  <c r="Y18" i="3"/>
  <c r="Y14" i="3"/>
  <c r="Y10" i="3"/>
  <c r="Y7" i="3"/>
  <c r="Y99" i="3" s="1"/>
  <c r="Z8" i="3"/>
  <c r="Z63" i="3" l="1"/>
  <c r="Z44" i="3"/>
  <c r="Z64" i="3"/>
  <c r="Z70" i="3"/>
  <c r="Z92" i="3"/>
  <c r="Z93" i="3"/>
  <c r="Z81" i="3"/>
  <c r="Z57" i="3"/>
  <c r="Z69" i="3"/>
  <c r="Z88" i="3"/>
  <c r="Z82" i="3"/>
  <c r="Z91" i="3"/>
  <c r="Z95" i="3"/>
  <c r="Z85" i="3"/>
  <c r="Z97" i="3"/>
  <c r="Z94" i="3"/>
  <c r="Z62" i="3"/>
  <c r="Z86" i="3"/>
  <c r="Z96" i="3"/>
  <c r="Z90" i="3"/>
  <c r="Z58" i="3"/>
  <c r="Z73" i="3"/>
  <c r="Z89" i="3"/>
  <c r="Z67" i="3"/>
  <c r="Z80" i="3"/>
  <c r="Z59" i="3"/>
  <c r="Z87" i="3"/>
  <c r="Z83" i="3"/>
  <c r="Z79" i="3"/>
  <c r="Z55" i="3"/>
  <c r="Z71" i="3"/>
  <c r="Z54" i="3"/>
  <c r="Z45" i="3"/>
  <c r="Z74" i="3"/>
  <c r="Z72" i="3"/>
  <c r="Z47" i="3"/>
  <c r="Z65" i="3"/>
  <c r="Z56" i="3"/>
  <c r="Z78" i="3"/>
  <c r="Z68" i="3"/>
  <c r="Z66" i="3"/>
  <c r="Z49" i="3"/>
  <c r="Z48" i="3"/>
  <c r="Z60" i="3"/>
  <c r="Z53" i="3"/>
  <c r="Z84" i="3"/>
  <c r="Z77" i="3"/>
  <c r="Z61" i="3"/>
  <c r="Z76" i="3"/>
  <c r="Z75" i="3"/>
  <c r="Z46" i="3"/>
  <c r="Z52" i="3"/>
  <c r="Z51" i="3"/>
  <c r="Z50" i="3"/>
  <c r="Z43" i="3"/>
  <c r="Z100" i="3"/>
  <c r="X109" i="3"/>
  <c r="Y102" i="3"/>
  <c r="Y106" i="3"/>
  <c r="Y107" i="3"/>
  <c r="Y105" i="3"/>
  <c r="Y101" i="3"/>
  <c r="Y108" i="3"/>
  <c r="Y104" i="3"/>
  <c r="Y103" i="3"/>
  <c r="Z39" i="3"/>
  <c r="Z35" i="3"/>
  <c r="Z40" i="3"/>
  <c r="Z36" i="3"/>
  <c r="Z38" i="3"/>
  <c r="Z29" i="3"/>
  <c r="Z41" i="3"/>
  <c r="Z33" i="3"/>
  <c r="Z30" i="3"/>
  <c r="Z42" i="3"/>
  <c r="Z34" i="3"/>
  <c r="Z31" i="3"/>
  <c r="Z32" i="3"/>
  <c r="Z26" i="3"/>
  <c r="Z22" i="3"/>
  <c r="Z23" i="3"/>
  <c r="Z19" i="3"/>
  <c r="Z27" i="3"/>
  <c r="Z24" i="3"/>
  <c r="Z20" i="3"/>
  <c r="Z17" i="3"/>
  <c r="Z13" i="3"/>
  <c r="Z9" i="3"/>
  <c r="Z16" i="3"/>
  <c r="Z37" i="3"/>
  <c r="Z18" i="3"/>
  <c r="Z14" i="3"/>
  <c r="Z10" i="3"/>
  <c r="Z28" i="3"/>
  <c r="Z21" i="3"/>
  <c r="Z15" i="3"/>
  <c r="Z11" i="3"/>
  <c r="Z25" i="3"/>
  <c r="Z12" i="3"/>
  <c r="Z7" i="3"/>
  <c r="Z99" i="3" s="1"/>
  <c r="AA8" i="3"/>
  <c r="AA74" i="3" l="1"/>
  <c r="AA45" i="3"/>
  <c r="AA47" i="3"/>
  <c r="AA53" i="3"/>
  <c r="AA76" i="3"/>
  <c r="AA81" i="3"/>
  <c r="AA63" i="3"/>
  <c r="AA78" i="3"/>
  <c r="AA82" i="3"/>
  <c r="AA86" i="3"/>
  <c r="AA59" i="3"/>
  <c r="AA70" i="3"/>
  <c r="AA89" i="3"/>
  <c r="AA95" i="3"/>
  <c r="AA44" i="3"/>
  <c r="AA68" i="3"/>
  <c r="AA69" i="3"/>
  <c r="AA57" i="3"/>
  <c r="AA73" i="3"/>
  <c r="AA49" i="3"/>
  <c r="AA91" i="3"/>
  <c r="AA65" i="3"/>
  <c r="AA71" i="3"/>
  <c r="AA80" i="3"/>
  <c r="AA97" i="3"/>
  <c r="AA85" i="3"/>
  <c r="AA67" i="3"/>
  <c r="AA51" i="3"/>
  <c r="AA93" i="3"/>
  <c r="AA77" i="3"/>
  <c r="AA83" i="3"/>
  <c r="AA96" i="3"/>
  <c r="AA94" i="3"/>
  <c r="AA92" i="3"/>
  <c r="AA90" i="3"/>
  <c r="AA64" i="3"/>
  <c r="AA55" i="3"/>
  <c r="AA88" i="3"/>
  <c r="AA79" i="3"/>
  <c r="AA58" i="3"/>
  <c r="AA54" i="3"/>
  <c r="AA75" i="3"/>
  <c r="AA62" i="3"/>
  <c r="AA56" i="3"/>
  <c r="AA84" i="3"/>
  <c r="AA66" i="3"/>
  <c r="AA72" i="3"/>
  <c r="AA52" i="3"/>
  <c r="AA87" i="3"/>
  <c r="AA61" i="3"/>
  <c r="AA60" i="3"/>
  <c r="AA50" i="3"/>
  <c r="AA48" i="3"/>
  <c r="AA46" i="3"/>
  <c r="AA43" i="3"/>
  <c r="AA100" i="3"/>
  <c r="Y109" i="3"/>
  <c r="Z108" i="3"/>
  <c r="Z101" i="3"/>
  <c r="Z102" i="3"/>
  <c r="Z103" i="3"/>
  <c r="Z104" i="3"/>
  <c r="Z105" i="3"/>
  <c r="Z106" i="3"/>
  <c r="Z107" i="3"/>
  <c r="AA40" i="3"/>
  <c r="AA36" i="3"/>
  <c r="AA41" i="3"/>
  <c r="AA37" i="3"/>
  <c r="AA33" i="3"/>
  <c r="AA39" i="3"/>
  <c r="AA30" i="3"/>
  <c r="AA42" i="3"/>
  <c r="AA34" i="3"/>
  <c r="AA31" i="3"/>
  <c r="AA27" i="3"/>
  <c r="AA35" i="3"/>
  <c r="AA32" i="3"/>
  <c r="AA28" i="3"/>
  <c r="AA23" i="3"/>
  <c r="AA19" i="3"/>
  <c r="AA24" i="3"/>
  <c r="AA20" i="3"/>
  <c r="AA25" i="3"/>
  <c r="AA21" i="3"/>
  <c r="AA38" i="3"/>
  <c r="AA29" i="3"/>
  <c r="AA18" i="3"/>
  <c r="AA14" i="3"/>
  <c r="AA10" i="3"/>
  <c r="AA13" i="3"/>
  <c r="AA15" i="3"/>
  <c r="AA11" i="3"/>
  <c r="AA17" i="3"/>
  <c r="AA9" i="3"/>
  <c r="AA22" i="3"/>
  <c r="AA16" i="3"/>
  <c r="AA12" i="3"/>
  <c r="AA26" i="3"/>
  <c r="AA7" i="3"/>
  <c r="AA99" i="3" s="1"/>
  <c r="AB8" i="3"/>
  <c r="AB44" i="3" l="1"/>
  <c r="AB73" i="3"/>
  <c r="AB65" i="3"/>
  <c r="AB46" i="3"/>
  <c r="AB48" i="3"/>
  <c r="AB87" i="3"/>
  <c r="AB95" i="3"/>
  <c r="AB75" i="3"/>
  <c r="AB84" i="3"/>
  <c r="AB72" i="3"/>
  <c r="AB66" i="3"/>
  <c r="AB91" i="3"/>
  <c r="AB70" i="3"/>
  <c r="AB79" i="3"/>
  <c r="AB97" i="3"/>
  <c r="AB94" i="3"/>
  <c r="AB82" i="3"/>
  <c r="AB93" i="3"/>
  <c r="AB76" i="3"/>
  <c r="AB64" i="3"/>
  <c r="AB59" i="3"/>
  <c r="AB51" i="3"/>
  <c r="AB67" i="3"/>
  <c r="AB96" i="3"/>
  <c r="AB90" i="3"/>
  <c r="AB89" i="3"/>
  <c r="AB61" i="3"/>
  <c r="AB57" i="3"/>
  <c r="AB45" i="3"/>
  <c r="AB83" i="3"/>
  <c r="AB92" i="3"/>
  <c r="AB85" i="3"/>
  <c r="AB55" i="3"/>
  <c r="AB52" i="3"/>
  <c r="AB50" i="3"/>
  <c r="AB62" i="3"/>
  <c r="AB49" i="3"/>
  <c r="AB56" i="3"/>
  <c r="AB88" i="3"/>
  <c r="AB80" i="3"/>
  <c r="AB86" i="3"/>
  <c r="AB71" i="3"/>
  <c r="AB69" i="3"/>
  <c r="AB81" i="3"/>
  <c r="AB77" i="3"/>
  <c r="AB68" i="3"/>
  <c r="AB63" i="3"/>
  <c r="AB60" i="3"/>
  <c r="AB53" i="3"/>
  <c r="AB78" i="3"/>
  <c r="AB74" i="3"/>
  <c r="AB58" i="3"/>
  <c r="AB54" i="3"/>
  <c r="AB47" i="3"/>
  <c r="AB43" i="3"/>
  <c r="AB100" i="3"/>
  <c r="Z109" i="3"/>
  <c r="AA107" i="3"/>
  <c r="AA104" i="3"/>
  <c r="AA103" i="3"/>
  <c r="AA102" i="3"/>
  <c r="AA108" i="3"/>
  <c r="AA105" i="3"/>
  <c r="AA106" i="3"/>
  <c r="AA101" i="3"/>
  <c r="AB41" i="3"/>
  <c r="AB37" i="3"/>
  <c r="AB33" i="3"/>
  <c r="AB42" i="3"/>
  <c r="AB38" i="3"/>
  <c r="AB34" i="3"/>
  <c r="AB40" i="3"/>
  <c r="AB31" i="3"/>
  <c r="AB27" i="3"/>
  <c r="AB35" i="3"/>
  <c r="AB32" i="3"/>
  <c r="AB28" i="3"/>
  <c r="AB36" i="3"/>
  <c r="AB29" i="3"/>
  <c r="AB24" i="3"/>
  <c r="AB20" i="3"/>
  <c r="AB25" i="3"/>
  <c r="AB21" i="3"/>
  <c r="AB26" i="3"/>
  <c r="AB22" i="3"/>
  <c r="AB15" i="3"/>
  <c r="AB11" i="3"/>
  <c r="AB14" i="3"/>
  <c r="AB10" i="3"/>
  <c r="AB19" i="3"/>
  <c r="AB16" i="3"/>
  <c r="AB12" i="3"/>
  <c r="AB39" i="3"/>
  <c r="AB30" i="3"/>
  <c r="AB23" i="3"/>
  <c r="AB17" i="3"/>
  <c r="AB13" i="3"/>
  <c r="AB9" i="3"/>
  <c r="AB18" i="3"/>
  <c r="AB7" i="3"/>
  <c r="AB99" i="3" s="1"/>
  <c r="AC8" i="3"/>
  <c r="AC57" i="3" l="1"/>
  <c r="AC70" i="3"/>
  <c r="AC44" i="3"/>
  <c r="AC86" i="3"/>
  <c r="AC95" i="3"/>
  <c r="AC91" i="3"/>
  <c r="AC73" i="3"/>
  <c r="AC79" i="3"/>
  <c r="AC82" i="3"/>
  <c r="AC93" i="3"/>
  <c r="AC74" i="3"/>
  <c r="AC89" i="3"/>
  <c r="AC81" i="3"/>
  <c r="AC72" i="3"/>
  <c r="AC87" i="3"/>
  <c r="AC75" i="3"/>
  <c r="AC69" i="3"/>
  <c r="AC63" i="3"/>
  <c r="AC96" i="3"/>
  <c r="AC92" i="3"/>
  <c r="AC66" i="3"/>
  <c r="AC55" i="3"/>
  <c r="AC67" i="3"/>
  <c r="AC94" i="3"/>
  <c r="AC64" i="3"/>
  <c r="AC59" i="3"/>
  <c r="AC90" i="3"/>
  <c r="AC97" i="3"/>
  <c r="AC85" i="3"/>
  <c r="AC84" i="3"/>
  <c r="AC71" i="3"/>
  <c r="AC61" i="3"/>
  <c r="AC62" i="3"/>
  <c r="AC50" i="3"/>
  <c r="AC51" i="3"/>
  <c r="AC49" i="3"/>
  <c r="AC80" i="3"/>
  <c r="AC88" i="3"/>
  <c r="AC68" i="3"/>
  <c r="AC60" i="3"/>
  <c r="AC53" i="3"/>
  <c r="AC52" i="3"/>
  <c r="AC76" i="3"/>
  <c r="AC65" i="3"/>
  <c r="AC48" i="3"/>
  <c r="AC54" i="3"/>
  <c r="AC78" i="3"/>
  <c r="AC77" i="3"/>
  <c r="AC83" i="3"/>
  <c r="AC58" i="3"/>
  <c r="AC56" i="3"/>
  <c r="AC45" i="3"/>
  <c r="AC46" i="3"/>
  <c r="AC47" i="3"/>
  <c r="AC43" i="3"/>
  <c r="AC100" i="3"/>
  <c r="AA109" i="3"/>
  <c r="AB101" i="3"/>
  <c r="AB102" i="3"/>
  <c r="AB104" i="3"/>
  <c r="AB103" i="3"/>
  <c r="AB106" i="3"/>
  <c r="AB105" i="3"/>
  <c r="AB108" i="3"/>
  <c r="AB107" i="3"/>
  <c r="AC42" i="3"/>
  <c r="AC38" i="3"/>
  <c r="AC34" i="3"/>
  <c r="AC39" i="3"/>
  <c r="AC35" i="3"/>
  <c r="AC41" i="3"/>
  <c r="AC33" i="3"/>
  <c r="AC32" i="3"/>
  <c r="AC28" i="3"/>
  <c r="AC36" i="3"/>
  <c r="AC29" i="3"/>
  <c r="AC37" i="3"/>
  <c r="AC30" i="3"/>
  <c r="AC25" i="3"/>
  <c r="AC21" i="3"/>
  <c r="AC27" i="3"/>
  <c r="AC26" i="3"/>
  <c r="AC22" i="3"/>
  <c r="AC23" i="3"/>
  <c r="AC19" i="3"/>
  <c r="AC31" i="3"/>
  <c r="AC16" i="3"/>
  <c r="AC12" i="3"/>
  <c r="AC11" i="3"/>
  <c r="AC20" i="3"/>
  <c r="AC17" i="3"/>
  <c r="AC13" i="3"/>
  <c r="AC9" i="3"/>
  <c r="AC40" i="3"/>
  <c r="AC24" i="3"/>
  <c r="AC18" i="3"/>
  <c r="AC14" i="3"/>
  <c r="AC10" i="3"/>
  <c r="AC15" i="3"/>
  <c r="AC7" i="3"/>
  <c r="AC99" i="3" s="1"/>
  <c r="AD8" i="3"/>
  <c r="AD59" i="3" l="1"/>
  <c r="AD69" i="3"/>
  <c r="AD57" i="3"/>
  <c r="AD62" i="3"/>
  <c r="AD70" i="3"/>
  <c r="AD82" i="3"/>
  <c r="AD44" i="3"/>
  <c r="AD61" i="3"/>
  <c r="AD76" i="3"/>
  <c r="AD75" i="3"/>
  <c r="AD91" i="3"/>
  <c r="AD94" i="3"/>
  <c r="AD63" i="3"/>
  <c r="AD64" i="3"/>
  <c r="AD80" i="3"/>
  <c r="AD97" i="3"/>
  <c r="AD95" i="3"/>
  <c r="AD48" i="3"/>
  <c r="AD85" i="3"/>
  <c r="AD67" i="3"/>
  <c r="AD79" i="3"/>
  <c r="AD92" i="3"/>
  <c r="AD65" i="3"/>
  <c r="AD73" i="3"/>
  <c r="AD71" i="3"/>
  <c r="AD72" i="3"/>
  <c r="AD90" i="3"/>
  <c r="AD96" i="3"/>
  <c r="AD93" i="3"/>
  <c r="AD89" i="3"/>
  <c r="AD87" i="3"/>
  <c r="AD55" i="3"/>
  <c r="AD74" i="3"/>
  <c r="AD81" i="3"/>
  <c r="AD83" i="3"/>
  <c r="AD51" i="3"/>
  <c r="AD50" i="3"/>
  <c r="AD86" i="3"/>
  <c r="AD49" i="3"/>
  <c r="AD45" i="3"/>
  <c r="AD88" i="3"/>
  <c r="AD60" i="3"/>
  <c r="AD53" i="3"/>
  <c r="AD52" i="3"/>
  <c r="AD58" i="3"/>
  <c r="AD47" i="3"/>
  <c r="AD78" i="3"/>
  <c r="AD84" i="3"/>
  <c r="AD77" i="3"/>
  <c r="AD68" i="3"/>
  <c r="AD66" i="3"/>
  <c r="AD54" i="3"/>
  <c r="AD56" i="3"/>
  <c r="AD46" i="3"/>
  <c r="AD43" i="3"/>
  <c r="AD100" i="3"/>
  <c r="AB109" i="3"/>
  <c r="AC101" i="3"/>
  <c r="AC108" i="3"/>
  <c r="AC104" i="3"/>
  <c r="AC105" i="3"/>
  <c r="AC102" i="3"/>
  <c r="AC103" i="3"/>
  <c r="AC107" i="3"/>
  <c r="AC106" i="3"/>
  <c r="AD39" i="3"/>
  <c r="AD35" i="3"/>
  <c r="AD40" i="3"/>
  <c r="AD36" i="3"/>
  <c r="AD42" i="3"/>
  <c r="AD34" i="3"/>
  <c r="AD29" i="3"/>
  <c r="AD37" i="3"/>
  <c r="AD30" i="3"/>
  <c r="AD38" i="3"/>
  <c r="AD31" i="3"/>
  <c r="AD27" i="3"/>
  <c r="AD26" i="3"/>
  <c r="AD22" i="3"/>
  <c r="AD23" i="3"/>
  <c r="AD19" i="3"/>
  <c r="AD33" i="3"/>
  <c r="AD28" i="3"/>
  <c r="AD24" i="3"/>
  <c r="AD20" i="3"/>
  <c r="AD17" i="3"/>
  <c r="AD13" i="3"/>
  <c r="AD9" i="3"/>
  <c r="AD41" i="3"/>
  <c r="AD21" i="3"/>
  <c r="AD18" i="3"/>
  <c r="AD14" i="3"/>
  <c r="AD10" i="3"/>
  <c r="AD16" i="3"/>
  <c r="AD12" i="3"/>
  <c r="AD32" i="3"/>
  <c r="AD25" i="3"/>
  <c r="AD15" i="3"/>
  <c r="AD11" i="3"/>
  <c r="AD7" i="3"/>
  <c r="AD99" i="3" s="1"/>
  <c r="AE8" i="3"/>
  <c r="AE63" i="3" l="1"/>
  <c r="AE69" i="3"/>
  <c r="AE47" i="3"/>
  <c r="AE70" i="3"/>
  <c r="AE82" i="3"/>
  <c r="AE44" i="3"/>
  <c r="AE95" i="3"/>
  <c r="AE91" i="3"/>
  <c r="AE86" i="3"/>
  <c r="AE59" i="3"/>
  <c r="AE67" i="3"/>
  <c r="AE80" i="3"/>
  <c r="AE89" i="3"/>
  <c r="AE81" i="3"/>
  <c r="AE93" i="3"/>
  <c r="AE74" i="3"/>
  <c r="AE45" i="3"/>
  <c r="AE57" i="3"/>
  <c r="AE96" i="3"/>
  <c r="AE94" i="3"/>
  <c r="AE92" i="3"/>
  <c r="AE90" i="3"/>
  <c r="AE65" i="3"/>
  <c r="AE64" i="3"/>
  <c r="AE55" i="3"/>
  <c r="AE97" i="3"/>
  <c r="AE85" i="3"/>
  <c r="AE73" i="3"/>
  <c r="AE83" i="3"/>
  <c r="AE78" i="3"/>
  <c r="AE68" i="3"/>
  <c r="AE61" i="3"/>
  <c r="AE49" i="3"/>
  <c r="AE50" i="3"/>
  <c r="AE48" i="3"/>
  <c r="AE79" i="3"/>
  <c r="AE71" i="3"/>
  <c r="AE72" i="3"/>
  <c r="AE58" i="3"/>
  <c r="AE54" i="3"/>
  <c r="AE51" i="3"/>
  <c r="AE87" i="3"/>
  <c r="AE76" i="3"/>
  <c r="AE75" i="3"/>
  <c r="AE62" i="3"/>
  <c r="AE56" i="3"/>
  <c r="AE53" i="3"/>
  <c r="AE77" i="3"/>
  <c r="AE88" i="3"/>
  <c r="AE84" i="3"/>
  <c r="AE66" i="3"/>
  <c r="AE60" i="3"/>
  <c r="AE52" i="3"/>
  <c r="AE46" i="3"/>
  <c r="AE43" i="3"/>
  <c r="AE100" i="3"/>
  <c r="AC109" i="3"/>
  <c r="AD102" i="3"/>
  <c r="AD105" i="3"/>
  <c r="AD104" i="3"/>
  <c r="AD106" i="3"/>
  <c r="AD103" i="3"/>
  <c r="AD107" i="3"/>
  <c r="AD101" i="3"/>
  <c r="AD108" i="3"/>
  <c r="AE40" i="3"/>
  <c r="AE36" i="3"/>
  <c r="AE41" i="3"/>
  <c r="AE37" i="3"/>
  <c r="AE33" i="3"/>
  <c r="AE35" i="3"/>
  <c r="AE30" i="3"/>
  <c r="AE38" i="3"/>
  <c r="AE31" i="3"/>
  <c r="AE27" i="3"/>
  <c r="AE39" i="3"/>
  <c r="AE32" i="3"/>
  <c r="AE28" i="3"/>
  <c r="AE23" i="3"/>
  <c r="AE19" i="3"/>
  <c r="AE24" i="3"/>
  <c r="AE20" i="3"/>
  <c r="AE34" i="3"/>
  <c r="AE29" i="3"/>
  <c r="AE25" i="3"/>
  <c r="AE21" i="3"/>
  <c r="AE42" i="3"/>
  <c r="AE18" i="3"/>
  <c r="AE14" i="3"/>
  <c r="AE10" i="3"/>
  <c r="AE17" i="3"/>
  <c r="AE22" i="3"/>
  <c r="AE15" i="3"/>
  <c r="AE11" i="3"/>
  <c r="AE26" i="3"/>
  <c r="AE16" i="3"/>
  <c r="AE12" i="3"/>
  <c r="AE13" i="3"/>
  <c r="AE9" i="3"/>
  <c r="AE7" i="3"/>
  <c r="AE99" i="3" s="1"/>
  <c r="AF8" i="3"/>
  <c r="AF44" i="3" l="1"/>
  <c r="AF49" i="3"/>
  <c r="AF45" i="3"/>
  <c r="AF61" i="3"/>
  <c r="AF95" i="3"/>
  <c r="AF94" i="3"/>
  <c r="AF91" i="3"/>
  <c r="AF97" i="3"/>
  <c r="AF82" i="3"/>
  <c r="AF83" i="3"/>
  <c r="AF57" i="3"/>
  <c r="AF96" i="3"/>
  <c r="AF65" i="3"/>
  <c r="AF80" i="3"/>
  <c r="AF70" i="3"/>
  <c r="AF87" i="3"/>
  <c r="AF79" i="3"/>
  <c r="AF73" i="3"/>
  <c r="AF93" i="3"/>
  <c r="AF89" i="3"/>
  <c r="AF46" i="3"/>
  <c r="AF88" i="3"/>
  <c r="AF90" i="3"/>
  <c r="AF72" i="3"/>
  <c r="AF67" i="3"/>
  <c r="AF92" i="3"/>
  <c r="AF85" i="3"/>
  <c r="AF55" i="3"/>
  <c r="AF76" i="3"/>
  <c r="AF51" i="3"/>
  <c r="AF64" i="3"/>
  <c r="AF59" i="3"/>
  <c r="AF47" i="3"/>
  <c r="AF78" i="3"/>
  <c r="AF86" i="3"/>
  <c r="AF74" i="3"/>
  <c r="AF62" i="3"/>
  <c r="AF69" i="3"/>
  <c r="AF66" i="3"/>
  <c r="AF53" i="3"/>
  <c r="AF48" i="3"/>
  <c r="AF58" i="3"/>
  <c r="AF54" i="3"/>
  <c r="AF84" i="3"/>
  <c r="AF77" i="3"/>
  <c r="AF63" i="3"/>
  <c r="AF56" i="3"/>
  <c r="AF75" i="3"/>
  <c r="AF71" i="3"/>
  <c r="AF52" i="3"/>
  <c r="AF81" i="3"/>
  <c r="AF68" i="3"/>
  <c r="AF60" i="3"/>
  <c r="AF50" i="3"/>
  <c r="AF43" i="3"/>
  <c r="AF100" i="3"/>
  <c r="AD109" i="3"/>
  <c r="AE105" i="3"/>
  <c r="AE103" i="3"/>
  <c r="AE104" i="3"/>
  <c r="AE106" i="3"/>
  <c r="AE108" i="3"/>
  <c r="AE102" i="3"/>
  <c r="AE107" i="3"/>
  <c r="AE101" i="3"/>
  <c r="AF41" i="3"/>
  <c r="AF37" i="3"/>
  <c r="AF33" i="3"/>
  <c r="AF42" i="3"/>
  <c r="AF38" i="3"/>
  <c r="AF34" i="3"/>
  <c r="AF36" i="3"/>
  <c r="AF31" i="3"/>
  <c r="AF27" i="3"/>
  <c r="AF39" i="3"/>
  <c r="AF32" i="3"/>
  <c r="AF28" i="3"/>
  <c r="AF40" i="3"/>
  <c r="AF29" i="3"/>
  <c r="AF24" i="3"/>
  <c r="AF20" i="3"/>
  <c r="AF25" i="3"/>
  <c r="AF21" i="3"/>
  <c r="AF35" i="3"/>
  <c r="AF30" i="3"/>
  <c r="AF26" i="3"/>
  <c r="AF22" i="3"/>
  <c r="AF19" i="3"/>
  <c r="AF15" i="3"/>
  <c r="AF11" i="3"/>
  <c r="AF23" i="3"/>
  <c r="AF16" i="3"/>
  <c r="AF12" i="3"/>
  <c r="AF18" i="3"/>
  <c r="AF14" i="3"/>
  <c r="AF10" i="3"/>
  <c r="AF17" i="3"/>
  <c r="AF13" i="3"/>
  <c r="AF9" i="3"/>
  <c r="AF7" i="3"/>
  <c r="AF99" i="3" s="1"/>
  <c r="AG8" i="3"/>
  <c r="AG72" i="3" l="1"/>
  <c r="AG44" i="3"/>
  <c r="AG63" i="3"/>
  <c r="AG75" i="3"/>
  <c r="AG57" i="3"/>
  <c r="AG81" i="3"/>
  <c r="AG95" i="3"/>
  <c r="AG82" i="3"/>
  <c r="AG87" i="3"/>
  <c r="AG48" i="3"/>
  <c r="AG70" i="3"/>
  <c r="AG89" i="3"/>
  <c r="AG73" i="3"/>
  <c r="AG86" i="3"/>
  <c r="AG96" i="3"/>
  <c r="AG91" i="3"/>
  <c r="AG77" i="3"/>
  <c r="AG79" i="3"/>
  <c r="AG68" i="3"/>
  <c r="AG78" i="3"/>
  <c r="AG92" i="3"/>
  <c r="AG66" i="3"/>
  <c r="AG55" i="3"/>
  <c r="AG94" i="3"/>
  <c r="AG84" i="3"/>
  <c r="AG74" i="3"/>
  <c r="AG64" i="3"/>
  <c r="AG59" i="3"/>
  <c r="AG69" i="3"/>
  <c r="AG90" i="3"/>
  <c r="AG97" i="3"/>
  <c r="AG85" i="3"/>
  <c r="AG93" i="3"/>
  <c r="AG67" i="3"/>
  <c r="AG46" i="3"/>
  <c r="AG88" i="3"/>
  <c r="AG83" i="3"/>
  <c r="AG56" i="3"/>
  <c r="AG47" i="3"/>
  <c r="AG45" i="3"/>
  <c r="AG71" i="3"/>
  <c r="AG61" i="3"/>
  <c r="AG62" i="3"/>
  <c r="AG58" i="3"/>
  <c r="AG51" i="3"/>
  <c r="AG49" i="3"/>
  <c r="AG80" i="3"/>
  <c r="AG52" i="3"/>
  <c r="AG60" i="3"/>
  <c r="AG76" i="3"/>
  <c r="AG65" i="3"/>
  <c r="AG50" i="3"/>
  <c r="AG54" i="3"/>
  <c r="AG53" i="3"/>
  <c r="AG43" i="3"/>
  <c r="AG100" i="3"/>
  <c r="AF103" i="3"/>
  <c r="AE109" i="3"/>
  <c r="AF105" i="3"/>
  <c r="AF106" i="3"/>
  <c r="AF102" i="3"/>
  <c r="AF107" i="3"/>
  <c r="AF104" i="3"/>
  <c r="AF101" i="3"/>
  <c r="AF108" i="3"/>
  <c r="AG42" i="3"/>
  <c r="AG38" i="3"/>
  <c r="AG34" i="3"/>
  <c r="AG39" i="3"/>
  <c r="AG35" i="3"/>
  <c r="AG37" i="3"/>
  <c r="AG32" i="3"/>
  <c r="AG28" i="3"/>
  <c r="AG40" i="3"/>
  <c r="AG29" i="3"/>
  <c r="AG41" i="3"/>
  <c r="AG33" i="3"/>
  <c r="AG30" i="3"/>
  <c r="AG25" i="3"/>
  <c r="AG21" i="3"/>
  <c r="AG26" i="3"/>
  <c r="AG22" i="3"/>
  <c r="AG36" i="3"/>
  <c r="AG31" i="3"/>
  <c r="AG23" i="3"/>
  <c r="AG19" i="3"/>
  <c r="AG27" i="3"/>
  <c r="AG20" i="3"/>
  <c r="AG16" i="3"/>
  <c r="AG12" i="3"/>
  <c r="AG15" i="3"/>
  <c r="AG24" i="3"/>
  <c r="AG17" i="3"/>
  <c r="AG13" i="3"/>
  <c r="AG9" i="3"/>
  <c r="AG18" i="3"/>
  <c r="AG14" i="3"/>
  <c r="AG10" i="3"/>
  <c r="AG11" i="3"/>
  <c r="AH8" i="3"/>
  <c r="AG7" i="3"/>
  <c r="AG99" i="3" s="1"/>
  <c r="AH70" i="3" l="1"/>
  <c r="AH59" i="3"/>
  <c r="AH72" i="3"/>
  <c r="AH73" i="3"/>
  <c r="AH74" i="3"/>
  <c r="AH44" i="3"/>
  <c r="AH56" i="3"/>
  <c r="AH69" i="3"/>
  <c r="AH75" i="3"/>
  <c r="AH91" i="3"/>
  <c r="AH81" i="3"/>
  <c r="AH82" i="3"/>
  <c r="AH57" i="3"/>
  <c r="AH95" i="3"/>
  <c r="AH50" i="3"/>
  <c r="AH89" i="3"/>
  <c r="AH63" i="3"/>
  <c r="AH96" i="3"/>
  <c r="AH93" i="3"/>
  <c r="AH65" i="3"/>
  <c r="AH45" i="3"/>
  <c r="AH76" i="3"/>
  <c r="AH55" i="3"/>
  <c r="AH51" i="3"/>
  <c r="AH62" i="3"/>
  <c r="AH64" i="3"/>
  <c r="AH85" i="3"/>
  <c r="AH79" i="3"/>
  <c r="AH88" i="3"/>
  <c r="AH86" i="3"/>
  <c r="AH87" i="3"/>
  <c r="AH92" i="3"/>
  <c r="AH90" i="3"/>
  <c r="AH54" i="3"/>
  <c r="AH97" i="3"/>
  <c r="AH94" i="3"/>
  <c r="AH66" i="3"/>
  <c r="AH58" i="3"/>
  <c r="AH61" i="3"/>
  <c r="AH83" i="3"/>
  <c r="AH67" i="3"/>
  <c r="AH71" i="3"/>
  <c r="AH80" i="3"/>
  <c r="AH77" i="3"/>
  <c r="AH68" i="3"/>
  <c r="AH52" i="3"/>
  <c r="AH48" i="3"/>
  <c r="AH53" i="3"/>
  <c r="AH60" i="3"/>
  <c r="AH47" i="3"/>
  <c r="AH78" i="3"/>
  <c r="AH84" i="3"/>
  <c r="AH49" i="3"/>
  <c r="AH46" i="3"/>
  <c r="AH43" i="3"/>
  <c r="AH100" i="3"/>
  <c r="AF109" i="3"/>
  <c r="AG106" i="3"/>
  <c r="AG101" i="3"/>
  <c r="AG105" i="3"/>
  <c r="AG102" i="3"/>
  <c r="AG104" i="3"/>
  <c r="AG108" i="3"/>
  <c r="AG107" i="3"/>
  <c r="AG103" i="3"/>
  <c r="AH39" i="3"/>
  <c r="AH35" i="3"/>
  <c r="AH40" i="3"/>
  <c r="AH36" i="3"/>
  <c r="AH38" i="3"/>
  <c r="AH29" i="3"/>
  <c r="AH41" i="3"/>
  <c r="AH33" i="3"/>
  <c r="AH30" i="3"/>
  <c r="AH42" i="3"/>
  <c r="AH34" i="3"/>
  <c r="AH31" i="3"/>
  <c r="AH26" i="3"/>
  <c r="AH22" i="3"/>
  <c r="AH28" i="3"/>
  <c r="AH23" i="3"/>
  <c r="AH19" i="3"/>
  <c r="AH37" i="3"/>
  <c r="AH32" i="3"/>
  <c r="AH27" i="3"/>
  <c r="AH24" i="3"/>
  <c r="AH20" i="3"/>
  <c r="AH21" i="3"/>
  <c r="AH17" i="3"/>
  <c r="AH13" i="3"/>
  <c r="AH9" i="3"/>
  <c r="AH12" i="3"/>
  <c r="AH25" i="3"/>
  <c r="AH18" i="3"/>
  <c r="AH14" i="3"/>
  <c r="AH10" i="3"/>
  <c r="AH15" i="3"/>
  <c r="AH11" i="3"/>
  <c r="AH16" i="3"/>
  <c r="AH7" i="3"/>
  <c r="AH99" i="3" s="1"/>
  <c r="AM84" i="3" l="1"/>
  <c r="AN84" i="3"/>
  <c r="AP84" i="3"/>
  <c r="AQ84" i="3"/>
  <c r="AO84" i="3"/>
  <c r="AK84" i="3"/>
  <c r="AL84" i="3"/>
  <c r="AJ84" i="3"/>
  <c r="AK53" i="3"/>
  <c r="AJ53" i="3"/>
  <c r="AN53" i="3"/>
  <c r="AQ53" i="3"/>
  <c r="AP53" i="3"/>
  <c r="AL53" i="3"/>
  <c r="AO53" i="3"/>
  <c r="AM53" i="3"/>
  <c r="AN77" i="3"/>
  <c r="AP77" i="3"/>
  <c r="AO77" i="3"/>
  <c r="AM77" i="3"/>
  <c r="AJ77" i="3"/>
  <c r="AQ77" i="3"/>
  <c r="AL77" i="3"/>
  <c r="AK77" i="3"/>
  <c r="AM83" i="3"/>
  <c r="AJ83" i="3"/>
  <c r="AN83" i="3"/>
  <c r="AQ83" i="3"/>
  <c r="AK83" i="3"/>
  <c r="AL83" i="3"/>
  <c r="AO83" i="3"/>
  <c r="AP83" i="3"/>
  <c r="AM94" i="3"/>
  <c r="AO94" i="3"/>
  <c r="AK94" i="3"/>
  <c r="AP94" i="3"/>
  <c r="AN94" i="3"/>
  <c r="AQ94" i="3"/>
  <c r="AL94" i="3"/>
  <c r="AJ94" i="3"/>
  <c r="AL92" i="3"/>
  <c r="AJ92" i="3"/>
  <c r="AO92" i="3"/>
  <c r="AM92" i="3"/>
  <c r="AP92" i="3"/>
  <c r="AN92" i="3"/>
  <c r="AQ92" i="3"/>
  <c r="AK92" i="3"/>
  <c r="AN79" i="3"/>
  <c r="AL79" i="3"/>
  <c r="AP79" i="3"/>
  <c r="AJ79" i="3"/>
  <c r="AO79" i="3"/>
  <c r="AK79" i="3"/>
  <c r="AQ79" i="3"/>
  <c r="AM79" i="3"/>
  <c r="AP51" i="3"/>
  <c r="AM51" i="3"/>
  <c r="AJ51" i="3"/>
  <c r="AO51" i="3"/>
  <c r="AN51" i="3"/>
  <c r="AQ51" i="3"/>
  <c r="AK51" i="3"/>
  <c r="AL51" i="3"/>
  <c r="AK65" i="3"/>
  <c r="AP65" i="3"/>
  <c r="AM65" i="3"/>
  <c r="AJ65" i="3"/>
  <c r="AL65" i="3"/>
  <c r="AN65" i="3"/>
  <c r="AO65" i="3"/>
  <c r="AQ65" i="3"/>
  <c r="AL89" i="3"/>
  <c r="AJ89" i="3"/>
  <c r="AO89" i="3"/>
  <c r="AM89" i="3"/>
  <c r="AQ89" i="3"/>
  <c r="AP89" i="3"/>
  <c r="AK89" i="3"/>
  <c r="AN89" i="3"/>
  <c r="AN82" i="3"/>
  <c r="AK82" i="3"/>
  <c r="AQ82" i="3"/>
  <c r="AL82" i="3"/>
  <c r="AP82" i="3"/>
  <c r="AO82" i="3"/>
  <c r="AM82" i="3"/>
  <c r="AJ82" i="3"/>
  <c r="AK69" i="3"/>
  <c r="AO69" i="3"/>
  <c r="AL69" i="3"/>
  <c r="AQ69" i="3"/>
  <c r="AP69" i="3"/>
  <c r="AM69" i="3"/>
  <c r="AN69" i="3"/>
  <c r="AJ69" i="3"/>
  <c r="AQ73" i="3"/>
  <c r="AO73" i="3"/>
  <c r="AN73" i="3"/>
  <c r="AJ73" i="3"/>
  <c r="AL73" i="3"/>
  <c r="AP73" i="3"/>
  <c r="AM73" i="3"/>
  <c r="AK73" i="3"/>
  <c r="AK78" i="3"/>
  <c r="AN78" i="3"/>
  <c r="AM78" i="3"/>
  <c r="AJ78" i="3"/>
  <c r="AL78" i="3"/>
  <c r="AQ78" i="3"/>
  <c r="AO78" i="3"/>
  <c r="AP78" i="3"/>
  <c r="AM48" i="3"/>
  <c r="AN48" i="3"/>
  <c r="AP48" i="3"/>
  <c r="AL48" i="3"/>
  <c r="AK48" i="3"/>
  <c r="AQ48" i="3"/>
  <c r="AJ48" i="3"/>
  <c r="AO48" i="3"/>
  <c r="AO80" i="3"/>
  <c r="AM80" i="3"/>
  <c r="AQ80" i="3"/>
  <c r="AK80" i="3"/>
  <c r="AL80" i="3"/>
  <c r="AP80" i="3"/>
  <c r="AN80" i="3"/>
  <c r="AJ80" i="3"/>
  <c r="AK61" i="3"/>
  <c r="AN61" i="3"/>
  <c r="AJ61" i="3"/>
  <c r="AQ61" i="3"/>
  <c r="AP61" i="3"/>
  <c r="AL61" i="3"/>
  <c r="AM61" i="3"/>
  <c r="AO61" i="3"/>
  <c r="AQ97" i="3"/>
  <c r="AJ97" i="3"/>
  <c r="AP97" i="3"/>
  <c r="AK97" i="3"/>
  <c r="AL97" i="3"/>
  <c r="AM97" i="3"/>
  <c r="AO97" i="3"/>
  <c r="AN97" i="3"/>
  <c r="AK87" i="3"/>
  <c r="AO87" i="3"/>
  <c r="AP87" i="3"/>
  <c r="AJ87" i="3"/>
  <c r="AM87" i="3"/>
  <c r="AN87" i="3"/>
  <c r="AL87" i="3"/>
  <c r="AQ87" i="3"/>
  <c r="AO85" i="3"/>
  <c r="AJ85" i="3"/>
  <c r="AN85" i="3"/>
  <c r="AK85" i="3"/>
  <c r="AP85" i="3"/>
  <c r="AL85" i="3"/>
  <c r="AM85" i="3"/>
  <c r="AQ85" i="3"/>
  <c r="AK55" i="3"/>
  <c r="AL55" i="3"/>
  <c r="AQ55" i="3"/>
  <c r="AJ55" i="3"/>
  <c r="AO55" i="3"/>
  <c r="AM55" i="3"/>
  <c r="AP55" i="3"/>
  <c r="AN55" i="3"/>
  <c r="AK93" i="3"/>
  <c r="AQ93" i="3"/>
  <c r="AN93" i="3"/>
  <c r="AL93" i="3"/>
  <c r="AO93" i="3"/>
  <c r="AJ93" i="3"/>
  <c r="AM93" i="3"/>
  <c r="AP93" i="3"/>
  <c r="AL50" i="3"/>
  <c r="AQ50" i="3"/>
  <c r="AM50" i="3"/>
  <c r="AN50" i="3"/>
  <c r="AP50" i="3"/>
  <c r="AO50" i="3"/>
  <c r="AK50" i="3"/>
  <c r="AJ50" i="3"/>
  <c r="AJ81" i="3"/>
  <c r="AO81" i="3"/>
  <c r="AK81" i="3"/>
  <c r="AQ81" i="3"/>
  <c r="AM81" i="3"/>
  <c r="AL81" i="3"/>
  <c r="AN81" i="3"/>
  <c r="AP81" i="3"/>
  <c r="AM56" i="3"/>
  <c r="AP56" i="3"/>
  <c r="AO56" i="3"/>
  <c r="AJ56" i="3"/>
  <c r="AN56" i="3"/>
  <c r="AL56" i="3"/>
  <c r="AK56" i="3"/>
  <c r="AQ56" i="3"/>
  <c r="AM72" i="3"/>
  <c r="AP72" i="3"/>
  <c r="AO72" i="3"/>
  <c r="AK72" i="3"/>
  <c r="AN72" i="3"/>
  <c r="AQ72" i="3"/>
  <c r="AL72" i="3"/>
  <c r="AJ72" i="3"/>
  <c r="AL46" i="3"/>
  <c r="AO46" i="3"/>
  <c r="AN46" i="3"/>
  <c r="AP46" i="3"/>
  <c r="AK46" i="3"/>
  <c r="AQ46" i="3"/>
  <c r="AM46" i="3"/>
  <c r="AJ46" i="3"/>
  <c r="AN47" i="3"/>
  <c r="AL47" i="3"/>
  <c r="AJ47" i="3"/>
  <c r="AQ47" i="3"/>
  <c r="AO47" i="3"/>
  <c r="AK47" i="3"/>
  <c r="AP47" i="3"/>
  <c r="AM47" i="3"/>
  <c r="AL52" i="3"/>
  <c r="AM52" i="3"/>
  <c r="AJ52" i="3"/>
  <c r="AQ52" i="3"/>
  <c r="AO52" i="3"/>
  <c r="AP52" i="3"/>
  <c r="AK52" i="3"/>
  <c r="AN52" i="3"/>
  <c r="AJ71" i="3"/>
  <c r="AN71" i="3"/>
  <c r="AP71" i="3"/>
  <c r="AL71" i="3"/>
  <c r="AK71" i="3"/>
  <c r="AM71" i="3"/>
  <c r="AQ71" i="3"/>
  <c r="AO71" i="3"/>
  <c r="AN58" i="3"/>
  <c r="AK58" i="3"/>
  <c r="AO58" i="3"/>
  <c r="AQ58" i="3"/>
  <c r="AM58" i="3"/>
  <c r="AJ58" i="3"/>
  <c r="AP58" i="3"/>
  <c r="AL58" i="3"/>
  <c r="AL54" i="3"/>
  <c r="AQ54" i="3"/>
  <c r="AK54" i="3"/>
  <c r="AM54" i="3"/>
  <c r="AJ54" i="3"/>
  <c r="AP54" i="3"/>
  <c r="AO54" i="3"/>
  <c r="AN54" i="3"/>
  <c r="AM86" i="3"/>
  <c r="AO86" i="3"/>
  <c r="AP86" i="3"/>
  <c r="AQ86" i="3"/>
  <c r="AJ86" i="3"/>
  <c r="AL86" i="3"/>
  <c r="AK86" i="3"/>
  <c r="AN86" i="3"/>
  <c r="AQ64" i="3"/>
  <c r="AJ64" i="3"/>
  <c r="AO64" i="3"/>
  <c r="AP64" i="3"/>
  <c r="AM64" i="3"/>
  <c r="AN64" i="3"/>
  <c r="AL64" i="3"/>
  <c r="AK64" i="3"/>
  <c r="AL76" i="3"/>
  <c r="AN76" i="3"/>
  <c r="AK76" i="3"/>
  <c r="AP76" i="3"/>
  <c r="AJ76" i="3"/>
  <c r="AQ76" i="3"/>
  <c r="AO76" i="3"/>
  <c r="AM76" i="3"/>
  <c r="AL96" i="3"/>
  <c r="AP96" i="3"/>
  <c r="AN96" i="3"/>
  <c r="AJ96" i="3"/>
  <c r="AQ96" i="3"/>
  <c r="AK96" i="3"/>
  <c r="AM96" i="3"/>
  <c r="AO96" i="3"/>
  <c r="AL95" i="3"/>
  <c r="AK95" i="3"/>
  <c r="AN95" i="3"/>
  <c r="AQ95" i="3"/>
  <c r="AM95" i="3"/>
  <c r="AJ95" i="3"/>
  <c r="AP95" i="3"/>
  <c r="AO95" i="3"/>
  <c r="AM91" i="3"/>
  <c r="AL91" i="3"/>
  <c r="AO91" i="3"/>
  <c r="AQ91" i="3"/>
  <c r="AN91" i="3"/>
  <c r="AP91" i="3"/>
  <c r="AK91" i="3"/>
  <c r="AJ91" i="3"/>
  <c r="AL44" i="3"/>
  <c r="AK44" i="3"/>
  <c r="AQ44" i="3"/>
  <c r="AP44" i="3"/>
  <c r="AM44" i="3"/>
  <c r="AJ44" i="3"/>
  <c r="AN44" i="3"/>
  <c r="AO44" i="3"/>
  <c r="AN59" i="3"/>
  <c r="AK59" i="3"/>
  <c r="AL59" i="3"/>
  <c r="AP59" i="3"/>
  <c r="AQ59" i="3"/>
  <c r="AJ59" i="3"/>
  <c r="AO59" i="3"/>
  <c r="AM59" i="3"/>
  <c r="AN49" i="3"/>
  <c r="AO49" i="3"/>
  <c r="AQ49" i="3"/>
  <c r="AM49" i="3"/>
  <c r="AP49" i="3"/>
  <c r="AK49" i="3"/>
  <c r="AJ49" i="3"/>
  <c r="AL49" i="3"/>
  <c r="AJ60" i="3"/>
  <c r="AM60" i="3"/>
  <c r="AK60" i="3"/>
  <c r="AO60" i="3"/>
  <c r="AL60" i="3"/>
  <c r="AP60" i="3"/>
  <c r="AN60" i="3"/>
  <c r="AQ60" i="3"/>
  <c r="AN68" i="3"/>
  <c r="AP68" i="3"/>
  <c r="AQ68" i="3"/>
  <c r="AO68" i="3"/>
  <c r="AK68" i="3"/>
  <c r="AL68" i="3"/>
  <c r="AJ68" i="3"/>
  <c r="AM68" i="3"/>
  <c r="AP67" i="3"/>
  <c r="AN67" i="3"/>
  <c r="AM67" i="3"/>
  <c r="AK67" i="3"/>
  <c r="AJ67" i="3"/>
  <c r="AO67" i="3"/>
  <c r="AQ67" i="3"/>
  <c r="AL67" i="3"/>
  <c r="AO66" i="3"/>
  <c r="AP66" i="3"/>
  <c r="AM66" i="3"/>
  <c r="AN66" i="3"/>
  <c r="AL66" i="3"/>
  <c r="AJ66" i="3"/>
  <c r="AK66" i="3"/>
  <c r="AQ66" i="3"/>
  <c r="AK90" i="3"/>
  <c r="AM90" i="3"/>
  <c r="AJ90" i="3"/>
  <c r="AL90" i="3"/>
  <c r="AQ90" i="3"/>
  <c r="AP90" i="3"/>
  <c r="AO90" i="3"/>
  <c r="AN90" i="3"/>
  <c r="AN88" i="3"/>
  <c r="AM88" i="3"/>
  <c r="AL88" i="3"/>
  <c r="AQ88" i="3"/>
  <c r="AO88" i="3"/>
  <c r="AP88" i="3"/>
  <c r="AK88" i="3"/>
  <c r="AJ88" i="3"/>
  <c r="AN62" i="3"/>
  <c r="AQ62" i="3"/>
  <c r="AM62" i="3"/>
  <c r="AL62" i="3"/>
  <c r="AO62" i="3"/>
  <c r="AK62" i="3"/>
  <c r="AJ62" i="3"/>
  <c r="AP62" i="3"/>
  <c r="AK45" i="3"/>
  <c r="AP45" i="3"/>
  <c r="AL45" i="3"/>
  <c r="AM45" i="3"/>
  <c r="AQ45" i="3"/>
  <c r="AO45" i="3"/>
  <c r="AN45" i="3"/>
  <c r="AJ45" i="3"/>
  <c r="AN63" i="3"/>
  <c r="AL63" i="3"/>
  <c r="AK63" i="3"/>
  <c r="AQ63" i="3"/>
  <c r="AP63" i="3"/>
  <c r="AO63" i="3"/>
  <c r="AJ63" i="3"/>
  <c r="AM63" i="3"/>
  <c r="AP57" i="3"/>
  <c r="AM57" i="3"/>
  <c r="AO57" i="3"/>
  <c r="AJ57" i="3"/>
  <c r="AQ57" i="3"/>
  <c r="AN57" i="3"/>
  <c r="AL57" i="3"/>
  <c r="AK57" i="3"/>
  <c r="AJ75" i="3"/>
  <c r="AQ75" i="3"/>
  <c r="AN75" i="3"/>
  <c r="AM75" i="3"/>
  <c r="AL75" i="3"/>
  <c r="AP75" i="3"/>
  <c r="AK75" i="3"/>
  <c r="AO75" i="3"/>
  <c r="AO74" i="3"/>
  <c r="AQ74" i="3"/>
  <c r="AP74" i="3"/>
  <c r="AN74" i="3"/>
  <c r="AJ74" i="3"/>
  <c r="AL74" i="3"/>
  <c r="AK74" i="3"/>
  <c r="AM74" i="3"/>
  <c r="AJ70" i="3"/>
  <c r="AL70" i="3"/>
  <c r="AN70" i="3"/>
  <c r="AM70" i="3"/>
  <c r="AP70" i="3"/>
  <c r="AO70" i="3"/>
  <c r="AQ70" i="3"/>
  <c r="AK70" i="3"/>
  <c r="AQ43" i="3"/>
  <c r="AM43" i="3"/>
  <c r="AL43" i="3"/>
  <c r="AK43" i="3"/>
  <c r="AN43" i="3"/>
  <c r="AJ43" i="3"/>
  <c r="AO43" i="3"/>
  <c r="AP43" i="3"/>
  <c r="AG109" i="3"/>
  <c r="AH102" i="3"/>
  <c r="AH104" i="3"/>
  <c r="AH105" i="3"/>
  <c r="AH106" i="3"/>
  <c r="AH101" i="3"/>
  <c r="AH103" i="3"/>
  <c r="AH108" i="3"/>
  <c r="AH107" i="3"/>
  <c r="AQ24" i="3"/>
  <c r="AP24" i="3"/>
  <c r="AO24" i="3"/>
  <c r="AQ17" i="3"/>
  <c r="AP17" i="3"/>
  <c r="AO17" i="3"/>
  <c r="AP31" i="3"/>
  <c r="AQ31" i="3"/>
  <c r="AO31" i="3"/>
  <c r="AP27" i="3"/>
  <c r="AQ27" i="3"/>
  <c r="AO27" i="3"/>
  <c r="AO29" i="3"/>
  <c r="AQ29" i="3"/>
  <c r="AP29" i="3"/>
  <c r="AO34" i="3"/>
  <c r="AQ34" i="3"/>
  <c r="AP34" i="3"/>
  <c r="AO37" i="3"/>
  <c r="AQ37" i="3"/>
  <c r="AP37" i="3"/>
  <c r="AP18" i="3"/>
  <c r="AO18" i="3"/>
  <c r="AQ18" i="3"/>
  <c r="AQ26" i="3"/>
  <c r="AP26" i="3"/>
  <c r="AO26" i="3"/>
  <c r="AP35" i="3"/>
  <c r="AQ35" i="3"/>
  <c r="AO35" i="3"/>
  <c r="AO38" i="3"/>
  <c r="AQ38" i="3"/>
  <c r="AP38" i="3"/>
  <c r="AQ41" i="3"/>
  <c r="AP41" i="3"/>
  <c r="AO41" i="3"/>
  <c r="AP10" i="3"/>
  <c r="AO10" i="3"/>
  <c r="AQ10" i="3"/>
  <c r="AO20" i="3"/>
  <c r="AP20" i="3"/>
  <c r="AQ20" i="3"/>
  <c r="AO9" i="3"/>
  <c r="AP9" i="3"/>
  <c r="AQ9" i="3"/>
  <c r="AP12" i="3"/>
  <c r="AO12" i="3"/>
  <c r="AQ12" i="3"/>
  <c r="AO19" i="3"/>
  <c r="AP19" i="3"/>
  <c r="AQ19" i="3"/>
  <c r="AO22" i="3"/>
  <c r="AQ22" i="3"/>
  <c r="AP22" i="3"/>
  <c r="AQ30" i="3"/>
  <c r="AP30" i="3"/>
  <c r="AO30" i="3"/>
  <c r="AP28" i="3"/>
  <c r="AQ28" i="3"/>
  <c r="AO28" i="3"/>
  <c r="AO42" i="3"/>
  <c r="AP42" i="3"/>
  <c r="AQ42" i="3"/>
  <c r="AQ36" i="3"/>
  <c r="AP36" i="3"/>
  <c r="AO36" i="3"/>
  <c r="AQ11" i="3"/>
  <c r="AO11" i="3"/>
  <c r="AP11" i="3"/>
  <c r="AP15" i="3"/>
  <c r="AQ15" i="3"/>
  <c r="AO15" i="3"/>
  <c r="AQ14" i="3"/>
  <c r="AO14" i="3"/>
  <c r="AP14" i="3"/>
  <c r="AO21" i="3"/>
  <c r="AQ21" i="3"/>
  <c r="AP21" i="3"/>
  <c r="AQ13" i="3"/>
  <c r="AO13" i="3"/>
  <c r="AP13" i="3"/>
  <c r="AQ16" i="3"/>
  <c r="AO16" i="3"/>
  <c r="AP16" i="3"/>
  <c r="AQ23" i="3"/>
  <c r="AO23" i="3"/>
  <c r="AP23" i="3"/>
  <c r="AQ25" i="3"/>
  <c r="AP25" i="3"/>
  <c r="AO25" i="3"/>
  <c r="AP39" i="3"/>
  <c r="AQ39" i="3"/>
  <c r="AO39" i="3"/>
  <c r="AQ32" i="3"/>
  <c r="AO32" i="3"/>
  <c r="AP32" i="3"/>
  <c r="AP33" i="3"/>
  <c r="AQ33" i="3"/>
  <c r="AO33" i="3"/>
  <c r="AO40" i="3"/>
  <c r="AP40" i="3"/>
  <c r="AQ40" i="3"/>
  <c r="AN10" i="3"/>
  <c r="AN11" i="3"/>
  <c r="AN24" i="3"/>
  <c r="AN17" i="3"/>
  <c r="AN31" i="3"/>
  <c r="AN27" i="3"/>
  <c r="AN29" i="3"/>
  <c r="AN34" i="3"/>
  <c r="AN37" i="3"/>
  <c r="AN15" i="3"/>
  <c r="AN20" i="3"/>
  <c r="AN18" i="3"/>
  <c r="AN26" i="3"/>
  <c r="AN35" i="3"/>
  <c r="AN38" i="3"/>
  <c r="AN41" i="3"/>
  <c r="AN14" i="3"/>
  <c r="AN9" i="3"/>
  <c r="AN12" i="3"/>
  <c r="AN19" i="3"/>
  <c r="AN22" i="3"/>
  <c r="AN30" i="3"/>
  <c r="AN28" i="3"/>
  <c r="AN42" i="3"/>
  <c r="AN36" i="3"/>
  <c r="AN21" i="3"/>
  <c r="AN13" i="3"/>
  <c r="AN16" i="3"/>
  <c r="AN23" i="3"/>
  <c r="AN25" i="3"/>
  <c r="AN39" i="3"/>
  <c r="AN32" i="3"/>
  <c r="AN33" i="3"/>
  <c r="AN40" i="3"/>
  <c r="AJ20" i="3"/>
  <c r="AL20" i="3"/>
  <c r="AM20" i="3"/>
  <c r="AK20" i="3"/>
  <c r="AK18" i="3"/>
  <c r="AL18" i="3"/>
  <c r="AJ18" i="3"/>
  <c r="AM18" i="3"/>
  <c r="AL26" i="3"/>
  <c r="AJ26" i="3"/>
  <c r="AM26" i="3"/>
  <c r="AK26" i="3"/>
  <c r="AJ35" i="3"/>
  <c r="AL35" i="3"/>
  <c r="AM35" i="3"/>
  <c r="AK35" i="3"/>
  <c r="AL38" i="3"/>
  <c r="AJ38" i="3"/>
  <c r="AM38" i="3"/>
  <c r="AK38" i="3"/>
  <c r="AK41" i="3"/>
  <c r="AJ41" i="3"/>
  <c r="AL41" i="3"/>
  <c r="AM41" i="3"/>
  <c r="AM11" i="3"/>
  <c r="AJ11" i="3"/>
  <c r="AK11" i="3"/>
  <c r="AL11" i="3"/>
  <c r="AJ17" i="3"/>
  <c r="AM17" i="3"/>
  <c r="AL17" i="3"/>
  <c r="AK17" i="3"/>
  <c r="AJ27" i="3"/>
  <c r="AL27" i="3"/>
  <c r="AK27" i="3"/>
  <c r="AM27" i="3"/>
  <c r="AJ34" i="3"/>
  <c r="AM34" i="3"/>
  <c r="AK34" i="3"/>
  <c r="AL34" i="3"/>
  <c r="AJ10" i="3"/>
  <c r="AK10" i="3"/>
  <c r="AL10" i="3"/>
  <c r="AM10" i="3"/>
  <c r="AK14" i="3"/>
  <c r="AL14" i="3"/>
  <c r="AM14" i="3"/>
  <c r="AJ14" i="3"/>
  <c r="AL9" i="3"/>
  <c r="AM9" i="3"/>
  <c r="AK9" i="3"/>
  <c r="AM12" i="3"/>
  <c r="AK12" i="3"/>
  <c r="AL12" i="3"/>
  <c r="AJ12" i="3"/>
  <c r="AM19" i="3"/>
  <c r="AJ19" i="3"/>
  <c r="AK19" i="3"/>
  <c r="AL19" i="3"/>
  <c r="AM22" i="3"/>
  <c r="AL22" i="3"/>
  <c r="AK22" i="3"/>
  <c r="AJ22" i="3"/>
  <c r="AL30" i="3"/>
  <c r="AM30" i="3"/>
  <c r="AJ30" i="3"/>
  <c r="AK30" i="3"/>
  <c r="AM28" i="3"/>
  <c r="AL28" i="3"/>
  <c r="AK28" i="3"/>
  <c r="AJ28" i="3"/>
  <c r="AK42" i="3"/>
  <c r="AM42" i="3"/>
  <c r="AJ42" i="3"/>
  <c r="AL42" i="3"/>
  <c r="AM36" i="3"/>
  <c r="AJ36" i="3"/>
  <c r="AK36" i="3"/>
  <c r="AL36" i="3"/>
  <c r="AL24" i="3"/>
  <c r="AJ24" i="3"/>
  <c r="AM24" i="3"/>
  <c r="AK24" i="3"/>
  <c r="AK31" i="3"/>
  <c r="AM31" i="3"/>
  <c r="AJ31" i="3"/>
  <c r="AL31" i="3"/>
  <c r="AJ29" i="3"/>
  <c r="AL29" i="3"/>
  <c r="AK29" i="3"/>
  <c r="AM29" i="3"/>
  <c r="AL37" i="3"/>
  <c r="AJ37" i="3"/>
  <c r="AK37" i="3"/>
  <c r="AM37" i="3"/>
  <c r="AJ15" i="3"/>
  <c r="AK15" i="3"/>
  <c r="AL15" i="3"/>
  <c r="AM15" i="3"/>
  <c r="AM21" i="3"/>
  <c r="AJ21" i="3"/>
  <c r="AL21" i="3"/>
  <c r="AK21" i="3"/>
  <c r="AM13" i="3"/>
  <c r="AJ13" i="3"/>
  <c r="AL13" i="3"/>
  <c r="AK13" i="3"/>
  <c r="AL16" i="3"/>
  <c r="AM16" i="3"/>
  <c r="AJ16" i="3"/>
  <c r="AK16" i="3"/>
  <c r="AJ23" i="3"/>
  <c r="AM23" i="3"/>
  <c r="AL23" i="3"/>
  <c r="AK23" i="3"/>
  <c r="AK25" i="3"/>
  <c r="AL25" i="3"/>
  <c r="AJ25" i="3"/>
  <c r="AM25" i="3"/>
  <c r="AK39" i="3"/>
  <c r="AJ39" i="3"/>
  <c r="AM39" i="3"/>
  <c r="AL39" i="3"/>
  <c r="AK32" i="3"/>
  <c r="AL32" i="3"/>
  <c r="AJ32" i="3"/>
  <c r="AM32" i="3"/>
  <c r="AM33" i="3"/>
  <c r="AK33" i="3"/>
  <c r="AL33" i="3"/>
  <c r="AJ33" i="3"/>
  <c r="AL40" i="3"/>
  <c r="AJ40" i="3"/>
  <c r="AM40" i="3"/>
  <c r="AK40" i="3"/>
  <c r="AJ9" i="3"/>
  <c r="AQ5" i="5"/>
  <c r="AK5" i="5"/>
  <c r="AL5" i="5"/>
  <c r="AM5" i="5"/>
  <c r="AJ5" i="5"/>
  <c r="AR82" i="3" l="1"/>
  <c r="AR48" i="3"/>
  <c r="AR92" i="3"/>
  <c r="AR44" i="3"/>
  <c r="AR93" i="3"/>
  <c r="AR94" i="3"/>
  <c r="AR77" i="3"/>
  <c r="AR69" i="3"/>
  <c r="AR58" i="3"/>
  <c r="AR74" i="3"/>
  <c r="AR84" i="3"/>
  <c r="AR57" i="3"/>
  <c r="AR45" i="3"/>
  <c r="AR88" i="3"/>
  <c r="AR67" i="3"/>
  <c r="AR91" i="3"/>
  <c r="AR46" i="3"/>
  <c r="AR72" i="3"/>
  <c r="AR56" i="3"/>
  <c r="AR50" i="3"/>
  <c r="AR55" i="3"/>
  <c r="AR85" i="3"/>
  <c r="AR87" i="3"/>
  <c r="AR80" i="3"/>
  <c r="AR78" i="3"/>
  <c r="AR73" i="3"/>
  <c r="AR65" i="3"/>
  <c r="AR79" i="3"/>
  <c r="AR63" i="3"/>
  <c r="AR62" i="3"/>
  <c r="AR90" i="3"/>
  <c r="AR68" i="3"/>
  <c r="AR49" i="3"/>
  <c r="AR95" i="3"/>
  <c r="AR96" i="3"/>
  <c r="AR52" i="3"/>
  <c r="AR47" i="3"/>
  <c r="AR61" i="3"/>
  <c r="AR51" i="3"/>
  <c r="AR66" i="3"/>
  <c r="AR59" i="3"/>
  <c r="AR64" i="3"/>
  <c r="AR97" i="3"/>
  <c r="AR89" i="3"/>
  <c r="AR83" i="3"/>
  <c r="AR53" i="3"/>
  <c r="AR70" i="3"/>
  <c r="AR75" i="3"/>
  <c r="AR60" i="3"/>
  <c r="AR76" i="3"/>
  <c r="AR86" i="3"/>
  <c r="AR54" i="3"/>
  <c r="AR71" i="3"/>
  <c r="AR81" i="3"/>
  <c r="AR43" i="3"/>
  <c r="AJ7" i="3"/>
  <c r="AH109" i="3"/>
  <c r="AL7" i="3"/>
  <c r="AQ7" i="3"/>
  <c r="AN7" i="3"/>
  <c r="AP7" i="3"/>
  <c r="AK7" i="3"/>
  <c r="AO7" i="3"/>
  <c r="AM7" i="3"/>
  <c r="AR27" i="3"/>
  <c r="AR20" i="3"/>
  <c r="AR15" i="3"/>
  <c r="AR16" i="3"/>
  <c r="AR25" i="3"/>
  <c r="AR39" i="3"/>
  <c r="AR19" i="3"/>
  <c r="AR10" i="3"/>
  <c r="AR40" i="3"/>
  <c r="AR33" i="3"/>
  <c r="AR32" i="3"/>
  <c r="AR42" i="3"/>
  <c r="AR28" i="3"/>
  <c r="AR30" i="3"/>
  <c r="AR22" i="3"/>
  <c r="AR12" i="3"/>
  <c r="AR14" i="3"/>
  <c r="AR29" i="3"/>
  <c r="AR17" i="3"/>
  <c r="AR11" i="3"/>
  <c r="AR36" i="3"/>
  <c r="AR9" i="3"/>
  <c r="AR34" i="3"/>
  <c r="AR24" i="3"/>
  <c r="AR41" i="3"/>
  <c r="AR38" i="3"/>
  <c r="AR35" i="3"/>
  <c r="AR26" i="3"/>
  <c r="AR18" i="3"/>
  <c r="AR37" i="3"/>
  <c r="AR31" i="3"/>
  <c r="AR23" i="3"/>
  <c r="AR13" i="3"/>
  <c r="AR21" i="3"/>
</calcChain>
</file>

<file path=xl/sharedStrings.xml><?xml version="1.0" encoding="utf-8"?>
<sst xmlns="http://schemas.openxmlformats.org/spreadsheetml/2006/main" count="4990" uniqueCount="1450">
  <si>
    <t>NAME</t>
  </si>
  <si>
    <t>START DATE</t>
  </si>
  <si>
    <t>END DATE</t>
  </si>
  <si>
    <t>DEPARTMENT</t>
  </si>
  <si>
    <t>ROLE</t>
  </si>
  <si>
    <t>CSR</t>
  </si>
  <si>
    <t>Required</t>
  </si>
  <si>
    <t>IB SUPPORT</t>
  </si>
  <si>
    <t>YEAR</t>
  </si>
  <si>
    <t>H</t>
  </si>
  <si>
    <t>Holidays</t>
  </si>
  <si>
    <t>Weekends</t>
  </si>
  <si>
    <t>MONTH</t>
  </si>
  <si>
    <t>NE</t>
  </si>
  <si>
    <t>Not Employed</t>
  </si>
  <si>
    <t>November</t>
  </si>
  <si>
    <t>NA</t>
  </si>
  <si>
    <t>Not Applicable</t>
  </si>
  <si>
    <t>EMPLOYEE NAME</t>
  </si>
  <si>
    <t>January</t>
  </si>
  <si>
    <t>LEAVE TYPE</t>
  </si>
  <si>
    <t>Enter Holidays</t>
  </si>
  <si>
    <t>HOLIDAY</t>
  </si>
  <si>
    <t>DATE</t>
  </si>
  <si>
    <t>Independence Day</t>
  </si>
  <si>
    <t>Labor Day</t>
  </si>
  <si>
    <t>Christmas Day</t>
  </si>
  <si>
    <t>PURPOSE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</si>
  <si>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</si>
  <si>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</si>
  <si>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</si>
  <si>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</si>
  <si>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</si>
  <si>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</si>
  <si>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</si>
  <si>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</si>
  <si>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</si>
  <si>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December</t>
  </si>
  <si>
    <t>Months</t>
  </si>
  <si>
    <t>Monday</t>
  </si>
  <si>
    <t>Sunday</t>
  </si>
  <si>
    <t>Tuesday</t>
  </si>
  <si>
    <t>Wednesday</t>
  </si>
  <si>
    <t>Thursday</t>
  </si>
  <si>
    <t>Friday</t>
  </si>
  <si>
    <t>Saturday</t>
  </si>
  <si>
    <t>Value</t>
  </si>
  <si>
    <t>LEAVE CODE</t>
  </si>
  <si>
    <t>Vacation Leave</t>
  </si>
  <si>
    <t>Sick Leave</t>
  </si>
  <si>
    <t>VL</t>
  </si>
  <si>
    <t>SL</t>
  </si>
  <si>
    <t>Unpaid Leave</t>
  </si>
  <si>
    <t>UL</t>
  </si>
  <si>
    <t>HD</t>
  </si>
  <si>
    <t>O</t>
  </si>
  <si>
    <t>Leave types (Only 5 types as of the moment)</t>
  </si>
  <si>
    <t>DAY VALUE</t>
  </si>
  <si>
    <t>Boolean</t>
  </si>
  <si>
    <t>With Forumla</t>
  </si>
  <si>
    <t>Employee Start Date</t>
  </si>
  <si>
    <t>EMPLOYEE</t>
  </si>
  <si>
    <t xml:space="preserve"> </t>
  </si>
  <si>
    <t>TERMINATION DATE</t>
  </si>
  <si>
    <t>DEFAULT</t>
  </si>
  <si>
    <t>=IFERROR(IF(MONTH(DATE(I_RPT_YR,$A12,C$11))&lt;&gt;$A12,"NA",IF(DATE(I_RPT_YR,$A12,C$11)&gt;I_RPT_ED,"NA",IF(DATE($B$4,$A12,C$11)&lt;$AL$3,"NE",IF(NOT(ISERROR(MATCH(DATE($B$4,$A12,C$11),L_HOLS,0))),"H",IF(INDEX(L_WKNDVAL,WEEKDAY(DATE($B$4,$A12,C$11),1))=1,"WKND",INDEX(T_LEAVE[LEAVE CODE],SUMPRODUCT(--(T_LEAVE[NAME]=I_RPT_EMP),--(T_LEAVE[START DATE]&lt;=DATE($B$4,$A12,C$11)),--(T_LEAVE[END DATE]&gt;=DATE($B$4,$A12,C$11)),ROW(T_LEAVE[LEAVE CODE]))-ROW(T_LEAVE[#Headers]))))))),"")</t>
  </si>
  <si>
    <t>Total</t>
  </si>
  <si>
    <t>ML</t>
  </si>
  <si>
    <t>PL</t>
  </si>
  <si>
    <t>LOA</t>
  </si>
  <si>
    <t>Leave Status</t>
  </si>
  <si>
    <t>Pending</t>
  </si>
  <si>
    <t>Approved</t>
  </si>
  <si>
    <t>Declined</t>
  </si>
  <si>
    <t xml:space="preserve">Date Applied </t>
  </si>
  <si>
    <t xml:space="preserve">Leave Date </t>
  </si>
  <si>
    <t xml:space="preserve">Name </t>
  </si>
  <si>
    <t xml:space="preserve">Type </t>
  </si>
  <si>
    <t xml:space="preserve">Leave Balance </t>
  </si>
  <si>
    <t xml:space="preserve">DAY TYPE </t>
  </si>
  <si>
    <t xml:space="preserve">PURPOSE </t>
  </si>
  <si>
    <t xml:space="preserve">Attachment </t>
  </si>
  <si>
    <t>Approved By</t>
  </si>
  <si>
    <t xml:space="preserve">days </t>
  </si>
  <si>
    <t xml:space="preserve">Purpose </t>
  </si>
  <si>
    <t xml:space="preserve">Status </t>
  </si>
  <si>
    <t>DATE AND TIME APPROVED</t>
  </si>
  <si>
    <t>Jan 23, 2021 - 12:23:32 PM</t>
  </si>
  <si>
    <t>VACATION LEAVE</t>
  </si>
  <si>
    <t>SICK LEAVE</t>
  </si>
  <si>
    <t>UNPAID LEAVE</t>
  </si>
  <si>
    <t>HALF DAY</t>
  </si>
  <si>
    <t>MATERNITY LEAVE</t>
  </si>
  <si>
    <t>PATERNITY LEAVE</t>
  </si>
  <si>
    <t>LEAVE OF ABSENCE</t>
  </si>
  <si>
    <t>OTHER</t>
  </si>
  <si>
    <t>Jan 19, 2021 - 02:44:28 AM</t>
  </si>
  <si>
    <t>Jan 23, 2021 - 12:21:02 PM</t>
  </si>
  <si>
    <t>Jan 30, 2021 - 04:53:48 AM</t>
  </si>
  <si>
    <t>Jan 11, 2021 - 12:20:43 PM</t>
  </si>
  <si>
    <t>Jan 23, 2021 - 12:22:17 PM</t>
  </si>
  <si>
    <t>Jan 25, 2021 - 09:48:49 AM</t>
  </si>
  <si>
    <t>Jan 23, 2021 - 12:23:01 PM</t>
  </si>
  <si>
    <t>Jan 30, 2021 - 04:54:57 AM</t>
  </si>
  <si>
    <t>Dec 19, 2020 - 06:56:59 AM</t>
  </si>
  <si>
    <t>Jan 11, 2021 - 12:33:18 PM</t>
  </si>
  <si>
    <t>Jan 13, 2021 - 04:23:05 AM</t>
  </si>
  <si>
    <t>LEAVE DATE</t>
  </si>
  <si>
    <t>DATE APPLIED</t>
  </si>
  <si>
    <t>TYPE</t>
  </si>
  <si>
    <t>DAYS</t>
  </si>
  <si>
    <t>ATTACHMENT</t>
  </si>
  <si>
    <t>STATUS</t>
  </si>
  <si>
    <t>ID NO</t>
  </si>
  <si>
    <t>ACOSTA, JOSEPH VAUGHN</t>
  </si>
  <si>
    <t>APACIBLE, JOEMARK</t>
  </si>
  <si>
    <t>APOLINARIO, JACQUELINE</t>
  </si>
  <si>
    <t>AYAG, PRINCESS</t>
  </si>
  <si>
    <t>BALICAS, IRISH ANN</t>
  </si>
  <si>
    <t>BAUTISTA, JOY MARI</t>
  </si>
  <si>
    <t>BELMONTE, JOSE MARI</t>
  </si>
  <si>
    <t>BORJA, RONCEY</t>
  </si>
  <si>
    <t>CASAS JR., BERNARDO</t>
  </si>
  <si>
    <t>DE LEON, JEFFREY</t>
  </si>
  <si>
    <t>FACTO, SHANICE</t>
  </si>
  <si>
    <t>FESTEJO, ABIEL CAMBYSES</t>
  </si>
  <si>
    <t>GARCINES, SHENALD</t>
  </si>
  <si>
    <t>GORDORA, AIREEN GRACE</t>
  </si>
  <si>
    <t>HIPOLITO, JOYCE ANN KENETH</t>
  </si>
  <si>
    <t>JAIME, JACYLYN</t>
  </si>
  <si>
    <t>LARIZA, MELANIE DELA CRUZ</t>
  </si>
  <si>
    <t>LATUGA, PHOEBE</t>
  </si>
  <si>
    <t>LEGASPI, ARABELLE</t>
  </si>
  <si>
    <t>MACALALAD, ANAMARIE</t>
  </si>
  <si>
    <t>MAGNO, ALVIN</t>
  </si>
  <si>
    <t>MANGOBA, MICHAEL</t>
  </si>
  <si>
    <t>MARINAS, ELMERA</t>
  </si>
  <si>
    <t>MATIGNAS, JAYDEE</t>
  </si>
  <si>
    <t>MENDOZA, TRYSTAN JAY</t>
  </si>
  <si>
    <t>MONTIEL, HEIZEL</t>
  </si>
  <si>
    <t>SANTOS, JERICK</t>
  </si>
  <si>
    <t>VALENCIA, WINDSOR ROBERT</t>
  </si>
  <si>
    <t>VALLADARES, ALLEN</t>
  </si>
  <si>
    <t>VIADO, DANAH LORRAINE</t>
  </si>
  <si>
    <t>VILLAFLOR, REA</t>
  </si>
  <si>
    <t>WENCESLAO, JOHN GLENN</t>
  </si>
  <si>
    <t>Sat - Aug 24, 2019</t>
  </si>
  <si>
    <t>ACOSTA, JOSEPH VAUGHN L.</t>
  </si>
  <si>
    <t>Leave without pay. Sisters 18th birthday.</t>
  </si>
  <si>
    <t>APPROVED</t>
  </si>
  <si>
    <t>Sun - Aug 25, 2019</t>
  </si>
  <si>
    <t>Sat - Sep 21, 2019</t>
  </si>
  <si>
    <t>Leave without pay - Moms Birthday</t>
  </si>
  <si>
    <t>Sun - Sep 22, 2019</t>
  </si>
  <si>
    <t>Mon - Sep 23, 2019</t>
  </si>
  <si>
    <t>Sat - Oct 19, 2019</t>
  </si>
  <si>
    <t>Leave without pay - Need to run some errands.</t>
  </si>
  <si>
    <t>Sun - Oct 20, 2019</t>
  </si>
  <si>
    <t>Mon - Oct 21, 2019</t>
  </si>
  <si>
    <t>Sat - Dec 14, 2019</t>
  </si>
  <si>
    <t>Leave without Pay - Team Joyce Xmas Party</t>
  </si>
  <si>
    <t>Mon - Dec 23, 2019</t>
  </si>
  <si>
    <t>Leave Without Pay - Will be covered by Glenn W.</t>
  </si>
  <si>
    <t>Thu - Jan 30, 2020</t>
  </si>
  <si>
    <t>3 days</t>
  </si>
  <si>
    <t xml:space="preserve">  </t>
  </si>
  <si>
    <t>Feb 10, 2020 - 07:02:11 AM</t>
  </si>
  <si>
    <t>Fri - Jan 31, 2020</t>
  </si>
  <si>
    <t>Sat - Feb 01, 2020</t>
  </si>
  <si>
    <t>Sun - Feb 02, 2020</t>
  </si>
  <si>
    <t>1 day</t>
  </si>
  <si>
    <t>Fri - Feb 28, 2020</t>
  </si>
  <si>
    <t>Medcert given to Sup Joyce.</t>
  </si>
  <si>
    <t>Mar 07, 2020 - 03:10:36 AM</t>
  </si>
  <si>
    <t>Sat - Mar 14, 2020</t>
  </si>
  <si>
    <t>schedule for medical procedure.</t>
  </si>
  <si>
    <t>Mar 12, 2020 - 05:05:26 AM</t>
  </si>
  <si>
    <t>Sun - Mar 15, 2020</t>
  </si>
  <si>
    <t>Sat - Mar 21, 2020</t>
  </si>
  <si>
    <t>Family Reunion</t>
  </si>
  <si>
    <t>Mar 09, 2020 - 06:41:55 AM</t>
  </si>
  <si>
    <t>Sun - Mar 22, 2020</t>
  </si>
  <si>
    <t>Fri - May 08, 2020</t>
  </si>
  <si>
    <t>Will distribute relief goods.</t>
  </si>
  <si>
    <t>May 09, 2020 - 05:30:20 AM</t>
  </si>
  <si>
    <t>Fri - Sep 25, 2020</t>
  </si>
  <si>
    <t>unpaid leave - My Moms Bday and My Bday.</t>
  </si>
  <si>
    <t>Sep 04, 2020 - 05:22:28 AM</t>
  </si>
  <si>
    <t>Wed - Oct 07, 2020</t>
  </si>
  <si>
    <t>Unpaid VL. - Shanice will cover my shift.</t>
  </si>
  <si>
    <t>Oct 09, 2020 - 04:04:43 AM</t>
  </si>
  <si>
    <t>Wed - Nov 18, 2020</t>
  </si>
  <si>
    <t>Leave without pay. Godfather for a Christening.</t>
  </si>
  <si>
    <t>Nov 10, 2020 - 08:13:50 AM</t>
  </si>
  <si>
    <t>Fri - Jan 15, 2021</t>
  </si>
  <si>
    <t>family gathering</t>
  </si>
  <si>
    <t>Sat - Jan 16, 2021</t>
  </si>
  <si>
    <t>Sun - Jan 17, 2021</t>
  </si>
  <si>
    <t>Thu - Jan 21, 2021</t>
  </si>
  <si>
    <t>unpaid bereavement leave</t>
  </si>
  <si>
    <t>Fri - Jan 22, 2021</t>
  </si>
  <si>
    <t>Mon - Jan 25, 2021</t>
  </si>
  <si>
    <t>Tue - Jan 26, 2021</t>
  </si>
  <si>
    <t>Tue - Feb 09, 2021</t>
  </si>
  <si>
    <t>APOLINARIO, JACQUELINE M.</t>
  </si>
  <si>
    <t>Sick leave</t>
  </si>
  <si>
    <t>Feb 10, 2021 - 03:36:47 AM</t>
  </si>
  <si>
    <t>Tue - Aug 13, 2019</t>
  </si>
  <si>
    <t>AQUINO, RODEL F.</t>
  </si>
  <si>
    <t>Documents submitted to Rod A</t>
  </si>
  <si>
    <t>Wed - Aug 14, 2019</t>
  </si>
  <si>
    <t>Thu - Aug 15, 2019</t>
  </si>
  <si>
    <t>Fri - Aug 16, 2019</t>
  </si>
  <si>
    <t>Tue - Sep 10, 2019</t>
  </si>
  <si>
    <t>Wifes Grandfather died</t>
  </si>
  <si>
    <t>Sat - Sep 14, 2019</t>
  </si>
  <si>
    <t>Sun - Sep 15, 2019</t>
  </si>
  <si>
    <t>Tue - Dec 10, 2019</t>
  </si>
  <si>
    <t>Docs given to Rod A.</t>
  </si>
  <si>
    <t>Sat - Dec 21, 2019</t>
  </si>
  <si>
    <t>Personal. Bernz C will be covering for me.</t>
  </si>
  <si>
    <t>Sat - Jan 04, 2020</t>
  </si>
  <si>
    <t>SL. docs submitted to Rod A.</t>
  </si>
  <si>
    <t>Sat - Jan 11, 2020</t>
  </si>
  <si>
    <t>planned trip</t>
  </si>
  <si>
    <t>Fri - Feb 14, 2020</t>
  </si>
  <si>
    <t>Personal</t>
  </si>
  <si>
    <t>Feb 03, 2020 - 11:21:00 PM</t>
  </si>
  <si>
    <t>Sat - Feb 15, 2020</t>
  </si>
  <si>
    <t>Tue - Feb 18, 2020</t>
  </si>
  <si>
    <t>Fever</t>
  </si>
  <si>
    <t>Feb 25, 2020 - 03:06:23 AM</t>
  </si>
  <si>
    <t>Fri - Mar 06, 2020</t>
  </si>
  <si>
    <t>Family Gathering</t>
  </si>
  <si>
    <t>Mar 04, 2020 - 05:39:40 AM</t>
  </si>
  <si>
    <t>Sat - Mar 07, 2020</t>
  </si>
  <si>
    <t>Fri - Mar 13, 2020</t>
  </si>
  <si>
    <t>Rest from 3/13 to 3/15due to cough and tonsilitis.</t>
  </si>
  <si>
    <t>Mar 18, 2020 - 01:22:45 AM</t>
  </si>
  <si>
    <t>Sat - Dec 07, 2019</t>
  </si>
  <si>
    <t>AYAG, PRINCESS F.</t>
  </si>
  <si>
    <t>mothers birthday</t>
  </si>
  <si>
    <t>TEAM JOYCE XMAS PARTY</t>
  </si>
  <si>
    <t>Fri - Jan 03, 2020</t>
  </si>
  <si>
    <t>reunion</t>
  </si>
  <si>
    <t>Sun - Jan 05, 2020</t>
  </si>
  <si>
    <t>Thu - Aug 20, 2020</t>
  </si>
  <si>
    <t>Advanced birthday celebration ?</t>
  </si>
  <si>
    <t>Aug 06, 2020 - 02:31:14 AM</t>
  </si>
  <si>
    <t>Fri - Aug 21, 2020</t>
  </si>
  <si>
    <t>Wed - Oct 21, 2020</t>
  </si>
  <si>
    <t>Unpaid leave</t>
  </si>
  <si>
    <t>Oct 03, 2020 - 08:08:41 AM</t>
  </si>
  <si>
    <t>Sun - Jan 31, 2021</t>
  </si>
  <si>
    <t>Gender reveal party</t>
  </si>
  <si>
    <t>Tue - Aug 27, 2019</t>
  </si>
  <si>
    <t>BALICAS, IRISH ANN V.</t>
  </si>
  <si>
    <t>LEAVE WITHOUT PAY</t>
  </si>
  <si>
    <t>Mon - Sep 16, 2019</t>
  </si>
  <si>
    <t>Tue - Sep 17, 2019</t>
  </si>
  <si>
    <t>Wed - Sep 18, 2019</t>
  </si>
  <si>
    <t>Tue - Oct 29, 2019</t>
  </si>
  <si>
    <t>SUBMITTED MED CERT TO QA RODS</t>
  </si>
  <si>
    <t>Tue - Nov 12, 2019</t>
  </si>
  <si>
    <t>Submitted Med Cert to QA Rods for reference</t>
  </si>
  <si>
    <t>Wed - Nov 13, 2019</t>
  </si>
  <si>
    <t>Thu - Nov 14, 2019</t>
  </si>
  <si>
    <t>Mon - Dec 30, 2019</t>
  </si>
  <si>
    <t>UNPAID VL-COLLEGE REUNION</t>
  </si>
  <si>
    <t>Fri - Jan 10, 2020</t>
  </si>
  <si>
    <t>PAID SL-VOMITTED FREQUENTLY DUE TO PREGNANCY</t>
  </si>
  <si>
    <t>Sun - Feb 23, 2020</t>
  </si>
  <si>
    <t>House Renovation</t>
  </si>
  <si>
    <t>Feb 07, 2020 - 02:11:29 AM</t>
  </si>
  <si>
    <t>Thu - Mar 05, 2020</t>
  </si>
  <si>
    <t>unpaid VL-fire incident happened</t>
  </si>
  <si>
    <t>Mon - Apr 06, 2020</t>
  </si>
  <si>
    <t>PC not working. Kindly file as VL thanks</t>
  </si>
  <si>
    <t>Apr 09, 2020 - 01:29:52 AM</t>
  </si>
  <si>
    <t>Thu - May 14, 2020</t>
  </si>
  <si>
    <t>no internet connection. kindly file as VL thanks</t>
  </si>
  <si>
    <t>May 16, 2020 - 05:55:59 AM</t>
  </si>
  <si>
    <t>Sun - May 17, 2020</t>
  </si>
  <si>
    <t>Still no internet connection. Kindly file as VL th</t>
  </si>
  <si>
    <t>May 19, 2020 - 02:40:21 AM</t>
  </si>
  <si>
    <t>Mon - May 18, 2020</t>
  </si>
  <si>
    <t>Installation of new internet connection.</t>
  </si>
  <si>
    <t>Sun - Jun 21, 2020</t>
  </si>
  <si>
    <t>sl</t>
  </si>
  <si>
    <t>Jun 24, 2020 - 02:19:20 AM</t>
  </si>
  <si>
    <t>Sun - Jul 05, 2020</t>
  </si>
  <si>
    <t>Pre-eclampsia I was adv by my OB to take a rest</t>
  </si>
  <si>
    <t>Jul 07, 2020 - 07:07:53 AM</t>
  </si>
  <si>
    <t>Mon - Jul 06, 2020</t>
  </si>
  <si>
    <t>Tue - Jul 07, 2020</t>
  </si>
  <si>
    <t>Sun - Aug 02, 2020</t>
  </si>
  <si>
    <t>FILLING OF MATERNITY LEAVE (31 WEEKS PREGNANT NOW)</t>
  </si>
  <si>
    <t>Aug 06, 2020 - 02:31:51 AM</t>
  </si>
  <si>
    <t>Mon - Aug 03, 2020</t>
  </si>
  <si>
    <t>Tue - Aug 04, 2020</t>
  </si>
  <si>
    <t>Wed - Aug 05, 2020</t>
  </si>
  <si>
    <t>Thu - Aug 06, 2020</t>
  </si>
  <si>
    <t>Aug 18, 2020 - 02:57:15 AM</t>
  </si>
  <si>
    <t>Sun - Aug 23, 2020</t>
  </si>
  <si>
    <t>Sun - Sep 06, 2020</t>
  </si>
  <si>
    <t>Sep 04, 2020 - 05:24:00 AM</t>
  </si>
  <si>
    <t>Tue - Sep 08, 2020</t>
  </si>
  <si>
    <t>Tue - Sep 22, 2020</t>
  </si>
  <si>
    <t>Sep 16, 2020 - 03:31:10 AM</t>
  </si>
  <si>
    <t>Wed - Sep 23, 2020</t>
  </si>
  <si>
    <t>Thu - Oct 08, 2020</t>
  </si>
  <si>
    <t>Fri - Dec 11, 2020</t>
  </si>
  <si>
    <t>HOUSE BLESSING</t>
  </si>
  <si>
    <t>Dec 05, 2020 - 02:12:42 AM</t>
  </si>
  <si>
    <t>Thu - Jan 07, 2021</t>
  </si>
  <si>
    <t>my sons vaccine day and check-up.</t>
  </si>
  <si>
    <t>Thu - Jan 09, 2020</t>
  </si>
  <si>
    <t>BAUTISTA, JOY MARI R.</t>
  </si>
  <si>
    <t>Devotee of Feast of the Nazarene</t>
  </si>
  <si>
    <t>TRAVEL</t>
  </si>
  <si>
    <t>Feb 03, 2020 - 11:22:12 PM</t>
  </si>
  <si>
    <t>Mon - Feb 17, 2020</t>
  </si>
  <si>
    <t>Fri - Jul 03, 2020</t>
  </si>
  <si>
    <t>VL applied 6/8/2020 re-applied wrong type of leave</t>
  </si>
  <si>
    <t>Jul 01, 2020 - 01:53:20 AM</t>
  </si>
  <si>
    <t>Thu - Sep 10, 2020</t>
  </si>
  <si>
    <t>SL due to sore throat, headache &amp; body pain</t>
  </si>
  <si>
    <t>Sep 18, 2020 - 01:43:14 AM</t>
  </si>
  <si>
    <t>Fri - Sep 11, 2020</t>
  </si>
  <si>
    <t>Sun - Nov 17, 2019</t>
  </si>
  <si>
    <t>BELMONTE, JOSE MARI S.</t>
  </si>
  <si>
    <t>need to rest sick for 1 wk alrdy c/by heizel</t>
  </si>
  <si>
    <t>team xmas party -vl w/out pay</t>
  </si>
  <si>
    <t>Fri - Jan 17, 2020</t>
  </si>
  <si>
    <t>last funeral days of my grandfather.</t>
  </si>
  <si>
    <t>Sat - Jan 18, 2020</t>
  </si>
  <si>
    <t>Need to rest due to hypertension and high uric</t>
  </si>
  <si>
    <t>Mar 11, 2020 - 03:27:42 PM</t>
  </si>
  <si>
    <t>Mon - Mar 09, 2020</t>
  </si>
  <si>
    <t>Need to rest for full recovery</t>
  </si>
  <si>
    <t>Mar 17, 2020 - 03:37:18 AM</t>
  </si>
  <si>
    <t>Tue - Mar 10, 2020</t>
  </si>
  <si>
    <t>Wed - Mar 11, 2020</t>
  </si>
  <si>
    <t>Thu - Mar 12, 2020</t>
  </si>
  <si>
    <t>Mon - Mar 30, 2020</t>
  </si>
  <si>
    <t>Will be at Pampangga to celebrate my Birthday. tnx</t>
  </si>
  <si>
    <t>Mar 04, 2020 - 05:41:13 AM</t>
  </si>
  <si>
    <t>Fri - Apr 03, 2020</t>
  </si>
  <si>
    <t>not feeling well severe illness</t>
  </si>
  <si>
    <t>Apr 04, 2020 - 12:27:55 AM</t>
  </si>
  <si>
    <t>Tue - Apr 28, 2020</t>
  </si>
  <si>
    <t>need to rest vomiting.</t>
  </si>
  <si>
    <t>Apr 30, 2020 - 12:59:22 AM</t>
  </si>
  <si>
    <t>power shortage</t>
  </si>
  <si>
    <t>Sat - Jan 30, 2021</t>
  </si>
  <si>
    <t>will accompany my grandmother to leyte province.</t>
  </si>
  <si>
    <t>Mon - Oct 12, 2020</t>
  </si>
  <si>
    <t>BORJA, RONCEY P.</t>
  </si>
  <si>
    <t>Out of Town (Emergency)</t>
  </si>
  <si>
    <t>Oct 16, 2020 - 06:55:48 AM</t>
  </si>
  <si>
    <t>Tue - Oct 13, 2020</t>
  </si>
  <si>
    <t>Wed - Oct 14, 2020</t>
  </si>
  <si>
    <t>Thu - Oct 15, 2020</t>
  </si>
  <si>
    <t>Fri - Oct 16, 2020</t>
  </si>
  <si>
    <t>Fri - Oct 11, 2019</t>
  </si>
  <si>
    <t>CASAS JR., BERNARDO D.</t>
  </si>
  <si>
    <t>Team Building</t>
  </si>
  <si>
    <t>Mon - Oct 28, 2019</t>
  </si>
  <si>
    <t>SICK LEAVE - 1 DAY ONLY</t>
  </si>
  <si>
    <t>Thu - Nov 28, 2019</t>
  </si>
  <si>
    <t>sick leave - not feeling well need to take a rest</t>
  </si>
  <si>
    <t>Fri - Dec 13, 2019</t>
  </si>
  <si>
    <t>credit for SL - will use as VL thanks</t>
  </si>
  <si>
    <t>Tue - Dec 17, 2019</t>
  </si>
  <si>
    <t>SL WILL USE AS VL THANKS</t>
  </si>
  <si>
    <t>Fri - Dec 27, 2019</t>
  </si>
  <si>
    <t>Tue - Feb 25, 2020</t>
  </si>
  <si>
    <t>not feeling feeling due to tooth ache Thanks</t>
  </si>
  <si>
    <t>Feb 28, 2020 - 02:05:44 AM</t>
  </si>
  <si>
    <t>was not able to come to work due to migraine SL</t>
  </si>
  <si>
    <t>Mar 19, 2020 - 04:56:39 AM</t>
  </si>
  <si>
    <t>Sun - Jul 28, 2019</t>
  </si>
  <si>
    <t>CONSTANTINO, IAN ARCHIMEDES C.</t>
  </si>
  <si>
    <t>Sat - Aug 10, 2019</t>
  </si>
  <si>
    <t>family matter</t>
  </si>
  <si>
    <t>Sat - Aug 17, 2019</t>
  </si>
  <si>
    <t>Family Matter</t>
  </si>
  <si>
    <t>Tue - Sep 03, 2019</t>
  </si>
  <si>
    <t>Sick, med cert given to sir Rod</t>
  </si>
  <si>
    <t>TEAM BUILDING</t>
  </si>
  <si>
    <t>Tue - Oct 15, 2019</t>
  </si>
  <si>
    <t>sick, Med Cert given to Sir Rod A.</t>
  </si>
  <si>
    <t>Fri - Nov 01, 2019</t>
  </si>
  <si>
    <t>Tue - Dec 03, 2019</t>
  </si>
  <si>
    <t>Sick, Med Cert is with Sir Rod A.</t>
  </si>
  <si>
    <t>Thu - Dec 19, 2019</t>
  </si>
  <si>
    <t>will use SL as VL</t>
  </si>
  <si>
    <t>Fri - Dec 20, 2019</t>
  </si>
  <si>
    <t>SICK</t>
  </si>
  <si>
    <t>Feb 19, 2020 - 12:50:14 AM</t>
  </si>
  <si>
    <t>Mon - Mar 23, 2020</t>
  </si>
  <si>
    <t>Sick</t>
  </si>
  <si>
    <t>Mar 24, 2020 - 01:45:16 AM</t>
  </si>
  <si>
    <t>Tue - Apr 21, 2020</t>
  </si>
  <si>
    <t>Apr 24, 2020 - 03:42:39 AM</t>
  </si>
  <si>
    <t>Wed - Jun 03, 2020</t>
  </si>
  <si>
    <t>Jun 08, 2020 - 11:04:48 AM</t>
  </si>
  <si>
    <t>Mon - Jun 22, 2020</t>
  </si>
  <si>
    <t>Family matters</t>
  </si>
  <si>
    <t>Jun 19, 2020 - 01:05:36 AM</t>
  </si>
  <si>
    <t>Mon - Jun 29, 2020</t>
  </si>
  <si>
    <t>NO INTERNET CONNECTION</t>
  </si>
  <si>
    <t>Jul 01, 2020 - 07:56:55 AM</t>
  </si>
  <si>
    <t>Sat - Aug 08, 2020</t>
  </si>
  <si>
    <t>FAMILY MATTERS</t>
  </si>
  <si>
    <t>Jul 18, 2020 - 05:59:16 AM</t>
  </si>
  <si>
    <t>Mon - Aug 24, 2020</t>
  </si>
  <si>
    <t>Sep 04, 2020 - 05:25:41 AM</t>
  </si>
  <si>
    <t>Wed - Sep 16, 2020</t>
  </si>
  <si>
    <t>Sep 23, 2020 - 07:25:54 AM</t>
  </si>
  <si>
    <t>Tue - Aug 20, 2019</t>
  </si>
  <si>
    <t>DE LEON, JEFFREY S.</t>
  </si>
  <si>
    <t>Vacation without pay*--</t>
  </si>
  <si>
    <t>Wed - Aug 21, 2019</t>
  </si>
  <si>
    <t>Mon - Aug 26, 2019</t>
  </si>
  <si>
    <t>Sun - Dec 01, 2019</t>
  </si>
  <si>
    <t>Vacation Leave without pay</t>
  </si>
  <si>
    <t>Team Joyce Xmas Party. - VL without pay</t>
  </si>
  <si>
    <t>Mar 04, 2020 - 05:42:44 AM</t>
  </si>
  <si>
    <t>Mon - May 04, 2020</t>
  </si>
  <si>
    <t>Over Fatigue, headache and Fever</t>
  </si>
  <si>
    <t>May 05, 2020 - 02:54:01 AM</t>
  </si>
  <si>
    <t>Mon - May 11, 2020</t>
  </si>
  <si>
    <t>VL with pay</t>
  </si>
  <si>
    <t>Brgy. Council Rapid Testing</t>
  </si>
  <si>
    <t>May 19, 2020 - 02:41:48 AM</t>
  </si>
  <si>
    <t>Fri - Jun 19, 2020</t>
  </si>
  <si>
    <t>VL - Emergency Meeting</t>
  </si>
  <si>
    <t>Jun 20, 2020 - 07:47:26 AM</t>
  </si>
  <si>
    <t>Sat - Jun 20, 2020</t>
  </si>
  <si>
    <t>Bereavement Leave</t>
  </si>
  <si>
    <t>Jun 24, 2020 - 02:20:49 AM</t>
  </si>
  <si>
    <t>Tue - Jun 23, 2020</t>
  </si>
  <si>
    <t>Fri - Jun 26, 2020</t>
  </si>
  <si>
    <t>Sat - Jun 27, 2020</t>
  </si>
  <si>
    <t>Tue - Aug 11, 2020</t>
  </si>
  <si>
    <t>2nd batch rapid testing for 100 people at Bgry 594</t>
  </si>
  <si>
    <t>Aug 10, 2020 - 11:45:48 AM</t>
  </si>
  <si>
    <t>Sun - Nov 15, 2020</t>
  </si>
  <si>
    <t>Nov 10, 2020 - 08:14:11 AM</t>
  </si>
  <si>
    <t>Mon - Nov 16, 2020</t>
  </si>
  <si>
    <t>Sat - Dec 12, 2020</t>
  </si>
  <si>
    <t>Reunion</t>
  </si>
  <si>
    <t>Dec 08, 2020 - 07:42:20 AM</t>
  </si>
  <si>
    <t>Sun - Dec 13, 2020</t>
  </si>
  <si>
    <t>Sat - Jan 09, 2021</t>
  </si>
  <si>
    <t>Wifes medical check up.</t>
  </si>
  <si>
    <t>Tue - Feb 02, 2021</t>
  </si>
  <si>
    <t>NO converge connection. Apply as VL with pay</t>
  </si>
  <si>
    <t>Sat - Feb 06, 2021</t>
  </si>
  <si>
    <t>General meeting and event in barangay (health)</t>
  </si>
  <si>
    <t>Feb 09, 2021 - 02:23:07 AM</t>
  </si>
  <si>
    <t>Thu - Jul 25, 2019</t>
  </si>
  <si>
    <t>DEDEL, BRIAN KOBE E.</t>
  </si>
  <si>
    <t>Family Emergency</t>
  </si>
  <si>
    <t>Wed - Oct 30, 2019</t>
  </si>
  <si>
    <t>Mon - Feb 03, 2020</t>
  </si>
  <si>
    <t>Feb 10, 2020 - 07:02:42 AM</t>
  </si>
  <si>
    <t>Wed - Feb 26, 2020</t>
  </si>
  <si>
    <t>Feb 18, 2020 - 06:01:01 AM</t>
  </si>
  <si>
    <t>Wed - Mar 18, 2020</t>
  </si>
  <si>
    <t>Mar 24, 2020 - 04:35:07 AM</t>
  </si>
  <si>
    <t>Fri - Mar 27, 2020</t>
  </si>
  <si>
    <t>Wed - Apr 22, 2020</t>
  </si>
  <si>
    <t>Apr 25, 2020 - 03:04:46 AM</t>
  </si>
  <si>
    <t>Mon - Apr 27, 2020</t>
  </si>
  <si>
    <t>Wed - Apr 29, 2020</t>
  </si>
  <si>
    <t>May 09, 2020 - 05:31:49 AM</t>
  </si>
  <si>
    <t>May 22, 2020 - 02:04:59 AM</t>
  </si>
  <si>
    <t>Fri - Aug 02, 2019</t>
  </si>
  <si>
    <t>DELA CRUZ, R-JOHN G.</t>
  </si>
  <si>
    <t>Request for LWOP, Invited to attend a Seminar</t>
  </si>
  <si>
    <t>Mon - Aug 19, 2019</t>
  </si>
  <si>
    <t>Request for LWOP, Family Gathering</t>
  </si>
  <si>
    <t>VL Request -- Feb 18 &amp; 19 -- Family Gathering</t>
  </si>
  <si>
    <t>Feb 03, 2020 - 11:11:38 PM</t>
  </si>
  <si>
    <t>Wed - Feb 19, 2020</t>
  </si>
  <si>
    <t>Tue - Mar 17, 2020</t>
  </si>
  <si>
    <t>VL Request -- March 17, 2020 -- Family Gathering</t>
  </si>
  <si>
    <t>VL Request - July 7 &amp; 8, 2020 - House Renovation</t>
  </si>
  <si>
    <t>Jul 04, 2020 - 01:33:55 AM</t>
  </si>
  <si>
    <t>Wed - Jul 08, 2020</t>
  </si>
  <si>
    <t>Mon - Nov 02, 2020</t>
  </si>
  <si>
    <t>LWOP Reqst -House RENO- Shift Coverd by Allen V</t>
  </si>
  <si>
    <t>Oct 28, 2020 - 07:23:47 AM</t>
  </si>
  <si>
    <t>Mon - Jul 08, 2019</t>
  </si>
  <si>
    <t>FACTO, SHANICE A.</t>
  </si>
  <si>
    <t>Left ear inflammation &amp; fever</t>
  </si>
  <si>
    <t>Tue - Jul 09, 2019</t>
  </si>
  <si>
    <t>Wed - Jul 10, 2019</t>
  </si>
  <si>
    <t>Tue - Jul 23, 2019</t>
  </si>
  <si>
    <t>Travel</t>
  </si>
  <si>
    <t>Wed - Jul 24, 2019</t>
  </si>
  <si>
    <t>TEAM BLDG</t>
  </si>
  <si>
    <t>Thu - Feb 13, 2020</t>
  </si>
  <si>
    <t>Feb 11, 2020 - 05:48:42 AM</t>
  </si>
  <si>
    <t>Vacation</t>
  </si>
  <si>
    <t>Mar 04, 2020 - 05:44:15 AM</t>
  </si>
  <si>
    <t>Fri - May 15, 2020</t>
  </si>
  <si>
    <t>Blackout due to Transformer failure</t>
  </si>
  <si>
    <t>18th birthday of my younger sister</t>
  </si>
  <si>
    <t>Aug 08, 2020 - 07:43:31 AM</t>
  </si>
  <si>
    <t>Been ill for two days</t>
  </si>
  <si>
    <t>Sep 04, 2020 - 05:22:11 AM</t>
  </si>
  <si>
    <t>Tue - Aug 25, 2020</t>
  </si>
  <si>
    <t>Sun - Jan 24, 2021</t>
  </si>
  <si>
    <t>Will attend an important event. Thank you</t>
  </si>
  <si>
    <t>FESTEJO, ABIEL CAMBYSES G.</t>
  </si>
  <si>
    <t>LEAVE WITHOUT PAY(FAMILY GATHERING)</t>
  </si>
  <si>
    <t>Wed - Sep 11, 2019</t>
  </si>
  <si>
    <t>Tue - Dec 24, 2019</t>
  </si>
  <si>
    <t>leave without pay</t>
  </si>
  <si>
    <t>Fri - Jan 24, 2020</t>
  </si>
  <si>
    <t>vacation leave</t>
  </si>
  <si>
    <t>Feb 06, 2020 - 05:18:19 AM</t>
  </si>
  <si>
    <t>Fri - Feb 21, 2020</t>
  </si>
  <si>
    <t>Mothers birthday</t>
  </si>
  <si>
    <t>Mon - Feb 24, 2020</t>
  </si>
  <si>
    <t>daughters birthday. paid leave</t>
  </si>
  <si>
    <t>ACCIDENT</t>
  </si>
  <si>
    <t>Mar 17, 2020 - 03:38:41 AM</t>
  </si>
  <si>
    <t>Mon - Apr 13, 2020</t>
  </si>
  <si>
    <t>Apr 11, 2020 - 06:09:40 AM</t>
  </si>
  <si>
    <t>Thu - Jul 23, 2020</t>
  </si>
  <si>
    <t>nepews funeral</t>
  </si>
  <si>
    <t>Jul 23, 2020 - 05:49:16 AM</t>
  </si>
  <si>
    <t>Tue - Nov 10, 2020</t>
  </si>
  <si>
    <t>Temporary date. due date of delivery is 1st week</t>
  </si>
  <si>
    <t>Nov 10, 2020 - 08:14:51 AM</t>
  </si>
  <si>
    <t>Wed - Nov 11, 2020</t>
  </si>
  <si>
    <t>Thu - Nov 12, 2020</t>
  </si>
  <si>
    <t>GARCINES, SHENALD B.</t>
  </si>
  <si>
    <t>Personal, Leave w/o pay!</t>
  </si>
  <si>
    <t>Leave w/o pay</t>
  </si>
  <si>
    <t>Sickleave</t>
  </si>
  <si>
    <t>Feb 10, 2020 - 07:03:19 AM</t>
  </si>
  <si>
    <t>Daughters Birthday</t>
  </si>
  <si>
    <t>sick leave</t>
  </si>
  <si>
    <t>Mar 03, 2020 - 01:59:54 AM</t>
  </si>
  <si>
    <t>Mon - Mar 02, 2020</t>
  </si>
  <si>
    <t>Mar 06, 2020 - 01:59:23 AM</t>
  </si>
  <si>
    <t>sickleave</t>
  </si>
  <si>
    <t>Mar 24, 2020 - 01:46:10 AM</t>
  </si>
  <si>
    <t>Thu - Mar 19, 2020</t>
  </si>
  <si>
    <t>Mar 24, 2020 - 01:46:26 AM</t>
  </si>
  <si>
    <t>personal</t>
  </si>
  <si>
    <t>Fri - Feb 05, 2021</t>
  </si>
  <si>
    <t>Got Fever</t>
  </si>
  <si>
    <t>GONZALES, MA-ANNE N.</t>
  </si>
  <si>
    <t>Leave without pay</t>
  </si>
  <si>
    <t>Sun - Aug 18, 2019</t>
  </si>
  <si>
    <t>with pay</t>
  </si>
  <si>
    <t>Wed - Oct 09, 2019</t>
  </si>
  <si>
    <t>Family gathering</t>
  </si>
  <si>
    <t>Sun - Apr 26, 2020</t>
  </si>
  <si>
    <t>sick</t>
  </si>
  <si>
    <t>May 05, 2020 - 02:55:48 AM</t>
  </si>
  <si>
    <t>Thu - Jun 04, 2020</t>
  </si>
  <si>
    <t>Jun 09, 2020 - 12:16:04 AM</t>
  </si>
  <si>
    <t>Family Matters</t>
  </si>
  <si>
    <t>Tue - Jun 30, 2020</t>
  </si>
  <si>
    <t>NO INTERNET / Provider system maintenance</t>
  </si>
  <si>
    <t>Jul 07, 2020 - 02:31:38 AM</t>
  </si>
  <si>
    <t>Tue - Jul 14, 2020</t>
  </si>
  <si>
    <t>No internet connection</t>
  </si>
  <si>
    <t>Jul 25, 2020 - 08:23:34 AM</t>
  </si>
  <si>
    <t>Sat - Sep 19, 2020</t>
  </si>
  <si>
    <t>Sep 23, 2020 - 07:27:06 AM</t>
  </si>
  <si>
    <t>Mon - Aug 12, 2019</t>
  </si>
  <si>
    <t>GORDORA, AIREEN GRACE A.</t>
  </si>
  <si>
    <t>Sun - Sep 29, 2019</t>
  </si>
  <si>
    <t>TRAVEL - Paid bonus leave from perfect attendance.</t>
  </si>
  <si>
    <t>Mon - Sep 30, 2019</t>
  </si>
  <si>
    <t>TRAVEL - UNPAID LEAVE</t>
  </si>
  <si>
    <t>Feb 11, 2020 - 11:28:11 PM</t>
  </si>
  <si>
    <t>Wed - May 06, 2020</t>
  </si>
  <si>
    <t>POWER OUTAGE</t>
  </si>
  <si>
    <t>May 07, 2020 - 04:57:51 AM</t>
  </si>
  <si>
    <t>Fri - May 22, 2020</t>
  </si>
  <si>
    <t>BIRTHDAY CELEBRATION LEAVE</t>
  </si>
  <si>
    <t>Tue - Sep 15, 2020</t>
  </si>
  <si>
    <t>Sep 18, 2020 - 01:43:44 AM</t>
  </si>
  <si>
    <t>Internet connection problem</t>
  </si>
  <si>
    <t>Nov 10, 2020 - 08:16:05 AM</t>
  </si>
  <si>
    <t>Power Outage</t>
  </si>
  <si>
    <t>Nov 14, 2020 - 02:58:29 AM</t>
  </si>
  <si>
    <t>Sat - Nov 28, 2020</t>
  </si>
  <si>
    <t>Dec 04, 2020 - 09:16:16 AM</t>
  </si>
  <si>
    <t>Tue - Dec 29, 2020</t>
  </si>
  <si>
    <t>WILL ATTEND FRIENDS WEDDING</t>
  </si>
  <si>
    <t>Dec 24, 2020 - 02:55:09 AM</t>
  </si>
  <si>
    <t>Fri - Sep 06, 2019</t>
  </si>
  <si>
    <t>HIPOLITO, JOYCE ANN KENETH E.</t>
  </si>
  <si>
    <t>it is my sons bday. covered by Glenn</t>
  </si>
  <si>
    <t>Tue - Oct 01, 2019</t>
  </si>
  <si>
    <t>Sun - Nov 24, 2019</t>
  </si>
  <si>
    <t>Hi I would like to use my Sick Leave. Thank you.</t>
  </si>
  <si>
    <t>Mon - Nov 25, 2019</t>
  </si>
  <si>
    <t>Sun - Dec 22, 2019</t>
  </si>
  <si>
    <t>Will use my sick leave. Thank you.</t>
  </si>
  <si>
    <t>Thu - Dec 26, 2019</t>
  </si>
  <si>
    <t>I will use my remaining sick leave for this leave</t>
  </si>
  <si>
    <t>My sons birthday</t>
  </si>
  <si>
    <t>Sun - Mar 01, 2020</t>
  </si>
  <si>
    <t>has fever, flu and tonsillitis.</t>
  </si>
  <si>
    <t>my parents birthday celebration</t>
  </si>
  <si>
    <t>Sun - Jun 14, 2020</t>
  </si>
  <si>
    <t>Father’s day celebration.</t>
  </si>
  <si>
    <t>Jun 02, 2020 - 08:00:32 AM</t>
  </si>
  <si>
    <t>Thu - Jul 16, 2020</t>
  </si>
  <si>
    <t>was not feeling well yesterday</t>
  </si>
  <si>
    <t>Jul 22, 2020 - 05:13:37 AM</t>
  </si>
  <si>
    <t>Thu - Sep 17, 2020</t>
  </si>
  <si>
    <t>School activity.</t>
  </si>
  <si>
    <t>Sat - Oct 10, 2020</t>
  </si>
  <si>
    <t>loa for 10days with covers thanks</t>
  </si>
  <si>
    <t>Oct 16, 2020 - 06:57:54 AM</t>
  </si>
  <si>
    <t>Sat - Oct 17, 2020</t>
  </si>
  <si>
    <t>Tue - Oct 20, 2020</t>
  </si>
  <si>
    <t>JAIME, JACYLYN P.</t>
  </si>
  <si>
    <t>VACATION LEAVE WITHOUT PAY</t>
  </si>
  <si>
    <t>Vacation Leave w/o pay. My Father in law died.</t>
  </si>
  <si>
    <t>Fri - Aug 23, 2019</t>
  </si>
  <si>
    <t>vcation leave w/o pay. interment of my father inl</t>
  </si>
  <si>
    <t>I do apologize. had severe stomach ache.</t>
  </si>
  <si>
    <t>Will use Sickleave credit since reg off on thanks</t>
  </si>
  <si>
    <t>Vacation leave w/o Pay. Family Matter. Thank you</t>
  </si>
  <si>
    <t>Mon - Jan 06, 2020</t>
  </si>
  <si>
    <t>VL w/o Pay. Family Matter. Thank you.</t>
  </si>
  <si>
    <t>Tue - Jan 07, 2020</t>
  </si>
  <si>
    <t>Wed - Jan 08, 2020</t>
  </si>
  <si>
    <t>Tue - Jan 14, 2020</t>
  </si>
  <si>
    <t>Feb 25, 2020 - 01:25:15 PM</t>
  </si>
  <si>
    <t>Wed - Sep 02, 2020</t>
  </si>
  <si>
    <t>Sep 08, 2020 - 05:41:39 AM</t>
  </si>
  <si>
    <t>Tue - Nov 24, 2020</t>
  </si>
  <si>
    <t>Sat - Dec 19, 2020</t>
  </si>
  <si>
    <t>Sat - Jan 23, 2021</t>
  </si>
  <si>
    <t>Wed - Feb 10, 2021</t>
  </si>
  <si>
    <t>Thu - Feb 11, 2021</t>
  </si>
  <si>
    <t>Sat - Feb 13, 2021</t>
  </si>
  <si>
    <t>Wed - Feb 17, 2021</t>
  </si>
  <si>
    <t>Thu - Feb 18, 2021</t>
  </si>
  <si>
    <t>Fri - Feb 19, 2021</t>
  </si>
  <si>
    <t>Sat - Feb 20, 2021</t>
  </si>
  <si>
    <t>JUANILLO, ROELYN DELA PIZA P.</t>
  </si>
  <si>
    <t>Severe Migraine</t>
  </si>
  <si>
    <t>Tue - Aug 06, 2019</t>
  </si>
  <si>
    <t>Mon - Jan 20, 2020</t>
  </si>
  <si>
    <t>asthma</t>
  </si>
  <si>
    <t>Wed - Jan 29, 2020</t>
  </si>
  <si>
    <t>Drug allergies and asthma</t>
  </si>
  <si>
    <t>Feb 11, 2020 - 05:46:06 AM</t>
  </si>
  <si>
    <t>Sat - Feb 22, 2020</t>
  </si>
  <si>
    <t>Need to attend church event</t>
  </si>
  <si>
    <t>Feb 18, 2020 - 06:02:13 AM</t>
  </si>
  <si>
    <t>LARIZA, MELANIE DELA CRUZ C.</t>
  </si>
  <si>
    <t>Not feeling well.</t>
  </si>
  <si>
    <t>Fri - Sep 13, 2019</t>
  </si>
  <si>
    <t>Acid Reflux</t>
  </si>
  <si>
    <t>Fri - Nov 29, 2019</t>
  </si>
  <si>
    <t>Will use SL credit. Thanks</t>
  </si>
  <si>
    <t>Will use VL and SL credits. Thank you</t>
  </si>
  <si>
    <t>Mon - Jan 27, 2020</t>
  </si>
  <si>
    <t>FEVER</t>
  </si>
  <si>
    <t>Jan 31, 2020 - 04:29:46 AM</t>
  </si>
  <si>
    <t>Out of town</t>
  </si>
  <si>
    <t>Feb 11, 2020 - 11:30:01 PM</t>
  </si>
  <si>
    <t>Thu - Apr 16, 2020</t>
  </si>
  <si>
    <t>Not Feeling Well.</t>
  </si>
  <si>
    <t>Apr 22, 2020 - 07:40:25 AM</t>
  </si>
  <si>
    <t>Fri - May 01, 2020</t>
  </si>
  <si>
    <t>Birthday Leave</t>
  </si>
  <si>
    <t>Jun 06, 2020 - 01:43:09 AM</t>
  </si>
  <si>
    <t>bereavement leave</t>
  </si>
  <si>
    <t>Wed - Jul 01, 2020</t>
  </si>
  <si>
    <t>Thu - Oct 01, 2020</t>
  </si>
  <si>
    <t>schedule for my car insurance claims</t>
  </si>
  <si>
    <t>Oct 03, 2020 - 08:12:23 AM</t>
  </si>
  <si>
    <t>Tue - Dec 08, 2020</t>
  </si>
  <si>
    <t>Dec 10, 2020 - 01:20:59 PM</t>
  </si>
  <si>
    <t>LATUGA, PHOEBE G.</t>
  </si>
  <si>
    <t>w/O pay, will pick-up my fiance at the airport</t>
  </si>
  <si>
    <t>Wed - Aug 07, 2019</t>
  </si>
  <si>
    <t>8th Birthday of my daughter.</t>
  </si>
  <si>
    <t>Tue - Sep 24, 2019</t>
  </si>
  <si>
    <t>School program whole day. Need to attend.</t>
  </si>
  <si>
    <t>Sat - Nov 16, 2019</t>
  </si>
  <si>
    <t>SOLO PARENT LEAVE</t>
  </si>
  <si>
    <t>Solo parent Nov 16 (School Meeting/Activity)</t>
  </si>
  <si>
    <t>emergency lv, my daughter is bitten by a cat.</t>
  </si>
  <si>
    <t>Mon - Dec 09, 2019</t>
  </si>
  <si>
    <t>Solo parent. Anti Rabies Vacination.</t>
  </si>
  <si>
    <t>Sun - Dec 15, 2019</t>
  </si>
  <si>
    <t>need to rest no voice due to sore throat and cough</t>
  </si>
  <si>
    <t>Mon - Dec 16, 2019</t>
  </si>
  <si>
    <t>Solo parent. Anti Rabies Vacination Schedulle</t>
  </si>
  <si>
    <t>Team Bernadette Christmas Party</t>
  </si>
  <si>
    <t>Solo parent, Anti Rabbies Vacination shed 01/09/20</t>
  </si>
  <si>
    <t>Solo parent lv. My daughter school Field trip.</t>
  </si>
  <si>
    <t>Sun - Jan 12, 2020</t>
  </si>
  <si>
    <t>Will visit my 94yr old grandma in Bicol.</t>
  </si>
  <si>
    <t>Going to bicol</t>
  </si>
  <si>
    <t>Sun - Feb 16, 2020</t>
  </si>
  <si>
    <t>Wed - Mar 04, 2020</t>
  </si>
  <si>
    <t>Lolas funeral.</t>
  </si>
  <si>
    <t>Mar 06, 2020 - 02:02:27 AM</t>
  </si>
  <si>
    <t>Daughters emergency check up due to ear bleeding</t>
  </si>
  <si>
    <t>Wed - Jun 10, 2020</t>
  </si>
  <si>
    <t>My Daughters follow up chck up after 1wk</t>
  </si>
  <si>
    <t>Sat - Jun 13, 2020</t>
  </si>
  <si>
    <t>bedrest due to lower abdomen constantly aching.</t>
  </si>
  <si>
    <t>Mon - Jun 15, 2020</t>
  </si>
  <si>
    <t>Tue - Jun 16, 2020</t>
  </si>
  <si>
    <t>Wed - Jun 17, 2020</t>
  </si>
  <si>
    <t>Wed - Jul 22, 2020</t>
  </si>
  <si>
    <t>School parent meeting.</t>
  </si>
  <si>
    <t>Mon - Aug 10, 2020</t>
  </si>
  <si>
    <t>Teacher &amp;parent meeting from 2:30pm to 4pm 1week</t>
  </si>
  <si>
    <t>Aug 14, 2020 - 03:17:32 AM</t>
  </si>
  <si>
    <t>Wed - Aug 12, 2020</t>
  </si>
  <si>
    <t>pre-wedding preparation</t>
  </si>
  <si>
    <t>Fri - Oct 02, 2020</t>
  </si>
  <si>
    <t>Mon - Oct 05, 2020</t>
  </si>
  <si>
    <t>After wedding rest</t>
  </si>
  <si>
    <t>Tue - Oct 06, 2020</t>
  </si>
  <si>
    <t>Thu - Oct 22, 2020</t>
  </si>
  <si>
    <t>Have a f.u check up on my O.B next week 10/22 3pm</t>
  </si>
  <si>
    <t>Oct 20, 2020 - 01:43:34 AM</t>
  </si>
  <si>
    <t>Fri - Nov 06, 2020</t>
  </si>
  <si>
    <t>Submitting of porfolio/pickup new module</t>
  </si>
  <si>
    <t>Nov 07, 2020 - 02:38:35 AM</t>
  </si>
  <si>
    <t>Maternity Checkup</t>
  </si>
  <si>
    <t>Nov 10, 2020 - 08:17:20 AM</t>
  </si>
  <si>
    <t>Fri - Dec 04, 2020</t>
  </si>
  <si>
    <t>Daugthers summative test, and pickup of module</t>
  </si>
  <si>
    <t>Dec 05, 2020 - 02:13:06 AM</t>
  </si>
  <si>
    <t>Mon - Feb 01, 2021</t>
  </si>
  <si>
    <t>MAT LEAVE</t>
  </si>
  <si>
    <t>Wed - Feb 03, 2021</t>
  </si>
  <si>
    <t>Thu - Feb 04, 2021</t>
  </si>
  <si>
    <t>Mon - Feb 08, 2021</t>
  </si>
  <si>
    <t>Mon - Feb 15, 2021</t>
  </si>
  <si>
    <t>LEGASPI, ARABELLE C.</t>
  </si>
  <si>
    <t>Birthday leave.</t>
  </si>
  <si>
    <t>Wed - Oct 02, 2019</t>
  </si>
  <si>
    <t>Thu - Oct 03, 2019</t>
  </si>
  <si>
    <t>Medical certificate submitted to Sir Rod A. Thanks</t>
  </si>
  <si>
    <t>Wed - Oct 16, 2019</t>
  </si>
  <si>
    <t>Thu - Oct 17, 2019</t>
  </si>
  <si>
    <t>Thanksgiving leave. will use SL credit. ty</t>
  </si>
  <si>
    <t>Teams xmas party, will use SL credit. ty</t>
  </si>
  <si>
    <t>VL filed since 01/02. canceled due to system error</t>
  </si>
  <si>
    <t>Sat - Jan 25, 2020</t>
  </si>
  <si>
    <t>travel leave</t>
  </si>
  <si>
    <t>Thu - Feb 20, 2020</t>
  </si>
  <si>
    <t>will attend occasion. thanks.</t>
  </si>
  <si>
    <t>Thu - Jun 11, 2020</t>
  </si>
  <si>
    <t>filed as VL. no internet.</t>
  </si>
  <si>
    <t>Jun 24, 2020 - 02:22:12 AM</t>
  </si>
  <si>
    <t>will attend family occassion. thanks.</t>
  </si>
  <si>
    <t>Sep 18, 2020 - 01:42:15 AM</t>
  </si>
  <si>
    <t>Family occasion. Thanks.</t>
  </si>
  <si>
    <t>Oct 03, 2020 - 08:14:25 AM</t>
  </si>
  <si>
    <t>will go on a vacation</t>
  </si>
  <si>
    <t>Dec 08, 2020 - 07:44:45 AM</t>
  </si>
  <si>
    <t>Mon - Jul 29, 2019</t>
  </si>
  <si>
    <t>MACALALAD, ANAMARIE S.</t>
  </si>
  <si>
    <t>Tue - Jul 30, 2019</t>
  </si>
  <si>
    <t>Upper Respiratory Tract Infection</t>
  </si>
  <si>
    <t>SoloParentLeave</t>
  </si>
  <si>
    <t>Tue - Nov 26, 2019</t>
  </si>
  <si>
    <t>Taekwando Competition</t>
  </si>
  <si>
    <t>School Christmas Party</t>
  </si>
  <si>
    <t>Migraine</t>
  </si>
  <si>
    <t>My son will have no company during this day.</t>
  </si>
  <si>
    <t>use remaining VL</t>
  </si>
  <si>
    <t>I have a severe headache.Med cert submitted to Sup</t>
  </si>
  <si>
    <t>VL due to slow internet connection. Thanks</t>
  </si>
  <si>
    <t>Apr 30, 2020 - 01:00:11 AM</t>
  </si>
  <si>
    <t>Tue - May 19, 2020</t>
  </si>
  <si>
    <t>poor internet connection</t>
  </si>
  <si>
    <t>May 22, 2020 - 06:57:03 AM</t>
  </si>
  <si>
    <t>severe headache</t>
  </si>
  <si>
    <t>Jun 19, 2020 - 01:06:33 AM</t>
  </si>
  <si>
    <t>Mon - Jul 20, 2020</t>
  </si>
  <si>
    <t>Fever and diarrhea</t>
  </si>
  <si>
    <t>Jul 25, 2020 - 03:30:03 AM</t>
  </si>
  <si>
    <t>Family Problem</t>
  </si>
  <si>
    <t>Jul 25, 2020 - 03:30:58 AM</t>
  </si>
  <si>
    <t>My sons birthday. Thanks</t>
  </si>
  <si>
    <t>Fri - Nov 13, 2020</t>
  </si>
  <si>
    <t>My son had an accident/ Marikina flood.</t>
  </si>
  <si>
    <t>Nov 24, 2020 - 02:52:48 AM</t>
  </si>
  <si>
    <t>Tue - Nov 17, 2020</t>
  </si>
  <si>
    <t>SPL credits. Thanks</t>
  </si>
  <si>
    <t>Nov 25, 2020 - 06:19:37 AM</t>
  </si>
  <si>
    <t>Fri - Nov 27, 2020</t>
  </si>
  <si>
    <t>Dec 04, 2020 - 09:15:27 AM</t>
  </si>
  <si>
    <t>use SL credit. no internet connection</t>
  </si>
  <si>
    <t>Dec 08, 2020 - 07:46:09 AM</t>
  </si>
  <si>
    <t>MAGNO, ALVIN D.</t>
  </si>
  <si>
    <t>vacation leave - family gathering</t>
  </si>
  <si>
    <t>Jan 31, 2020 - 04:30:42 AM</t>
  </si>
  <si>
    <t>Sun - Mar 08, 2020</t>
  </si>
  <si>
    <t>vacation leave - i have an event to attend.</t>
  </si>
  <si>
    <t>Mar 04, 2020 - 05:46:27 AM</t>
  </si>
  <si>
    <t>Wed - Mar 25, 2020</t>
  </si>
  <si>
    <t>i have to get some documents and event to attend 2</t>
  </si>
  <si>
    <t>Sun - Jul 19, 2020</t>
  </si>
  <si>
    <t>birthday leave and vacation leave</t>
  </si>
  <si>
    <t>Jul 04, 2020 - 01:37:44 AM</t>
  </si>
  <si>
    <t>ill check our house in Bulacan,</t>
  </si>
  <si>
    <t>Sep 04, 2020 - 05:27:49 AM</t>
  </si>
  <si>
    <t>my eye is irritated that time and swollen</t>
  </si>
  <si>
    <t>Feb 10, 2021 - 03:38:39 AM</t>
  </si>
  <si>
    <t>Sat - Aug 31, 2019</t>
  </si>
  <si>
    <t>MANGOBA, MICHAEL C.</t>
  </si>
  <si>
    <t>Bereavement Leave without pay</t>
  </si>
  <si>
    <t>Sun - Oct 27, 2019</t>
  </si>
  <si>
    <t>Mon - Mar 16, 2020</t>
  </si>
  <si>
    <t>for attendance checking</t>
  </si>
  <si>
    <t>Mar 24, 2020 - 01:48:12 AM</t>
  </si>
  <si>
    <t>leave</t>
  </si>
  <si>
    <t>MARINAS, ELMERA B.</t>
  </si>
  <si>
    <t>Vacation leave</t>
  </si>
  <si>
    <t>Pls apply 2 Days sick leave , from 3/17 - 3/18</t>
  </si>
  <si>
    <t>Mar 24, 2020 - 01:49:17 AM</t>
  </si>
  <si>
    <t>Sat - May 23, 2020</t>
  </si>
  <si>
    <t>My Birthday</t>
  </si>
  <si>
    <t>May 08, 2020 - 02:15:08 AM</t>
  </si>
  <si>
    <t>Had fever and body pain. pls apply thank you</t>
  </si>
  <si>
    <t>Jul 09, 2020 - 02:21:55 AM</t>
  </si>
  <si>
    <t>Oct 03, 2020 - 08:16:38 AM</t>
  </si>
  <si>
    <t>Sat - Oct 24, 2020</t>
  </si>
  <si>
    <t>Pls apply thank you</t>
  </si>
  <si>
    <t>Nov 17, 2020 - 02:07:36 AM</t>
  </si>
  <si>
    <t>MATIGNAS, JAYDEE D.</t>
  </si>
  <si>
    <t>Feast in Tanza (leave w/o pay)</t>
  </si>
  <si>
    <t>Wed - Aug 28, 2019</t>
  </si>
  <si>
    <t>not feeling well hypertension , hard of breathing</t>
  </si>
  <si>
    <t>Wed - Jan 15, 2020</t>
  </si>
  <si>
    <t>Thu - Jan 16, 2020</t>
  </si>
  <si>
    <t>Wed - Jan 22, 2020</t>
  </si>
  <si>
    <t>family gathering thanks</t>
  </si>
  <si>
    <t>Tue - Jan 28, 2020</t>
  </si>
  <si>
    <t>sick leave due to gout and hb thanks</t>
  </si>
  <si>
    <t>Feb 06, 2020 - 05:21:24 AM</t>
  </si>
  <si>
    <t>Tue - Feb 04, 2020</t>
  </si>
  <si>
    <t>bday of my husband</t>
  </si>
  <si>
    <t>Feb 03, 2020 - 11:15:35 PM</t>
  </si>
  <si>
    <t>as per Rigel to file todays as leave Dialpad error</t>
  </si>
  <si>
    <t>Mar 24, 2020 - 01:50:04 AM</t>
  </si>
  <si>
    <t>no tools to use to work at home , informed KatM</t>
  </si>
  <si>
    <t>poor internet connections as per KATM file as VL</t>
  </si>
  <si>
    <t>Apr 07, 2020 - 06:32:01 AM</t>
  </si>
  <si>
    <t>no internet connection as per katm file as VL</t>
  </si>
  <si>
    <t>Apr 10, 2020 - 07:37:50 PM</t>
  </si>
  <si>
    <t>Tue - Apr 07, 2020</t>
  </si>
  <si>
    <t>brownout in the area and still no internet</t>
  </si>
  <si>
    <t>Thu - Apr 30, 2020</t>
  </si>
  <si>
    <t>BDAY OF MY SON JAYDEN</t>
  </si>
  <si>
    <t>Apr 21, 2020 - 05:43:30 AM</t>
  </si>
  <si>
    <t>40 days of my Auntie need to go to Laguna ,</t>
  </si>
  <si>
    <t>Sun - Oct 11, 2020</t>
  </si>
  <si>
    <t>my Fathers Bday , thanks</t>
  </si>
  <si>
    <t>Nov 10, 2020 - 08:17:55 AM</t>
  </si>
  <si>
    <t>Mon - Dec 07, 2020</t>
  </si>
  <si>
    <t>bday of my baby Maliah ty</t>
  </si>
  <si>
    <t>bday of my husband ... thanks</t>
  </si>
  <si>
    <t>Feb 06, 2021 - 02:15:41 AM</t>
  </si>
  <si>
    <t>Sat - Dec 05, 2020</t>
  </si>
  <si>
    <t>MENDOZA, TRYSTAN JAY G.</t>
  </si>
  <si>
    <t>Daughters 8th birthday celebration.</t>
  </si>
  <si>
    <t>Dec 04, 2020 - 09:16:43 AM</t>
  </si>
  <si>
    <t>Sun - Dec 06, 2020</t>
  </si>
  <si>
    <t>will visit my sick grandmother in la union</t>
  </si>
  <si>
    <t>Dec 12, 2020 - 05:15:14 AM</t>
  </si>
  <si>
    <t>Thu - Jan 02, 2020</t>
  </si>
  <si>
    <t>MONTIEL, HEIZEL L.</t>
  </si>
  <si>
    <t>vacation</t>
  </si>
  <si>
    <t>Tue - Jan 21, 2020</t>
  </si>
  <si>
    <t>Mon - Jun 01, 2020</t>
  </si>
  <si>
    <t>Jun 04, 2020 - 08:01:42 AM</t>
  </si>
  <si>
    <t>Mon - Jul 27, 2020</t>
  </si>
  <si>
    <t>Birthday</t>
  </si>
  <si>
    <t>Jul 16, 2020 - 04:25:35 AM</t>
  </si>
  <si>
    <t>fever because of swollen ear</t>
  </si>
  <si>
    <t>Aug 08, 2020 - 01:47:01 AM</t>
  </si>
  <si>
    <t>PATULOT, MARIROSE T.</t>
  </si>
  <si>
    <t>SOLO PARENT L. No one to take care of my son.</t>
  </si>
  <si>
    <t>Thu - Sep 26, 2019</t>
  </si>
  <si>
    <t>Fri - Sep 27, 2019</t>
  </si>
  <si>
    <t>Fri - Oct 18, 2019</t>
  </si>
  <si>
    <t>SOLO PARENT LEAVE. My sons birthday.</t>
  </si>
  <si>
    <t>PAID LEAVE. Family gathering.</t>
  </si>
  <si>
    <t>LAST (1) PAID VL.</t>
  </si>
  <si>
    <t>LAST (1) PAID VACATION LEAVE</t>
  </si>
  <si>
    <t>UNPAID VACATION LEAVE</t>
  </si>
  <si>
    <t>Tue - Dec 31, 2019</t>
  </si>
  <si>
    <t>SPL 2of7: I fetch my son from Batangas.</t>
  </si>
  <si>
    <t>Feb 19, 2020 - 12:57:04 AM</t>
  </si>
  <si>
    <t>Sanitation and general cleaning of our house.</t>
  </si>
  <si>
    <t>May 05, 2020 - 02:57:25 AM</t>
  </si>
  <si>
    <t>Fri - Jun 05, 2020</t>
  </si>
  <si>
    <t>*INTERNET ISSUE</t>
  </si>
  <si>
    <t>*INTERNET &amp; DEVICE ISSUE</t>
  </si>
  <si>
    <t>Wed - Sep 09, 2020</t>
  </si>
  <si>
    <t>SL3 credit: BEREAVEMENT Leave</t>
  </si>
  <si>
    <t>SL4 credit: BEREAVEMENT Leave</t>
  </si>
  <si>
    <t>Sep 08, 2020 - 05:41:40 AM</t>
  </si>
  <si>
    <t>SL5 credit: BEREAVEMENT Leave</t>
  </si>
  <si>
    <t>Sep 16, 2020 - 03:32:04 AM</t>
  </si>
  <si>
    <t>REOTIREZ, REYMONG D.</t>
  </si>
  <si>
    <t>VL with pay / Covered by Princess A.</t>
  </si>
  <si>
    <t>Thu - Oct 31, 2019</t>
  </si>
  <si>
    <t>Paid VL Credit from August &amp; Sept townhall</t>
  </si>
  <si>
    <t>SL due to Fever &amp; Dry cough</t>
  </si>
  <si>
    <t>Will use addl PAID VL from SEPT AWARDING</t>
  </si>
  <si>
    <t>Wed - Dec 18, 2019</t>
  </si>
  <si>
    <t>SL due to LBM</t>
  </si>
  <si>
    <t>Out of town with family</t>
  </si>
  <si>
    <t>Jan 31, 2020 - 04:34:15 AM</t>
  </si>
  <si>
    <t>Sick leave due to over-fatigue &amp; migraine</t>
  </si>
  <si>
    <t>Feb 25, 2020 - 03:10:08 AM</t>
  </si>
  <si>
    <t>Sat - Aug 29, 2020</t>
  </si>
  <si>
    <t>Aug 14, 2020 - 03:20:29 AM</t>
  </si>
  <si>
    <t>Mon - Sep 28, 2020</t>
  </si>
  <si>
    <t>Sep 10, 2020 - 08:19:43 AM</t>
  </si>
  <si>
    <t>ROCA, SHARON G.</t>
  </si>
  <si>
    <t>BIRTHDAY LEAVE</t>
  </si>
  <si>
    <t>That was my birthday leave filed even before</t>
  </si>
  <si>
    <t>Got a paid leave from townhall and I will use that</t>
  </si>
  <si>
    <t>sickleave with medcert</t>
  </si>
  <si>
    <t>Jan 31, 2020 - 04:35:14 AM</t>
  </si>
  <si>
    <t>Sick leave , allergic rhinitis and vertigo</t>
  </si>
  <si>
    <t>leave and general assembly / aniv of our group</t>
  </si>
  <si>
    <t>Mar 04, 2020 - 05:47:58 AM</t>
  </si>
  <si>
    <t>burial of relative</t>
  </si>
  <si>
    <t>Sep 23, 2020 - 07:27:55 AM</t>
  </si>
  <si>
    <t>SANTOS, JERICK C.</t>
  </si>
  <si>
    <t>Church Activity/ leave without pay</t>
  </si>
  <si>
    <t>Thu - Sep 19, 2019</t>
  </si>
  <si>
    <t>Leave without pay Family outing</t>
  </si>
  <si>
    <t>Fri - Sep 20, 2019</t>
  </si>
  <si>
    <t>Vacation Leave/ Leave without pay</t>
  </si>
  <si>
    <t>SICKLEAVE</t>
  </si>
  <si>
    <t>Feb 25, 2020 - 03:15:04 AM</t>
  </si>
  <si>
    <t>Mar 03, 2020 - 02:02:48 AM</t>
  </si>
  <si>
    <t>Sat - Aug 15, 2020</t>
  </si>
  <si>
    <t>House Moving out.</t>
  </si>
  <si>
    <t>Aug 18, 2020 - 02:58:07 AM</t>
  </si>
  <si>
    <t>My Sisters Birthday need to visit in Antipolo.</t>
  </si>
  <si>
    <t>Sun - Dec 20, 2020</t>
  </si>
  <si>
    <t>Dec 24, 2020 - 02:55:28 AM</t>
  </si>
  <si>
    <t>Thu - Jan 28, 2021</t>
  </si>
  <si>
    <t>Thu - Nov 05, 2020</t>
  </si>
  <si>
    <t>SISON, LEA M.</t>
  </si>
  <si>
    <t>Bereavement</t>
  </si>
  <si>
    <t>Nov 07, 2020 - 02:40:54 AM</t>
  </si>
  <si>
    <t>Nov 10, 2020 - 08:17:39 AM</t>
  </si>
  <si>
    <t>TABIA, JENNIFER L.</t>
  </si>
  <si>
    <t>Grand mothers 80th birthday and family reunion.</t>
  </si>
  <si>
    <t>SICK LEAVE APPLICATION.</t>
  </si>
  <si>
    <t>will use sick leave</t>
  </si>
  <si>
    <t>Sun - Jan 26, 2020</t>
  </si>
  <si>
    <t>Teacher Parent Convention Meeting and Family Day.</t>
  </si>
  <si>
    <t>Migraine and fever</t>
  </si>
  <si>
    <t>Feb 06, 2020 - 05:23:43 AM</t>
  </si>
  <si>
    <t>The Flu and dysmenorrhea</t>
  </si>
  <si>
    <t>Mar 09, 2020 - 06:42:56 AM</t>
  </si>
  <si>
    <t>Tue - Mar 03, 2020</t>
  </si>
  <si>
    <t>Sons Graduation Day and My Birthday celebration.</t>
  </si>
  <si>
    <t>Sat - Mar 28, 2020</t>
  </si>
  <si>
    <t>Sun - Mar 29, 2020</t>
  </si>
  <si>
    <t>Thu - Jul 09, 2020</t>
  </si>
  <si>
    <t>was not able to login due to net issue</t>
  </si>
  <si>
    <t>Jul 22, 2020 - 05:15:43 AM</t>
  </si>
  <si>
    <t>Fri - Jul 10, 2020</t>
  </si>
  <si>
    <t>TABUNAN, LIZEL P.</t>
  </si>
  <si>
    <t>Wed - Sep 25, 2019</t>
  </si>
  <si>
    <t>Will use SL credit since on req off on thanksgivin</t>
  </si>
  <si>
    <t>will use remaining SL</t>
  </si>
  <si>
    <t>out of town</t>
  </si>
  <si>
    <t>Sick leave / asthma / 2 days / Friday and Monday</t>
  </si>
  <si>
    <t>Feb 06, 2020 - 05:26:12 AM</t>
  </si>
  <si>
    <t>Feb 06, 2020 - 05:31:12 AM</t>
  </si>
  <si>
    <t>Fri - Feb 07, 2020</t>
  </si>
  <si>
    <t>asthma attack, dr advised to take rest</t>
  </si>
  <si>
    <t>drs adv for a rest for 2-3 days due to pneumonia</t>
  </si>
  <si>
    <t>Feb 19, 2020 - 12:58:22 AM</t>
  </si>
  <si>
    <t>My granddaughters bday</t>
  </si>
  <si>
    <t>Aug 06, 2020 - 02:35:05 AM</t>
  </si>
  <si>
    <t>Thu - Aug 01, 2019</t>
  </si>
  <si>
    <t>VALENCIA, WINDSOR ROBERT S.</t>
  </si>
  <si>
    <t>house renovation</t>
  </si>
  <si>
    <t>sick leave with document attached 9/26</t>
  </si>
  <si>
    <t>Wed - Dec 04, 2019</t>
  </si>
  <si>
    <t>boracay trip/xmas party will use 3 SL as VL</t>
  </si>
  <si>
    <t>Thu - Dec 05, 2019</t>
  </si>
  <si>
    <t>boracay trip/xmas party will use SL as VL</t>
  </si>
  <si>
    <t>Sun - Dec 08, 2019</t>
  </si>
  <si>
    <t>nephews bday family getaway</t>
  </si>
  <si>
    <t>Mon - Feb 10, 2020</t>
  </si>
  <si>
    <t>drs appointment (checkup)</t>
  </si>
  <si>
    <t>Feb 11, 2020 - 05:48:05 AM</t>
  </si>
  <si>
    <t>Thu - May 28, 2020</t>
  </si>
  <si>
    <t>Sick Leave (checkup)</t>
  </si>
  <si>
    <t>no internet connection providers system update</t>
  </si>
  <si>
    <t>Jul 01, 2020 - 07:57:27 AM</t>
  </si>
  <si>
    <t>Jul 22, 2020 - 05:17:50 AM</t>
  </si>
  <si>
    <t>brothers bday celeb</t>
  </si>
  <si>
    <t>Oct 28, 2020 - 07:25:39 AM</t>
  </si>
  <si>
    <t>no power/internet connection nov15</t>
  </si>
  <si>
    <t>Nov 25, 2020 - 06:19:20 AM</t>
  </si>
  <si>
    <t>nephews bday celeb</t>
  </si>
  <si>
    <t>Dec 12, 2020 - 05:16:49 AM</t>
  </si>
  <si>
    <t>family outing will use sl at vl</t>
  </si>
  <si>
    <t>Dec 19, 2020 - 06:55:06 AM</t>
  </si>
  <si>
    <t>Sun - Dec 27, 2020</t>
  </si>
  <si>
    <t>family reunion</t>
  </si>
  <si>
    <t>fever</t>
  </si>
  <si>
    <t>Mon - Jul 22, 2019</t>
  </si>
  <si>
    <t>VALLADARES, ALLEN D.</t>
  </si>
  <si>
    <t>Body Pain - Medical Certificate Provided</t>
  </si>
  <si>
    <t>International Trip / Birthday / Unpaid VL</t>
  </si>
  <si>
    <t>Headache due to cold</t>
  </si>
  <si>
    <t>Sun - Nov 03, 2019</t>
  </si>
  <si>
    <t>Out Sick - Fever</t>
  </si>
  <si>
    <t>Sick Leave used as Vacation Leave</t>
  </si>
  <si>
    <t>Unpaid Leave - Trip to Batanes</t>
  </si>
  <si>
    <t>Sun - Jan 19, 2020</t>
  </si>
  <si>
    <t>Out sick due to body pain</t>
  </si>
  <si>
    <t>Feb 10, 2020 - 07:04:15 AM</t>
  </si>
  <si>
    <t>Feb 03, 2020 - 11:19:52 PM</t>
  </si>
  <si>
    <t>Out sick due to LBM.</t>
  </si>
  <si>
    <t>Mar 24, 2020 - 01:50:54 AM</t>
  </si>
  <si>
    <t>Sat - May 02, 2020</t>
  </si>
  <si>
    <t>Sick Leave - Backache /Notified Rigel and Sup Dale</t>
  </si>
  <si>
    <t>Fri - Jul 17, 2020</t>
  </si>
  <si>
    <t>Sick due to headache</t>
  </si>
  <si>
    <t>Jul 22, 2020 - 05:18:40 AM</t>
  </si>
  <si>
    <t>Fri - Jul 24, 2020</t>
  </si>
  <si>
    <t>Sun - Sep 20, 2020</t>
  </si>
  <si>
    <t>Sep 16, 2020 - 03:33:28 AM</t>
  </si>
  <si>
    <t>Mon - Sep 21, 2020</t>
  </si>
  <si>
    <t>Sun - Sep 27, 2020</t>
  </si>
  <si>
    <t>UNPAID LEAVE - Birthday</t>
  </si>
  <si>
    <t>Sat - Nov 21, 2020</t>
  </si>
  <si>
    <t>Nov 10, 2020 - 08:18:14 AM</t>
  </si>
  <si>
    <t>Sick Leave - Sore throat / Notified office num</t>
  </si>
  <si>
    <t>Dec 04, 2020 - 09:19:22 AM</t>
  </si>
  <si>
    <t>Sun - Feb 07, 2021</t>
  </si>
  <si>
    <t>Sick due to LBM</t>
  </si>
  <si>
    <t>VIADO, DANAH LORRAINE V.</t>
  </si>
  <si>
    <t>Apply remaining SL credit</t>
  </si>
  <si>
    <t>Sat - Dec 28, 2019</t>
  </si>
  <si>
    <t>Use SL credit for VL.</t>
  </si>
  <si>
    <t>Sun - Dec 29, 2019</t>
  </si>
  <si>
    <t>Leave without pay. Going home for holiday season.</t>
  </si>
  <si>
    <t>Jul 22, 2020 - 05:19:33 AM</t>
  </si>
  <si>
    <t>Wed - Jul 15, 2020</t>
  </si>
  <si>
    <t>Jul 22, 2020 - 05:19:34 AM</t>
  </si>
  <si>
    <t>VL without pay</t>
  </si>
  <si>
    <t>Thu - Sep 24, 2020</t>
  </si>
  <si>
    <t>eye check up</t>
  </si>
  <si>
    <t>Sep 23, 2020 - 07:28:33 AM</t>
  </si>
  <si>
    <t>Leave without pay. Medical check up.</t>
  </si>
  <si>
    <t>Oct 03, 2020 - 08:17:04 AM</t>
  </si>
  <si>
    <t>Wed - Dec 23, 2020</t>
  </si>
  <si>
    <t>LOA. Goin home for the holidays.</t>
  </si>
  <si>
    <t>Dec 19, 2020 - 06:56:20 AM</t>
  </si>
  <si>
    <t>Thu - Dec 24, 2020</t>
  </si>
  <si>
    <t>Fri - Dec 25, 2020</t>
  </si>
  <si>
    <t>Sat - Dec 26, 2020</t>
  </si>
  <si>
    <t>Mon - Dec 28, 2020</t>
  </si>
  <si>
    <t>Dec 19, 2020 - 06:56:48 AM</t>
  </si>
  <si>
    <t>Wed - Dec 30, 2020</t>
  </si>
  <si>
    <t>Thu - Dec 31, 2020</t>
  </si>
  <si>
    <t>Dec 19, 2020 - 06:56:49 AM</t>
  </si>
  <si>
    <t>Fri - Jan 01, 2021</t>
  </si>
  <si>
    <t>Sat - Jan 02, 2021</t>
  </si>
  <si>
    <t>Sun - Jan 03, 2021</t>
  </si>
  <si>
    <t>Mon - Jan 04, 2021</t>
  </si>
  <si>
    <t>Tue - Jan 05, 2021</t>
  </si>
  <si>
    <t>Wed - Jan 06, 2021</t>
  </si>
  <si>
    <t>Fri - Jan 08, 2021</t>
  </si>
  <si>
    <t>Sun - Jan 10, 2021</t>
  </si>
  <si>
    <t>Mon - Jan 11, 2021</t>
  </si>
  <si>
    <t>Tue - Jan 12, 2021</t>
  </si>
  <si>
    <t>VILLAFLOR, REA S.</t>
  </si>
  <si>
    <t>Bonus leave</t>
  </si>
  <si>
    <t>.</t>
  </si>
  <si>
    <t>May 09, 2020 - 05:32:52 AM</t>
  </si>
  <si>
    <t>Thu - May 07, 2020</t>
  </si>
  <si>
    <t>no inter connection</t>
  </si>
  <si>
    <t>no internet connection</t>
  </si>
  <si>
    <t>Fri - May 29, 2020</t>
  </si>
  <si>
    <t>Thu - Jun 18, 2020</t>
  </si>
  <si>
    <t>net connection problem</t>
  </si>
  <si>
    <t>Jun 23, 2020 - 09:17:51 AM</t>
  </si>
  <si>
    <t>Ive experience dizziness and I vomiting.</t>
  </si>
  <si>
    <t>Jul 22, 2020 - 05:20:16 AM</t>
  </si>
  <si>
    <t>no connection</t>
  </si>
  <si>
    <t>Jul 24, 2020 - 08:21:22 AM</t>
  </si>
  <si>
    <t>we are all going to laguna for family gathering.</t>
  </si>
  <si>
    <t>Sat - Nov 07, 2020</t>
  </si>
  <si>
    <t>family gathering .well all go to laguna</t>
  </si>
  <si>
    <t>Nov 04, 2020 - 06:40:31 AM</t>
  </si>
  <si>
    <t>Sun - Nov 08, 2020</t>
  </si>
  <si>
    <t>Nov 07, 2020 - 02:40:55 AM</t>
  </si>
  <si>
    <t>My daughters bday will be out of town</t>
  </si>
  <si>
    <t>Dec 24, 2020 - 02:55:58 AM</t>
  </si>
  <si>
    <t>Sun - Jul 21, 2019</t>
  </si>
  <si>
    <t>VINO, KARLA LOU A.</t>
  </si>
  <si>
    <t>Solo Parent Leave : Daughters Birthday</t>
  </si>
  <si>
    <t>Solo Parent (need to accompany my children)</t>
  </si>
  <si>
    <t>Re-submit. VL w/o pay.</t>
  </si>
  <si>
    <t>Thu - Sep 05, 2019</t>
  </si>
  <si>
    <t>Solo Parent(My daughter was sick)</t>
  </si>
  <si>
    <t>Fri - Jul 26, 2019</t>
  </si>
  <si>
    <t>WAMBANGCO, JAN TOBEY O.</t>
  </si>
  <si>
    <t>WILL USE SL CREDIT FOR VL</t>
  </si>
  <si>
    <t>Fri - Nov 15, 2019</t>
  </si>
  <si>
    <t>need to attend wedding</t>
  </si>
  <si>
    <t>birthday</t>
  </si>
  <si>
    <t>Apr 21, 2020 - 05:44:28 AM</t>
  </si>
  <si>
    <t>Wed - May 27, 2020</t>
  </si>
  <si>
    <t>no electricity</t>
  </si>
  <si>
    <t>Sat - May 30, 2020</t>
  </si>
  <si>
    <t>vpn issue</t>
  </si>
  <si>
    <t>Jun 20, 2020 - 07:50:59 AM</t>
  </si>
  <si>
    <t>WENCESLAO, JOHN GLENN B.</t>
  </si>
  <si>
    <t>Med Cert already submitted to Rod A.</t>
  </si>
  <si>
    <t>for Team Xmas party- pls file remaining 1 SL crdts</t>
  </si>
  <si>
    <t>Death Anniv of Grand Mother</t>
  </si>
  <si>
    <t>check up and rest due to ear infection</t>
  </si>
  <si>
    <t>Mar 12, 2020 - 05:09:59 AM</t>
  </si>
  <si>
    <t>Mar 24, 2020 - 01:51:42 AM</t>
  </si>
  <si>
    <t>Apr 10, 2020 - 07:13:08 AM</t>
  </si>
  <si>
    <t>Thu - Apr 23, 2020</t>
  </si>
  <si>
    <t>connection lost</t>
  </si>
  <si>
    <t>Apr 25, 2020 - 03:05:31 AM</t>
  </si>
  <si>
    <t>May 10, 2020 - 09:38:51 AM</t>
  </si>
  <si>
    <t>Daughters 4th birthday, Ana will cover</t>
  </si>
  <si>
    <t>Feb 09, 2021 - 02:26:36 AM</t>
  </si>
  <si>
    <t>WEEKLY SUMMARY</t>
  </si>
  <si>
    <t>50000027</t>
  </si>
  <si>
    <t>50000032</t>
  </si>
  <si>
    <t>50000085</t>
  </si>
  <si>
    <t>50000050</t>
  </si>
  <si>
    <t>50000048</t>
  </si>
  <si>
    <t>50000031</t>
  </si>
  <si>
    <t>50000045</t>
  </si>
  <si>
    <t>50000016</t>
  </si>
  <si>
    <t>50000089</t>
  </si>
  <si>
    <t>50000054</t>
  </si>
  <si>
    <t>50000107</t>
  </si>
  <si>
    <t>50000043</t>
  </si>
  <si>
    <t>50000096</t>
  </si>
  <si>
    <t>50000059</t>
  </si>
  <si>
    <t>50000093</t>
  </si>
  <si>
    <t>50000109</t>
  </si>
  <si>
    <t>50000037</t>
  </si>
  <si>
    <t>50000056</t>
  </si>
  <si>
    <t>50000003</t>
  </si>
  <si>
    <t>50000020</t>
  </si>
  <si>
    <t>50000025</t>
  </si>
  <si>
    <t>50000078</t>
  </si>
  <si>
    <t>50000110</t>
  </si>
  <si>
    <t>50000011</t>
  </si>
  <si>
    <t>50000010</t>
  </si>
  <si>
    <t>50000035</t>
  </si>
  <si>
    <t>50000017</t>
  </si>
  <si>
    <t>50000100</t>
  </si>
  <si>
    <t>50000041</t>
  </si>
  <si>
    <t>50000053</t>
  </si>
  <si>
    <t>50000042</t>
  </si>
  <si>
    <t>50000009</t>
  </si>
  <si>
    <t>50000091</t>
  </si>
  <si>
    <t>50000084</t>
  </si>
  <si>
    <t>50000112</t>
  </si>
  <si>
    <t>50000026</t>
  </si>
  <si>
    <t>50000028</t>
  </si>
  <si>
    <t>50000108</t>
  </si>
  <si>
    <t>50000075</t>
  </si>
  <si>
    <t>50000055</t>
  </si>
  <si>
    <t>50000052</t>
  </si>
  <si>
    <t>50000018</t>
  </si>
  <si>
    <t>50000015</t>
  </si>
  <si>
    <t>50000081</t>
  </si>
  <si>
    <t>50000044</t>
  </si>
  <si>
    <t>50000062</t>
  </si>
  <si>
    <t>50000068</t>
  </si>
  <si>
    <t>50000071</t>
  </si>
  <si>
    <t>50000095</t>
  </si>
  <si>
    <t>50000077</t>
  </si>
  <si>
    <t>50000005</t>
  </si>
  <si>
    <t>50000006</t>
  </si>
  <si>
    <t>50000090</t>
  </si>
  <si>
    <t>50000039</t>
  </si>
  <si>
    <t>50000092</t>
  </si>
  <si>
    <t>50000079</t>
  </si>
  <si>
    <t>50000074</t>
  </si>
  <si>
    <t>50000073</t>
  </si>
  <si>
    <t>50000082</t>
  </si>
  <si>
    <t>50000087</t>
  </si>
  <si>
    <t>50000076</t>
  </si>
  <si>
    <t>50000012</t>
  </si>
  <si>
    <t>50000029</t>
  </si>
  <si>
    <t>50000034</t>
  </si>
  <si>
    <t>50000033</t>
  </si>
  <si>
    <t>50000046</t>
  </si>
  <si>
    <t>50000047</t>
  </si>
  <si>
    <t>50000061</t>
  </si>
  <si>
    <t>50000064</t>
  </si>
  <si>
    <t>50000088</t>
  </si>
  <si>
    <t>50000083</t>
  </si>
  <si>
    <t>50000065</t>
  </si>
  <si>
    <t>50000049</t>
  </si>
  <si>
    <t>50000019</t>
  </si>
  <si>
    <t>50000057</t>
  </si>
  <si>
    <t>50000030</t>
  </si>
  <si>
    <t>50000072</t>
  </si>
  <si>
    <t>50000004</t>
  </si>
  <si>
    <t>50000007</t>
  </si>
  <si>
    <t>50000070</t>
  </si>
  <si>
    <t>50000058</t>
  </si>
  <si>
    <t>50000013</t>
  </si>
  <si>
    <t>50000063</t>
  </si>
  <si>
    <t>50000022</t>
  </si>
  <si>
    <t>50000001</t>
  </si>
  <si>
    <t>50000002</t>
  </si>
  <si>
    <t>GONZALES, MA-ANNE</t>
  </si>
  <si>
    <t>VILLANUEVA, EUGENIO II</t>
  </si>
  <si>
    <t>LAVARIAS, FAMELA JANE</t>
  </si>
  <si>
    <t>ESTANISLAO, JENNIFER</t>
  </si>
  <si>
    <t>CHUA, BERNARD</t>
  </si>
  <si>
    <t>CALIXTRO, MARIA ISABEL</t>
  </si>
  <si>
    <t>SAMONTE, BETTY JANE</t>
  </si>
  <si>
    <t>MARTINEZ, CHERRYL ANN</t>
  </si>
  <si>
    <t>MALIWANAG, DARYLL GEITY</t>
  </si>
  <si>
    <t>CONSTANTINO, IAN ARCHIMEDES</t>
  </si>
  <si>
    <t>CARDONA, JEFFREY</t>
  </si>
  <si>
    <t>TABUNAN, LIZEL</t>
  </si>
  <si>
    <t>LEDESMA, LYNDON JOHN</t>
  </si>
  <si>
    <t>PATULOT, MARIROSE</t>
  </si>
  <si>
    <t>REOTIREZ, REYMONG</t>
  </si>
  <si>
    <t>ROCA, SHARON</t>
  </si>
  <si>
    <t>WAMBANGCO, JAN TOBEY</t>
  </si>
  <si>
    <t>SANTIAGO, VIRDIE DALE</t>
  </si>
  <si>
    <t>ALABAN, ALFRED</t>
  </si>
  <si>
    <t>AMADO, CARLO</t>
  </si>
  <si>
    <t>VILLAFLOR, CHRIZTINE KAYE</t>
  </si>
  <si>
    <t>JOSE, DANJELO</t>
  </si>
  <si>
    <t>VILLAMAR, FRANCES</t>
  </si>
  <si>
    <t>SISON, JONATHAN</t>
  </si>
  <si>
    <t>ROXAS, MAVERICK</t>
  </si>
  <si>
    <t>ROMERO, RONALD</t>
  </si>
  <si>
    <t>TANDOC, RONEL</t>
  </si>
  <si>
    <t>VERA, YANSSENE</t>
  </si>
  <si>
    <t>SANTIAGO, CAMILLE CINDEE</t>
  </si>
  <si>
    <t>BENANING, JOSCELYN APRIL</t>
  </si>
  <si>
    <t>GODOY, MYRA ELIZA</t>
  </si>
  <si>
    <t>GUCABAN, PETER</t>
  </si>
  <si>
    <t>GUIAO, CATHERINE</t>
  </si>
  <si>
    <t>LIMBO, PATRICIA JOAN</t>
  </si>
  <si>
    <t>LLANETA, SWEDEN RICHELE</t>
  </si>
  <si>
    <t>PASCUAL, PRINCETON BABES</t>
  </si>
  <si>
    <t>PELAEZ, JAMES RANDOLPH</t>
  </si>
  <si>
    <t>VERTUCIO, MARION JOY</t>
  </si>
  <si>
    <t>TRINIDAD, JOYCE ANNE</t>
  </si>
  <si>
    <t>PUNZALAN, JANICE</t>
  </si>
  <si>
    <t>MADAMBA, ERICA</t>
  </si>
  <si>
    <t>CRUZ JR., FERNANDO</t>
  </si>
  <si>
    <t>MEDINA, BRIAN</t>
  </si>
  <si>
    <t>GOMEZ, MARY PAULINE</t>
  </si>
  <si>
    <t>ROMERO, BABYLYN</t>
  </si>
  <si>
    <t>AGUILAN, BERNADETTE</t>
  </si>
  <si>
    <t>ANGELES, RODEL</t>
  </si>
  <si>
    <t>RIVERA, MARTIN</t>
  </si>
  <si>
    <t>MENDOZA-SARIP, KATHRINA</t>
  </si>
  <si>
    <t>BERNARDO, RIGEL KENT</t>
  </si>
  <si>
    <t>PEDREGOSA, KATRINA ANN</t>
  </si>
  <si>
    <t>DELA CRUZ, R-JOHN</t>
  </si>
  <si>
    <t>TAÑEDO, NELSON</t>
  </si>
  <si>
    <t>MANGUBAT, CHRISTINE</t>
  </si>
  <si>
    <t>OB SALES</t>
  </si>
  <si>
    <t>OPERATIONS</t>
  </si>
  <si>
    <t>PHARMTECH</t>
  </si>
  <si>
    <t>LND + RTS</t>
  </si>
  <si>
    <t>RESHIP</t>
  </si>
  <si>
    <t>WFM</t>
  </si>
  <si>
    <t>Contact Center Manager</t>
  </si>
  <si>
    <t>Customer Success Manager</t>
  </si>
  <si>
    <t>Sales</t>
  </si>
  <si>
    <t>Team Leader</t>
  </si>
  <si>
    <t>OPS Support</t>
  </si>
  <si>
    <t>Pharmacy Technician</t>
  </si>
  <si>
    <t>Back Office CSR</t>
  </si>
  <si>
    <t>Pharmacist</t>
  </si>
  <si>
    <t>LND Coach</t>
  </si>
  <si>
    <t>RTS Coach</t>
  </si>
  <si>
    <t>Feb 19, 2021 - 05:26:33 AM</t>
  </si>
  <si>
    <t>Feb 19, 2021 - 05:27:54 AM</t>
  </si>
  <si>
    <t>Blood pressure got high</t>
  </si>
  <si>
    <t>Feb 19, 2021 - 05:29:08 AM</t>
  </si>
  <si>
    <t>need to rest for Dr. consultation</t>
  </si>
  <si>
    <t>high fever</t>
  </si>
  <si>
    <t>No Connection</t>
  </si>
  <si>
    <t>Filed my VL Feb 02 2021 My sons Birthday</t>
  </si>
  <si>
    <t>Feb 19, 2021 - 05:29:54 AM</t>
  </si>
  <si>
    <t>Mon - Mar 01, 2021</t>
  </si>
  <si>
    <t>My Birthday and want to celebrate with my family</t>
  </si>
  <si>
    <t>Feb 23, 2021 - 09:26:39 AM</t>
  </si>
  <si>
    <t>Wed - Feb 24, 2021</t>
  </si>
  <si>
    <t>Feb 24, 2021 - 07:32:54 AM</t>
  </si>
  <si>
    <t>Fri - Feb 26, 2021</t>
  </si>
  <si>
    <t>Sat - Feb 27, 2021</t>
  </si>
  <si>
    <t>Tue - Mar 02, 2021</t>
  </si>
  <si>
    <t>Wed - Mar 03, 2021</t>
  </si>
  <si>
    <t>Thu - Mar 04, 2021</t>
  </si>
  <si>
    <t>Fri - Mar 05, 2021</t>
  </si>
  <si>
    <t>Sat - Mar 06, 2021</t>
  </si>
  <si>
    <t>Feb 24, 2021 - 07:32:55 AM</t>
  </si>
  <si>
    <t>Tue - Mar 09, 2021</t>
  </si>
  <si>
    <t>Feb 24, 2021 - 07:33:46 AM</t>
  </si>
  <si>
    <t>Wed - Mar 10, 2021</t>
  </si>
  <si>
    <t>Thu - Mar 11, 2021</t>
  </si>
  <si>
    <t>Fri - Mar 12, 2021</t>
  </si>
  <si>
    <t>Sat - Mar 13, 2021</t>
  </si>
  <si>
    <t>Tue - Mar 16, 2021</t>
  </si>
  <si>
    <t>Wed - Mar 17, 2021</t>
  </si>
  <si>
    <t>Thu - Mar 18, 2021</t>
  </si>
  <si>
    <t>For attendance checking</t>
  </si>
  <si>
    <t>Feb 19, 2021 - 05:31:34 AM</t>
  </si>
  <si>
    <t>sick leave due to colds and severe headache</t>
  </si>
  <si>
    <t>Feb 23, 2021 - 09:04:57 AM</t>
  </si>
  <si>
    <t>internet issue</t>
  </si>
  <si>
    <t>Feb 23, 2021 - 06:45:20 AM</t>
  </si>
  <si>
    <t>bereavement</t>
  </si>
  <si>
    <t>Feb 19, 2021 - 05:33:07 AM</t>
  </si>
  <si>
    <t>VILLANUEVA, EUGENIO J.</t>
  </si>
  <si>
    <t>Feb 23, 2021 - 09:05:53 AM</t>
  </si>
  <si>
    <t>Baptismal of my nephew</t>
  </si>
  <si>
    <t>* Required</t>
  </si>
  <si>
    <t>50000080</t>
  </si>
  <si>
    <t>50000106</t>
  </si>
  <si>
    <t>50000036</t>
  </si>
  <si>
    <t>JENNIFER , TABIA</t>
  </si>
  <si>
    <t>FRANCINE MONIQUE , BALLADOS</t>
  </si>
  <si>
    <t>JOHN MICHAEL , IGNACIO</t>
  </si>
  <si>
    <t>Mar 09, 2021 - 07:31:07 AM</t>
  </si>
  <si>
    <t>Sun - Mar 14, 2021</t>
  </si>
  <si>
    <t>Mar 16, 2021 - 12:55:13 AM</t>
  </si>
  <si>
    <t>STAYCATION ALREADY BOOKED IN TAGAYTAY.</t>
  </si>
  <si>
    <t>Mar 02, 2021 - 02:07:33 AM</t>
  </si>
  <si>
    <t>Mar 09, 2021 - 07:31:39 AM</t>
  </si>
  <si>
    <t>High fever</t>
  </si>
  <si>
    <t>Mar 10, 2021 - 06:47:30 AM</t>
  </si>
  <si>
    <t>Sickleave with pay</t>
  </si>
  <si>
    <t>Mar 10, 2021 - 09:33:23 AM</t>
  </si>
  <si>
    <t>Mar 09, 2021 - 07:32:08 AM</t>
  </si>
  <si>
    <t>Sun - Mar 07, 2021</t>
  </si>
  <si>
    <t>Mar 10, 2021 - 06:48:07 AM</t>
  </si>
  <si>
    <t>LEAVE</t>
  </si>
  <si>
    <t>Mar 09, 2021 - 07:34:33 AM</t>
  </si>
  <si>
    <t>Mar 10, 2021 - 06:48:59 AM</t>
  </si>
  <si>
    <t>Mar 10, 2021 - 06:49:47 AM</t>
  </si>
  <si>
    <t>SICK LEAVE DUE TO DYSMENORHEA</t>
  </si>
  <si>
    <t>Mar 10, 2021 - 06:50:16 AM</t>
  </si>
  <si>
    <t>HUSBAND HAD BEEN PUI</t>
  </si>
  <si>
    <t>Mar 23, 2021 - 02:00:52 AM</t>
  </si>
  <si>
    <t>Mar 23, 2021 - 02:00:53 AM</t>
  </si>
  <si>
    <t>CHUA, BERNARD P.</t>
  </si>
  <si>
    <t>Sick leave (HB)</t>
  </si>
  <si>
    <t>Mar 23, 2021 - 02:01:33 AM</t>
  </si>
  <si>
    <t>Fri - Mar 26, 2021</t>
  </si>
  <si>
    <t>Need to manage the construction of our house</t>
  </si>
  <si>
    <t>Apr 01, 2021 - 01:57:48 AM</t>
  </si>
  <si>
    <t>Sat - Mar 27, 2021</t>
  </si>
  <si>
    <t>Apr 01, 2021 - 01:57:49 AM</t>
  </si>
  <si>
    <t>Mar 23, 2021 - 02:02:18 AM</t>
  </si>
  <si>
    <t>Thu - Apr 01, 2021</t>
  </si>
  <si>
    <t>EXTENSION MATERNITY LEAVE</t>
  </si>
  <si>
    <t>Mar 23, 2021 - 02:02:33 AM</t>
  </si>
  <si>
    <t>Fri - Apr 02, 2021</t>
  </si>
  <si>
    <t>Mon - Apr 05, 2021</t>
  </si>
  <si>
    <t>Tue - Apr 06, 2021</t>
  </si>
  <si>
    <t>Wed - Apr 07, 2021</t>
  </si>
  <si>
    <t>Thu - Apr 08, 2021</t>
  </si>
  <si>
    <t>Mar 23, 2021 - 02:02:34 AM</t>
  </si>
  <si>
    <t>Fri - Apr 09, 2021</t>
  </si>
  <si>
    <t>Mon - Apr 12, 2021</t>
  </si>
  <si>
    <t>Tue - Apr 13, 2021</t>
  </si>
  <si>
    <t>Wed - Apr 14, 2021</t>
  </si>
  <si>
    <t>Thu - Apr 15, 2021</t>
  </si>
  <si>
    <t>Fri - Apr 16, 2021</t>
  </si>
  <si>
    <t>Mon - Apr 19, 2021</t>
  </si>
  <si>
    <t>Tue - Apr 20, 2021</t>
  </si>
  <si>
    <t>Wed - Apr 21, 2021</t>
  </si>
  <si>
    <t>Thu - Apr 22, 2021</t>
  </si>
  <si>
    <t>JOSE, DANJELO S.</t>
  </si>
  <si>
    <t>Mar 23, 2021 - 02:03:58 AM</t>
  </si>
  <si>
    <t>Sun - Mar 21, 2021</t>
  </si>
  <si>
    <t>Ultrasound/TVS</t>
  </si>
  <si>
    <t>sick leave due to high blood pressure thanks</t>
  </si>
  <si>
    <t>Mar 24, 2021 - 02:08:26 AM</t>
  </si>
  <si>
    <t>Mar 23, 2021 - 02:04:39 AM</t>
  </si>
  <si>
    <t>Mon - Mar 15, 2021</t>
  </si>
  <si>
    <t>Mar 25, 2021 - 04:23:20 AM</t>
  </si>
  <si>
    <t>Due to fever and soar throat</t>
  </si>
  <si>
    <t>Apr 01, 2021 - 01:58:32 AM</t>
  </si>
  <si>
    <t>Mon - Mar 29, 2021</t>
  </si>
  <si>
    <t>Fever and soar throat</t>
  </si>
  <si>
    <t>Mon - Mar 22, 2021</t>
  </si>
  <si>
    <t>Team Coach</t>
  </si>
  <si>
    <t>New Year's Day</t>
  </si>
  <si>
    <t>Regular Holiday</t>
  </si>
  <si>
    <t>First Philippine Republic Day</t>
  </si>
  <si>
    <t>Special Working Public Holiday</t>
  </si>
  <si>
    <t>Chinese Lunar New Year's Day</t>
  </si>
  <si>
    <t>Special Non-working Holiday</t>
  </si>
  <si>
    <t>People Power Anniversary</t>
  </si>
  <si>
    <t>Maundy Thursday</t>
  </si>
  <si>
    <t>Good Friday</t>
  </si>
  <si>
    <t>Black Saturday</t>
  </si>
  <si>
    <t>The Day of Valor</t>
  </si>
  <si>
    <t>Eidul-Fitar</t>
  </si>
  <si>
    <t>Eid al-Adha (Feast of the Sacrifice)</t>
  </si>
  <si>
    <t>Ninoy Aquino Day</t>
  </si>
  <si>
    <t>National Heroes Day</t>
  </si>
  <si>
    <t>Yamashita Surrender Day</t>
  </si>
  <si>
    <t>Feast of the Nativity of Mary</t>
  </si>
  <si>
    <t>All Saints' Day</t>
  </si>
  <si>
    <t>All Souls' Day</t>
  </si>
  <si>
    <t>Bonifacio Day</t>
  </si>
  <si>
    <t>Christmas Eve</t>
  </si>
  <si>
    <t>Rizal Day</t>
  </si>
  <si>
    <t>New Year's 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</si>
</sst>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-mmm\-yyyy"/>
    <numFmt numFmtId="165" formatCode="ddd"/>
    <numFmt numFmtId="166" formatCode="mmmm\ yyyy"/>
    <numFmt numFmtId="167" formatCode="dd"/>
    <numFmt numFmtId="168" formatCode="0.0"/>
    <numFmt numFmtId="169" formatCode="mmmm"/>
    <numFmt numFmtId="170" formatCode="[$-409]d\-mmm\-yyyy;@"/>
    <numFmt numFmtId="171" formatCode="[$-409]d\-mmm\-yy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8"/>
      <color rgb="FF3F3F76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50514F"/>
        <bgColor indexed="64"/>
      </patternFill>
    </fill>
    <fill>
      <patternFill patternType="solid">
        <fgColor rgb="FFF25F5C"/>
        <bgColor indexed="64"/>
      </patternFill>
    </fill>
    <fill>
      <patternFill patternType="solid">
        <fgColor rgb="FFFFE066"/>
        <bgColor indexed="64"/>
      </patternFill>
    </fill>
    <fill>
      <patternFill patternType="solid">
        <fgColor rgb="FF247BA0"/>
        <bgColor indexed="64"/>
      </patternFill>
    </fill>
    <fill>
      <patternFill patternType="solid">
        <fgColor rgb="FF70C1B3"/>
        <bgColor indexed="64"/>
      </patternFill>
    </fill>
    <fill>
      <patternFill patternType="gray0625"/>
    </fill>
    <fill>
      <patternFill patternType="lightTrellis">
        <fgColor theme="0" tint="-0.149967955565050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4" fillId="0" borderId="0" applyNumberFormat="0" applyFill="0" applyBorder="0" applyAlignment="0" applyProtection="0"/>
    <xf numFmtId="164" fontId="1" fillId="0" borderId="0">
      <alignment horizontal="center"/>
    </xf>
  </cellStyleXfs>
  <cellXfs count="135">
    <xf numFmtId="0" fontId="0" fillId="0" borderId="0" xfId="0"/>
    <xf numFmtId="0" fontId="0" fillId="0" borderId="0" xfId="0" applyAlignment="1">
      <alignment horizontal="left" vertical="center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7" xfId="0" applyBorder="1" applyProtection="1">
      <protection locked="0"/>
    </xf>
    <xf numFmtId="0" fontId="6" fillId="8" borderId="0" xfId="0" applyFont="1" applyFill="1" applyProtection="1">
      <protection locked="0"/>
    </xf>
    <xf numFmtId="0" fontId="6" fillId="9" borderId="0" xfId="0" applyFont="1" applyFill="1" applyProtection="1">
      <protection locked="0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1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164" fontId="6" fillId="10" borderId="6" xfId="3" applyFont="1" applyFill="1" applyBorder="1" applyAlignment="1" applyProtection="1">
      <alignment horizontal="center" vertical="center"/>
      <protection locked="0"/>
    </xf>
    <xf numFmtId="166" fontId="3" fillId="10" borderId="6" xfId="0" applyNumberFormat="1" applyFont="1" applyFill="1" applyBorder="1" applyAlignment="1" applyProtection="1">
      <alignment horizontal="center" vertical="center"/>
      <protection locked="0"/>
    </xf>
    <xf numFmtId="0" fontId="0" fillId="11" borderId="2" xfId="0" applyFill="1" applyBorder="1" applyAlignment="1" applyProtection="1">
      <alignment horizontal="center" vertical="center"/>
      <protection locked="0"/>
    </xf>
    <xf numFmtId="0" fontId="0" fillId="11" borderId="3" xfId="0" applyFill="1" applyBorder="1" applyAlignment="1" applyProtection="1">
      <alignment horizontal="center" vertical="center"/>
      <protection locked="0"/>
    </xf>
    <xf numFmtId="0" fontId="0" fillId="11" borderId="4" xfId="0" applyFill="1" applyBorder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0" fillId="11" borderId="0" xfId="0" applyFill="1" applyAlignment="1" applyProtection="1">
      <alignment horizontal="center" vertical="center"/>
      <protection locked="0"/>
    </xf>
    <xf numFmtId="0" fontId="0" fillId="11" borderId="7" xfId="0" applyFill="1" applyBorder="1" applyAlignment="1" applyProtection="1">
      <alignment horizontal="center" vertical="center"/>
      <protection locked="0"/>
    </xf>
    <xf numFmtId="0" fontId="0" fillId="11" borderId="9" xfId="0" applyFill="1" applyBorder="1" applyAlignment="1" applyProtection="1">
      <alignment horizontal="center" vertical="center"/>
      <protection locked="0"/>
    </xf>
    <xf numFmtId="0" fontId="0" fillId="11" borderId="10" xfId="0" applyFill="1" applyBorder="1" applyAlignment="1" applyProtection="1">
      <alignment horizontal="center" vertical="center"/>
      <protection locked="0"/>
    </xf>
    <xf numFmtId="0" fontId="0" fillId="11" borderId="11" xfId="0" applyFill="1" applyBorder="1" applyAlignment="1" applyProtection="1">
      <alignment horizontal="center" vertical="center"/>
      <protection locked="0"/>
    </xf>
    <xf numFmtId="0" fontId="0" fillId="0" borderId="11" xfId="0" applyBorder="1" applyProtection="1">
      <protection locked="0"/>
    </xf>
    <xf numFmtId="0" fontId="9" fillId="11" borderId="0" xfId="0" applyFont="1" applyFill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8" fillId="0" borderId="0" xfId="0" applyFont="1" applyProtection="1">
      <protection locked="0"/>
    </xf>
    <xf numFmtId="164" fontId="1" fillId="0" borderId="7" xfId="3" applyBorder="1" applyAlignme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right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167" fontId="6" fillId="10" borderId="5" xfId="0" applyNumberFormat="1" applyFont="1" applyFill="1" applyBorder="1" applyAlignment="1" applyProtection="1">
      <alignment horizontal="center" vertical="center"/>
      <protection locked="0"/>
    </xf>
    <xf numFmtId="0" fontId="2" fillId="2" borderId="12" xfId="1" applyNumberFormat="1" applyBorder="1" applyAlignment="1" applyProtection="1">
      <alignment horizontal="right" vertical="center"/>
      <protection locked="0"/>
    </xf>
    <xf numFmtId="170" fontId="0" fillId="0" borderId="0" xfId="0" applyNumberFormat="1" applyAlignment="1">
      <alignment horizontal="left" vertical="center"/>
    </xf>
    <xf numFmtId="170" fontId="7" fillId="0" borderId="0" xfId="0" applyNumberFormat="1" applyFont="1" applyAlignment="1">
      <alignment horizontal="left" vertical="center"/>
    </xf>
    <xf numFmtId="0" fontId="0" fillId="0" borderId="0" xfId="0" quotePrefix="1"/>
    <xf numFmtId="165" fontId="12" fillId="10" borderId="5" xfId="0" applyNumberFormat="1" applyFont="1" applyFill="1" applyBorder="1" applyAlignment="1" applyProtection="1">
      <alignment horizontal="center" vertical="center"/>
      <protection hidden="1"/>
    </xf>
    <xf numFmtId="0" fontId="17" fillId="11" borderId="0" xfId="0" applyFont="1" applyFill="1" applyAlignment="1" applyProtection="1">
      <alignment horizontal="center" vertical="center"/>
      <protection hidden="1"/>
    </xf>
    <xf numFmtId="170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8" fillId="0" borderId="0" xfId="0" applyFont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164" fontId="2" fillId="2" borderId="12" xfId="1" applyNumberFormat="1" applyBorder="1" applyAlignment="1" applyProtection="1">
      <alignment horizontal="right" vertical="center"/>
      <protection hidden="1"/>
    </xf>
    <xf numFmtId="169" fontId="15" fillId="0" borderId="8" xfId="0" applyNumberFormat="1" applyFont="1" applyBorder="1" applyAlignment="1" applyProtection="1">
      <alignment horizontal="center" vertical="center"/>
      <protection hidden="1"/>
    </xf>
    <xf numFmtId="0" fontId="9" fillId="0" borderId="5" xfId="0" applyFont="1" applyBorder="1" applyAlignment="1" applyProtection="1">
      <alignment horizontal="center" vertical="center"/>
      <protection hidden="1"/>
    </xf>
    <xf numFmtId="0" fontId="7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locked="0"/>
    </xf>
    <xf numFmtId="0" fontId="3" fillId="6" borderId="6" xfId="0" applyFont="1" applyFill="1" applyBorder="1" applyAlignment="1" applyProtection="1">
      <alignment horizontal="center" vertical="center"/>
      <protection locked="0"/>
    </xf>
    <xf numFmtId="0" fontId="3" fillId="12" borderId="6" xfId="0" applyFont="1" applyFill="1" applyBorder="1" applyAlignment="1" applyProtection="1">
      <alignment horizontal="center" vertical="center"/>
      <protection locked="0"/>
    </xf>
    <xf numFmtId="0" fontId="3" fillId="13" borderId="6" xfId="0" applyFont="1" applyFill="1" applyBorder="1" applyAlignment="1" applyProtection="1">
      <alignment horizontal="center" vertical="center"/>
      <protection locked="0"/>
    </xf>
    <xf numFmtId="0" fontId="3" fillId="14" borderId="6" xfId="0" applyFont="1" applyFill="1" applyBorder="1" applyAlignment="1" applyProtection="1">
      <alignment horizontal="center" vertical="center"/>
      <protection locked="0"/>
    </xf>
    <xf numFmtId="0" fontId="5" fillId="7" borderId="6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4" fillId="11" borderId="13" xfId="2" applyFill="1" applyBorder="1" applyProtection="1">
      <protection locked="0"/>
    </xf>
    <xf numFmtId="0" fontId="4" fillId="0" borderId="0" xfId="2" applyNumberFormat="1" applyProtection="1">
      <protection locked="0"/>
    </xf>
    <xf numFmtId="15" fontId="0" fillId="0" borderId="0" xfId="0" applyNumberFormat="1" applyProtection="1">
      <protection locked="0"/>
    </xf>
    <xf numFmtId="170" fontId="0" fillId="0" borderId="0" xfId="0" applyNumberFormat="1"/>
    <xf numFmtId="170" fontId="4" fillId="11" borderId="13" xfId="2" applyNumberFormat="1" applyFill="1" applyBorder="1" applyProtection="1">
      <protection locked="0"/>
    </xf>
    <xf numFmtId="167" fontId="6" fillId="10" borderId="14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right" vertical="center"/>
      <protection hidden="1"/>
    </xf>
    <xf numFmtId="0" fontId="11" fillId="0" borderId="5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/>
      <protection locked="0"/>
    </xf>
    <xf numFmtId="0" fontId="21" fillId="0" borderId="0" xfId="2" applyFont="1" applyFill="1" applyBorder="1" applyProtection="1">
      <protection locked="0"/>
    </xf>
    <xf numFmtId="14" fontId="0" fillId="0" borderId="8" xfId="0" applyNumberFormat="1" applyBorder="1" applyAlignment="1" applyProtection="1">
      <alignment horizontal="center" vertical="center"/>
      <protection locked="0"/>
    </xf>
    <xf numFmtId="0" fontId="17" fillId="11" borderId="0" xfId="0" applyFont="1" applyFill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hidden="1"/>
    </xf>
    <xf numFmtId="0" fontId="0" fillId="11" borderId="5" xfId="0" applyFill="1" applyBorder="1" applyAlignment="1" applyProtection="1">
      <alignment horizontal="center" vertical="center"/>
      <protection hidden="1"/>
    </xf>
    <xf numFmtId="0" fontId="3" fillId="3" borderId="6" xfId="0" applyFont="1" applyFill="1" applyBorder="1" applyAlignment="1" applyProtection="1">
      <alignment horizontal="center" vertical="center"/>
      <protection hidden="1"/>
    </xf>
    <xf numFmtId="0" fontId="3" fillId="4" borderId="6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3" fillId="6" borderId="6" xfId="0" applyFont="1" applyFill="1" applyBorder="1" applyAlignment="1" applyProtection="1">
      <alignment horizontal="center" vertical="center"/>
      <protection hidden="1"/>
    </xf>
    <xf numFmtId="0" fontId="3" fillId="12" borderId="6" xfId="0" applyFont="1" applyFill="1" applyBorder="1" applyAlignment="1" applyProtection="1">
      <alignment horizontal="center" vertical="center"/>
      <protection hidden="1"/>
    </xf>
    <xf numFmtId="0" fontId="0" fillId="16" borderId="3" xfId="0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21" fillId="0" borderId="0" xfId="2" applyFont="1" applyFill="1" applyBorder="1" applyProtection="1">
      <protection hidden="1"/>
    </xf>
    <xf numFmtId="0" fontId="0" fillId="16" borderId="0" xfId="0" applyFill="1" applyAlignment="1" applyProtection="1">
      <alignment horizontal="center" vertical="center"/>
      <protection hidden="1"/>
    </xf>
    <xf numFmtId="0" fontId="0" fillId="16" borderId="10" xfId="0" applyFill="1" applyBorder="1" applyAlignment="1" applyProtection="1">
      <alignment horizontal="center" vertical="center"/>
      <protection hidden="1"/>
    </xf>
    <xf numFmtId="171" fontId="0" fillId="0" borderId="0" xfId="0" applyNumberFormat="1" applyProtection="1">
      <protection locked="0"/>
    </xf>
    <xf numFmtId="16" fontId="0" fillId="0" borderId="0" xfId="0" applyNumberFormat="1"/>
    <xf numFmtId="0" fontId="5" fillId="7" borderId="8" xfId="0" applyFont="1" applyFill="1" applyBorder="1" applyAlignment="1" applyProtection="1">
      <alignment horizontal="center" vertical="center"/>
      <protection locked="0"/>
    </xf>
    <xf numFmtId="0" fontId="5" fillId="7" borderId="7" xfId="0" applyFont="1" applyFill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20" fillId="15" borderId="2" xfId="0" applyFont="1" applyFill="1" applyBorder="1" applyAlignment="1" applyProtection="1">
      <alignment horizontal="center" vertical="center"/>
      <protection locked="0"/>
    </xf>
    <xf numFmtId="0" fontId="20" fillId="15" borderId="4" xfId="0" applyFont="1" applyFill="1" applyBorder="1" applyAlignment="1" applyProtection="1">
      <alignment horizontal="center" vertical="center"/>
      <protection locked="0"/>
    </xf>
    <xf numFmtId="0" fontId="20" fillId="15" borderId="8" xfId="0" applyFont="1" applyFill="1" applyBorder="1" applyAlignment="1" applyProtection="1">
      <alignment horizontal="center" vertical="center"/>
      <protection locked="0"/>
    </xf>
    <xf numFmtId="0" fontId="20" fillId="15" borderId="7" xfId="0" applyFont="1" applyFill="1" applyBorder="1" applyAlignment="1" applyProtection="1">
      <alignment horizontal="center" vertical="center"/>
      <protection locked="0"/>
    </xf>
    <xf numFmtId="1" fontId="6" fillId="0" borderId="2" xfId="0" applyNumberFormat="1" applyFont="1" applyBorder="1" applyAlignment="1" applyProtection="1">
      <alignment horizontal="right"/>
      <protection locked="0"/>
    </xf>
    <xf numFmtId="1" fontId="6" fillId="0" borderId="4" xfId="0" applyNumberFormat="1" applyFont="1" applyBorder="1" applyAlignment="1" applyProtection="1">
      <alignment horizontal="right"/>
      <protection locked="0"/>
    </xf>
    <xf numFmtId="0" fontId="4" fillId="0" borderId="8" xfId="2" applyBorder="1" applyAlignment="1" applyProtection="1">
      <alignment horizontal="right"/>
      <protection locked="0"/>
    </xf>
    <xf numFmtId="0" fontId="4" fillId="0" borderId="7" xfId="2" applyBorder="1" applyAlignment="1" applyProtection="1">
      <alignment horizontal="right"/>
      <protection locked="0"/>
    </xf>
    <xf numFmtId="0" fontId="18" fillId="2" borderId="15" xfId="1" applyNumberFormat="1" applyFont="1" applyBorder="1" applyAlignment="1" applyProtection="1">
      <alignment horizontal="right" vertical="center"/>
      <protection locked="0"/>
    </xf>
    <xf numFmtId="0" fontId="18" fillId="2" borderId="7" xfId="1" applyNumberFormat="1" applyFont="1" applyBorder="1" applyAlignment="1" applyProtection="1">
      <alignment horizontal="right" vertical="center"/>
      <protection locked="0"/>
    </xf>
    <xf numFmtId="0" fontId="19" fillId="2" borderId="15" xfId="1" applyNumberFormat="1" applyFont="1" applyBorder="1" applyAlignment="1" applyProtection="1">
      <alignment horizontal="right" vertical="center"/>
      <protection locked="0"/>
    </xf>
    <xf numFmtId="0" fontId="19" fillId="2" borderId="7" xfId="1" applyNumberFormat="1" applyFont="1" applyBorder="1" applyAlignment="1" applyProtection="1">
      <alignment horizontal="right" vertical="center"/>
      <protection locked="0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0" fontId="3" fillId="6" borderId="8" xfId="0" applyFont="1" applyFill="1" applyBorder="1" applyAlignment="1" applyProtection="1">
      <alignment horizontal="center" vertical="center"/>
      <protection hidden="1"/>
    </xf>
    <xf numFmtId="0" fontId="3" fillId="6" borderId="7" xfId="0" applyFont="1" applyFill="1" applyBorder="1" applyAlignment="1" applyProtection="1">
      <alignment horizontal="center" vertical="center"/>
      <protection hidden="1"/>
    </xf>
    <xf numFmtId="0" fontId="3" fillId="12" borderId="8" xfId="0" applyFont="1" applyFill="1" applyBorder="1" applyAlignment="1" applyProtection="1">
      <alignment horizontal="center" vertical="center"/>
      <protection hidden="1"/>
    </xf>
    <xf numFmtId="0" fontId="3" fillId="12" borderId="7" xfId="0" applyFont="1" applyFill="1" applyBorder="1" applyAlignment="1" applyProtection="1">
      <alignment horizontal="center" vertical="center"/>
      <protection hidden="1"/>
    </xf>
    <xf numFmtId="0" fontId="3" fillId="13" borderId="8" xfId="0" applyFont="1" applyFill="1" applyBorder="1" applyAlignment="1" applyProtection="1">
      <alignment horizontal="center" vertical="center"/>
      <protection locked="0"/>
    </xf>
    <xf numFmtId="0" fontId="3" fillId="13" borderId="7" xfId="0" applyFont="1" applyFill="1" applyBorder="1" applyAlignment="1" applyProtection="1">
      <alignment horizontal="center" vertical="center"/>
      <protection locked="0"/>
    </xf>
    <xf numFmtId="0" fontId="3" fillId="14" borderId="8" xfId="0" applyFont="1" applyFill="1" applyBorder="1" applyAlignment="1" applyProtection="1">
      <alignment horizontal="center" vertical="center"/>
      <protection locked="0"/>
    </xf>
    <xf numFmtId="0" fontId="3" fillId="14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hidden="1"/>
    </xf>
    <xf numFmtId="0" fontId="3" fillId="3" borderId="7" xfId="0" applyFont="1" applyFill="1" applyBorder="1" applyAlignment="1" applyProtection="1">
      <alignment horizontal="center" vertical="center"/>
      <protection hidden="1"/>
    </xf>
    <xf numFmtId="0" fontId="3" fillId="4" borderId="8" xfId="0" applyFont="1" applyFill="1" applyBorder="1" applyAlignment="1" applyProtection="1">
      <alignment horizontal="center" vertical="center"/>
      <protection hidden="1"/>
    </xf>
    <xf numFmtId="0" fontId="3" fillId="4" borderId="7" xfId="0" applyFont="1" applyFill="1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locked="0"/>
    </xf>
    <xf numFmtId="164" fontId="1" fillId="0" borderId="10" xfId="3" applyBorder="1" applyProtection="1">
      <alignment horizontal="center"/>
      <protection locked="0"/>
    </xf>
    <xf numFmtId="0" fontId="14" fillId="3" borderId="5" xfId="0" applyFont="1" applyFill="1" applyBorder="1" applyAlignment="1" applyProtection="1">
      <alignment horizontal="center" vertical="center"/>
      <protection locked="0"/>
    </xf>
    <xf numFmtId="0" fontId="14" fillId="4" borderId="5" xfId="0" applyFont="1" applyFill="1" applyBorder="1" applyAlignment="1" applyProtection="1">
      <alignment horizontal="center" vertical="center"/>
      <protection locked="0"/>
    </xf>
    <xf numFmtId="0" fontId="13" fillId="5" borderId="5" xfId="0" applyFont="1" applyFill="1" applyBorder="1" applyAlignment="1" applyProtection="1">
      <alignment horizontal="center" vertical="center"/>
      <protection locked="0"/>
    </xf>
    <xf numFmtId="0" fontId="14" fillId="6" borderId="5" xfId="0" applyFont="1" applyFill="1" applyBorder="1" applyAlignment="1" applyProtection="1">
      <alignment horizontal="center" vertical="center"/>
      <protection locked="0"/>
    </xf>
    <xf numFmtId="0" fontId="13" fillId="7" borderId="6" xfId="0" applyFont="1" applyFill="1" applyBorder="1" applyAlignment="1" applyProtection="1">
      <alignment horizontal="center" vertical="center"/>
      <protection locked="0"/>
    </xf>
    <xf numFmtId="0" fontId="14" fillId="12" borderId="6" xfId="0" applyFont="1" applyFill="1" applyBorder="1" applyAlignment="1" applyProtection="1">
      <alignment horizontal="center" vertical="center"/>
      <protection locked="0"/>
    </xf>
    <xf numFmtId="0" fontId="14" fillId="13" borderId="6" xfId="0" applyFont="1" applyFill="1" applyBorder="1" applyAlignment="1" applyProtection="1">
      <alignment horizontal="center" vertical="center"/>
      <protection locked="0"/>
    </xf>
    <xf numFmtId="0" fontId="14" fillId="14" borderId="6" xfId="0" applyFont="1" applyFill="1" applyBorder="1" applyAlignment="1" applyProtection="1">
      <alignment horizontal="center" vertical="center"/>
      <protection locked="0"/>
    </xf>
  </cellXfs>
  <cellStyles count="4">
    <cellStyle name="Explanatory Text" xfId="2" builtinId="53"/>
    <cellStyle name="Input" xfId="1" builtinId="20"/>
    <cellStyle name="Normal" xfId="0" builtinId="0"/>
    <cellStyle name="StdDate" xfId="3" xr:uid="{AD2AC922-293F-42ED-B916-95E5CD499D02}"/>
  </cellStyles>
  <dxfs count="175">
    <dxf>
      <numFmt numFmtId="168" formatCode="0.0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0" formatCode="[$-409]d\-mmm\-yyyy;@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0" formatCode="[$-409]d\-mmm\-yyyy;@"/>
      <alignment horizontal="left" vertical="center" textRotation="0" wrapText="0" indent="0" justifyLastLine="0" shrinkToFit="0" readingOrder="0"/>
    </dxf>
    <dxf>
      <numFmt numFmtId="170" formatCode="[$-409]d\-mmm\-yyyy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numFmt numFmtId="170" formatCode="[$-409]d\-mmm\-yyyy;@"/>
      <protection locked="0" hidden="0"/>
    </dxf>
    <dxf>
      <numFmt numFmtId="170" formatCode="[$-409]d\-mmm\-yyyy;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numFmt numFmtId="170" formatCode="[$-409]d\-mmm\-yyyy;@"/>
      <protection locked="0" hidden="0"/>
    </dxf>
    <dxf>
      <numFmt numFmtId="170" formatCode="[$-409]d\-mmm\-yyyy;@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170" formatCode="[$-409]d\-mmm\-yyyy;@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1"/>
    </dxf>
    <dxf>
      <protection locked="0" hidden="0"/>
    </dxf>
    <dxf>
      <numFmt numFmtId="170" formatCode="[$-409]d\-mmm\-yyyy;@"/>
      <protection locked="0" hidden="0"/>
    </dxf>
    <dxf>
      <numFmt numFmtId="170" formatCode="[$-409]d\-mmm\-yyyy;@"/>
      <protection locked="0" hidden="0"/>
    </dxf>
    <dxf>
      <numFmt numFmtId="171" formatCode="[$-409]d\-mmm\-yy;@"/>
      <protection locked="0" hidden="0"/>
    </dxf>
    <dxf>
      <protection locked="0" hidden="0"/>
    </dxf>
    <dxf>
      <protection locked="0" hidden="0"/>
    </dxf>
    <dxf>
      <font>
        <color theme="0"/>
      </font>
      <fill>
        <patternFill patternType="gray0625"/>
      </fill>
    </dxf>
    <dxf>
      <font>
        <color theme="0"/>
      </font>
      <fill>
        <patternFill patternType="lightTrellis">
          <fgColor theme="0" tint="-0.14996795556505021"/>
          <bgColor theme="0"/>
        </patternFill>
      </fill>
    </dxf>
    <dxf>
      <font>
        <color rgb="FFFF0000"/>
      </font>
      <fill>
        <patternFill>
          <bgColor rgb="FFFFD3D3"/>
        </patternFill>
      </fill>
    </dxf>
    <dxf>
      <font>
        <color theme="6"/>
      </font>
      <fill>
        <patternFill>
          <bgColor theme="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50514F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25F5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FFE06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247BA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70C1B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gray0625"/>
      </fill>
    </dxf>
    <dxf>
      <font>
        <color theme="0"/>
      </font>
      <fill>
        <patternFill patternType="lightTrellis">
          <fgColor theme="0" tint="-0.14996795556505021"/>
          <bgColor theme="0"/>
        </patternFill>
      </fill>
    </dxf>
    <dxf>
      <font>
        <color rgb="FFFF0000"/>
      </font>
      <fill>
        <patternFill>
          <bgColor rgb="FFFFD3D3"/>
        </patternFill>
      </fill>
    </dxf>
    <dxf>
      <font>
        <color theme="6"/>
      </font>
      <fill>
        <patternFill>
          <bgColor theme="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50514F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25F5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FFE06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rgb="FF247BA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70C1B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ont>
        <color theme="0"/>
      </font>
      <fill>
        <patternFill>
          <bgColor rgb="FF50514F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25F5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rgb="FFFFE06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247BA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70C1B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/>
        <color rgb="FFFF0000"/>
      </font>
      <fill>
        <patternFill>
          <bgColor rgb="FFFFD3D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gray0625"/>
      </fill>
    </dxf>
    <dxf>
      <fill>
        <patternFill patternType="lightTrellis">
          <fgColor theme="0" tint="-0.14993743705557422"/>
          <bgColor theme="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ont>
        <color theme="0"/>
      </font>
      <fill>
        <patternFill>
          <bgColor rgb="FF50514F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25F5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rgb="FFFFE06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247BA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70C1B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/>
        <color rgb="FFFF0000"/>
      </font>
      <fill>
        <patternFill>
          <bgColor rgb="FFFFD3D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gray0625"/>
      </fill>
    </dxf>
    <dxf>
      <fill>
        <patternFill patternType="lightTrellis">
          <fgColor theme="0" tint="-0.14993743705557422"/>
          <bgColor theme="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ont>
        <color theme="0"/>
      </font>
      <fill>
        <patternFill>
          <bgColor rgb="FF50514F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25F5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rgb="FFFFE06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247BA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70C1B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/>
        <color rgb="FFFF0000"/>
      </font>
      <fill>
        <patternFill>
          <bgColor rgb="FFFFD3D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gray0625"/>
      </fill>
    </dxf>
    <dxf>
      <fill>
        <patternFill patternType="lightTrellis">
          <fgColor theme="0" tint="-0.14993743705557422"/>
          <bgColor theme="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ont>
        <color theme="0"/>
      </font>
      <fill>
        <patternFill>
          <bgColor rgb="FF50514F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F25F5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rgb="FFFFE06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theme="0"/>
      </font>
      <fill>
        <patternFill>
          <bgColor rgb="FF247BA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1"/>
      </font>
      <fill>
        <patternFill>
          <bgColor rgb="FF70C1B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/>
        <color rgb="FFFF0000"/>
      </font>
      <fill>
        <patternFill>
          <bgColor rgb="FFFFD3D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gray0625"/>
      </fill>
    </dxf>
    <dxf>
      <fill>
        <patternFill patternType="lightTrellis">
          <fgColor theme="0" tint="-0.14993743705557422"/>
          <bgColor theme="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ont>
        <color theme="0"/>
      </font>
      <fill>
        <patternFill>
          <bgColor rgb="FF50514F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rgb="FFF25F5C"/>
      </font>
      <fill>
        <patternFill>
          <bgColor rgb="FFF25F5C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rgb="FFFFE066"/>
      </font>
      <fill>
        <patternFill>
          <bgColor rgb="FFFFE06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lor rgb="FF247BA0"/>
      </font>
      <fill>
        <patternFill>
          <bgColor rgb="FF247BA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rgb="FF70C1B3"/>
      </font>
      <fill>
        <patternFill>
          <bgColor rgb="FF70C1B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color theme="6"/>
      </font>
      <fill>
        <patternFill>
          <bgColor theme="6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/>
        <color rgb="FFFFD3D3"/>
      </font>
      <fill>
        <patternFill>
          <bgColor rgb="FFFFD3D3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ill>
        <patternFill patternType="gray0625"/>
      </fill>
    </dxf>
    <dxf>
      <fill>
        <patternFill patternType="lightTrellis">
          <fgColor theme="0" tint="-0.14993743705557422"/>
          <bgColor theme="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36</xdr:col>
      <xdr:colOff>190668</xdr:colOff>
      <xdr:row>3</xdr:row>
      <xdr:rowOff>26485</xdr:rowOff>
    </xdr:from>
    <xdr:to>
      <xdr:col>42</xdr:col>
      <xdr:colOff>209383</xdr:colOff>
      <xdr:row>5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14621043" y="483685"/>
          <a:ext cx="3904915" cy="53549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MONTHLY SUMMARY</a:t>
          </a:r>
        </a:p>
      </xdr:txBody>
    </xdr:sp>
    <xdr:clientData/>
  </xdr:twoCellAnchor>
  <xdr:twoCellAnchor editAs="absolute">
    <xdr:from>
      <xdr:col>15</xdr:col>
      <xdr:colOff>28575</xdr:colOff>
      <xdr:row>1</xdr:row>
      <xdr:rowOff>76200</xdr:rowOff>
    </xdr:from>
    <xdr:to>
      <xdr:col>16</xdr:col>
      <xdr:colOff>133350</xdr:colOff>
      <xdr:row>3</xdr:row>
      <xdr:rowOff>120015</xdr:rowOff>
    </xdr:to>
    <xdr:pic macro="[0]!NextMonth">
      <xdr:nvPicPr>
        <xdr:cNvPr id="5" name="Graphic 4" descr="Play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62875" y="152400"/>
          <a:ext cx="419100" cy="424815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190500</xdr:colOff>
      <xdr:row>1</xdr:row>
      <xdr:rowOff>76200</xdr:rowOff>
    </xdr:from>
    <xdr:to>
      <xdr:col>5</xdr:col>
      <xdr:colOff>295275</xdr:colOff>
      <xdr:row>3</xdr:row>
      <xdr:rowOff>120015</xdr:rowOff>
    </xdr:to>
    <xdr:pic macro="[0]!PreviousMonth">
      <xdr:nvPicPr>
        <xdr:cNvPr id="6" name="Graphic 5" descr="Pla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4467225" y="152400"/>
          <a:ext cx="419100" cy="424815"/>
        </a:xfrm>
        <a:prstGeom prst="rect">
          <a:avLst/>
        </a:prstGeom>
      </xdr:spPr>
    </xdr:pic>
    <xdr:clientData/>
  </xdr:twoCellAnchor>
  <xdr:twoCellAnchor editAs="absolute">
    <xdr:from>
      <xdr:col>5</xdr:col>
      <xdr:colOff>228599</xdr:colOff>
      <xdr:row>0</xdr:row>
      <xdr:rowOff>28575</xdr:rowOff>
    </xdr:from>
    <xdr:to>
      <xdr:col>15</xdr:col>
      <xdr:colOff>114300</xdr:colOff>
      <xdr:row>4</xdr:row>
      <xdr:rowOff>38100</xdr:rowOff>
    </xdr:to>
    <xdr:sp macro="" textlink="$H$4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819649" y="28575"/>
          <a:ext cx="3028951" cy="657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3AD33C5-576D-4ABD-8239-D00B4CB0916D}" type="TxLink">
            <a:rPr lang="en-US" sz="3200" b="1" i="0" u="none" strike="noStrike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  <a:latin typeface="Calibri"/>
              <a:cs typeface="Calibri"/>
            </a:rPr>
            <a:pPr algn="ctr"/>
            <a:t>May 2021</a:t>
          </a:fld>
          <a:endParaRPr lang="en-US" sz="13800" b="1" i="1" u="sng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twoCellAnchor>
  <xdr:oneCellAnchor>
    <xdr:from>
      <xdr:col>3</xdr:col>
      <xdr:colOff>58925</xdr:colOff>
      <xdr:row>5</xdr:row>
      <xdr:rowOff>12198</xdr:rowOff>
    </xdr:from>
    <xdr:ext cx="5606728" cy="24885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2175" y="850398"/>
          <a:ext cx="5606728" cy="24885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1000" b="0" i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&lt;--</a:t>
          </a:r>
          <a:r>
            <a:rPr lang="en-US" sz="1000" b="0" i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Change the month here if clicking the arrows above is not working (compatibilitiy issues). Thank you!</a:t>
          </a:r>
          <a:endParaRPr lang="en-US" sz="1000" b="0" i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133350</xdr:colOff>
      <xdr:row>0</xdr:row>
      <xdr:rowOff>0</xdr:rowOff>
    </xdr:from>
    <xdr:ext cx="4210050" cy="7239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3350" y="0"/>
          <a:ext cx="4210050" cy="72390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40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APPROVED LEAVES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133350</xdr:colOff>
      <xdr:row>0</xdr:row>
      <xdr:rowOff>0</xdr:rowOff>
    </xdr:from>
    <xdr:ext cx="5848350" cy="69532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3350" y="0"/>
          <a:ext cx="5848350" cy="695325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40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PENDING LEAVE</a:t>
          </a:r>
          <a:r>
            <a:rPr lang="en-US" sz="40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REQUESTS</a:t>
          </a:r>
          <a:endParaRPr lang="en-US" sz="40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133350</xdr:colOff>
      <xdr:row>0</xdr:row>
      <xdr:rowOff>0</xdr:rowOff>
    </xdr:from>
    <xdr:ext cx="5848350" cy="6953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3350" y="0"/>
          <a:ext cx="5848350" cy="695325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l"/>
          <a:r>
            <a:rPr lang="en-US" sz="40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DECLINED LEAVE</a:t>
          </a:r>
          <a:r>
            <a:rPr lang="en-US" sz="40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REQUESTS</a:t>
          </a:r>
          <a:endParaRPr lang="en-US" sz="40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133350</xdr:colOff>
      <xdr:row>0</xdr:row>
      <xdr:rowOff>0</xdr:rowOff>
    </xdr:from>
    <xdr:ext cx="3695699" cy="7239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3350" y="0"/>
          <a:ext cx="3695699" cy="72390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0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EMPLOYEE</a:t>
          </a:r>
          <a:r>
            <a:rPr lang="en-US" sz="4000" b="1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DATA</a:t>
          </a:r>
          <a:endParaRPr lang="en-US" sz="40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02D64-A447-4831-BF21-B0C0257FA5B1}" name="T_LEAVE" displayName="T_LEAVE" ref="B3:N800" totalsRowShown="0" headerRowDxfId="53" dataDxfId="52">
  <autoFilter ref="B3:N800" xr:uid="{A9EE222F-AC44-4D0F-AE86-C36E470D6EC6}"/>
  <sortState xmlns:xlrd2="http://schemas.microsoft.com/office/spreadsheetml/2017/richdata2" ref="B4:N800">
    <sortCondition ref="B4:B800"/>
  </sortState>
  <tableColumns count="13">
    <tableColumn id="1" xr3:uid="{AFADED53-D7F9-4A9C-AF2F-E917473EE7F8}" name="DATE APPLIED" dataDxfId="51"/>
    <tableColumn id="2" xr3:uid="{A84FEF56-1EE2-4B1D-B167-9DDAA65C3513}" name="LEAVE DATE" dataDxfId="50"/>
    <tableColumn id="3" xr3:uid="{BFF165AB-454F-4239-8A35-BD3BE1441E1A}" name="EMPLOYEE NAME" dataDxfId="49"/>
    <tableColumn id="4" xr3:uid="{9BB09CD3-1271-47B0-9E08-E6AB77942221}" name="TYPE" dataDxfId="48"/>
    <tableColumn id="6" xr3:uid="{6CFC2883-E049-4980-850C-46AAC13A2E70}" name="DAYS" dataDxfId="47"/>
    <tableColumn id="7" xr3:uid="{CB03DFE6-FF56-44CD-8A05-81FA1A5A19B7}" name="PURPOSE" dataDxfId="46"/>
    <tableColumn id="5" xr3:uid="{8AF02D4A-5E63-4A5E-B501-3FAE76B79AD7}" name="ATTACHMENT" dataDxfId="45"/>
    <tableColumn id="8" xr3:uid="{474C4DB4-5B9F-402F-9E49-F1DA74B86BBD}" name="STATUS" dataDxfId="44"/>
    <tableColumn id="9" xr3:uid="{CAE74D90-090C-4D14-B4C0-132819586723}" name="DATE AND TIME APPROVED" dataDxfId="43"/>
    <tableColumn id="17" xr3:uid="{8BA7BDD5-9F8F-46C1-A6BD-3103D637771F}" name="NAME" dataDxfId="42">
      <calculatedColumnFormula>IFERROR(LEFT(T_LEAVE[[#This Row],[EMPLOYEE NAME]],LEN(T_LEAVE[[#This Row],[EMPLOYEE NAME]])-3),"")</calculatedColumnFormula>
    </tableColumn>
    <tableColumn id="16" xr3:uid="{F00E47CF-F861-41B8-BBE4-3FEF84BAE727}" name="DATE" dataDxfId="41">
      <calculatedColumnFormula>IFERROR(DATEVALUE(TEXT(RIGHT(T_LEAVE[[#This Row],[LEAVE DATE]],LEN(T_LEAVE[[#This Row],[LEAVE DATE]])-6),"[$-en-US]d-mmm-yyyy;@")),"")</calculatedColumnFormula>
    </tableColumn>
    <tableColumn id="15" xr3:uid="{0C1115BF-AC29-434E-97CD-ED3C7DA4529D}" name="LEAVE TYPE" dataDxfId="40">
      <calculatedColumnFormula>IFERROR(TRIM(T_LEAVE[[#This Row],[TYPE]]),"")</calculatedColumnFormula>
    </tableColumn>
    <tableColumn id="14" xr3:uid="{024487F8-7C78-4DDA-B387-18BA1778BE82}" name="LEAVE CODE" dataDxfId="39" dataCellStyle="Explanatory Text">
      <calculatedColumnFormula>IFERROR(VLOOKUP(T_LEAVE[[#This Row],[LEAVE TYPE]],T_LEAVETYPE[#All],2,0),"")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A602D7-FE55-4D21-86DC-E55FF27DFDAF}" name="T_PENDING" displayName="T_PENDING" ref="B3:J4" totalsRowShown="0" headerRowDxfId="38" dataDxfId="37">
  <autoFilter ref="B3:J4" xr:uid="{AF97ACBF-66BC-4756-8F33-AB904722CE19}"/>
  <tableColumns count="9">
    <tableColumn id="1" xr3:uid="{5E092358-C1F3-497E-BEB2-9DE82BBCBBB0}" name="Date Applied " dataDxfId="36"/>
    <tableColumn id="2" xr3:uid="{1244237D-5511-4398-AF45-3A0919691B34}" name="Leave Date " dataDxfId="35"/>
    <tableColumn id="3" xr3:uid="{8D292136-FB2F-435C-AA64-96C3096B0592}" name="Name " dataDxfId="34"/>
    <tableColumn id="4" xr3:uid="{BF504AA0-E50A-4A93-8B8B-5D2E44C21927}" name="Type " dataDxfId="33"/>
    <tableColumn id="6" xr3:uid="{C728F4B9-74F8-42D3-8EB4-754C3001CE42}" name="Leave Balance " dataDxfId="32">
      <calculatedColumnFormula>IFERROR(VLOOKUP(T_PENDING[[#This Row],[Type ]],T_LEAVETYPE[#All],2,0),"")</calculatedColumnFormula>
    </tableColumn>
    <tableColumn id="7" xr3:uid="{E964DA4B-D906-4D0F-AEAF-C0668F4AB803}" name="DAY TYPE " dataDxfId="31"/>
    <tableColumn id="5" xr3:uid="{55F425AA-584A-4009-8B5B-7B92C8F7EDDD}" name="PURPOSE " dataDxfId="30"/>
    <tableColumn id="8" xr3:uid="{A897B148-951F-474E-8C02-DC3E09F68A1E}" name="Attachment " dataDxfId="29"/>
    <tableColumn id="9" xr3:uid="{106BE6F1-DF90-430D-B3AC-9D9EF19554DC}" name="Approved By" dataDxfId="2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099D69-0D3A-4895-BA75-6B2161532928}" name="T_DECLINED" displayName="T_DECLINED" ref="B3:J4" totalsRowShown="0" headerRowDxfId="27" dataDxfId="26">
  <autoFilter ref="B3:J4" xr:uid="{CAD1969D-AC92-416D-89BE-6E0FFD327DFD}"/>
  <tableColumns count="9">
    <tableColumn id="1" xr3:uid="{8116C3F2-770B-4319-AAB4-3A5B5D26176D}" name="Date Applied " dataDxfId="25"/>
    <tableColumn id="2" xr3:uid="{8B5086EC-9CB8-403E-A2A4-7BAF23404975}" name="Leave Date " dataDxfId="24"/>
    <tableColumn id="3" xr3:uid="{BA566350-984A-4A39-AD52-B13CD551E7C7}" name="Name " dataDxfId="23"/>
    <tableColumn id="4" xr3:uid="{A6DFFDFA-1263-4B14-849A-DD2BD832B970}" name="Type " dataDxfId="22"/>
    <tableColumn id="6" xr3:uid="{D3417F63-D925-4C22-AB7B-9FDB785FB5DA}" name="days " dataDxfId="21"/>
    <tableColumn id="7" xr3:uid="{EA8334CF-F111-4711-A0CF-7E01646B0E8F}" name="Purpose " dataDxfId="20"/>
    <tableColumn id="5" xr3:uid="{AE2CCDC3-7DF1-4E49-9CFA-8D94CEF39C61}" name="Attachment " dataDxfId="19"/>
    <tableColumn id="8" xr3:uid="{C1F107AD-3FB0-4F72-B880-67BAB5ED3676}" name="Status " dataDxfId="18"/>
    <tableColumn id="9" xr3:uid="{D05509C2-4AF4-42FB-99A4-E58E6077493C}" name="DATE AND TIME APPROVED" dataDxfId="1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B4412-6CC9-4FF3-9033-D4D2FFA93FDA}" name="T_EMP" displayName="T_EMP" ref="B3:G92" totalsRowShown="0" headerRowDxfId="16" dataDxfId="15">
  <autoFilter ref="B3:G92" xr:uid="{6D8B31FB-56BA-4F59-824E-DA950F9C7E10}"/>
  <tableColumns count="6">
    <tableColumn id="6" xr3:uid="{9117D02A-199D-4F10-B859-0396A8D874FD}" name="ID NO" dataDxfId="14"/>
    <tableColumn id="1" xr3:uid="{ADB75AE1-7BE3-4D55-8995-8027253E7034}" name="NAME" dataDxfId="13"/>
    <tableColumn id="2" xr3:uid="{6F3A69FF-1D9C-4582-B28B-B73BBA1289C2}" name="DEPARTMENT" dataDxfId="12"/>
    <tableColumn id="3" xr3:uid="{BFEECE1D-0143-4FF4-B59E-B19D93D4709C}" name="ROLE" dataDxfId="11"/>
    <tableColumn id="4" xr3:uid="{212D50ED-1520-4609-9F30-A78CD599A856}" name="START DATE" dataDxfId="10"/>
    <tableColumn id="5" xr3:uid="{0E3C789E-0684-4C71-8901-9D1AEF45CBB4}" name="TERMINATION DATE" dataDxfId="9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AD98A6-DA93-4373-9892-3AB9812ED89D}" name="T_HOLS" displayName="T_HOLS" ref="A2:B25" totalsRowShown="0" headerRowDxfId="8" dataDxfId="7">
  <autoFilter ref="A2:B25" xr:uid="{D730C9A1-C508-4ECF-AF8D-562C855BC80E}"/>
  <tableColumns count="2">
    <tableColumn id="1" xr3:uid="{21FDB0E4-A655-49A5-A133-30A582F8A9DA}" name="HOLIDAY" dataDxfId="6"/>
    <tableColumn id="2" xr3:uid="{E7D65C46-EE8F-4B92-B1B3-B050FA27BCC3}" name="DATE" dataDxfId="5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F1EE14-889C-44B2-B4A4-FD9D679F717A}" name="T_LEAVETYPE" displayName="T_LEAVETYPE" ref="F2:H10" totalsRowShown="0" headerRowDxfId="4" dataDxfId="3">
  <autoFilter ref="F2:H10" xr:uid="{5B8DF170-5201-4E41-BF3B-08DF2C434F83}"/>
  <tableColumns count="3">
    <tableColumn id="1" xr3:uid="{43F1C06A-AEC7-4AA1-88E0-CF36A7B61CB2}" name="LEAVE TYPE" dataDxfId="2"/>
    <tableColumn id="2" xr3:uid="{550B8BE4-D0B2-42F5-8B3D-9B41F57DD805}" name="LEAVE CODE" dataDxfId="1"/>
    <tableColumn id="3" xr3:uid="{F852C78B-C28C-429C-9B43-20FA9A24616A}" name="DAY 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4532-9E89-4EAB-95FA-889FB43BAB91}">
  <sheetPr codeName="Sheet5">
    <tabColor theme="7"/>
  </sheetPr>
  <dimension ref="A1:AR109"/>
  <sheetViews>
    <sheetView showGridLines="0" tabSelected="1" workbookViewId="0">
      <pane xSplit="3" ySplit="8" topLeftCell="D48" activePane="bottomRight" state="frozen"/>
      <selection pane="topRight" activeCell="C1" sqref="C1"/>
      <selection pane="bottomLeft" activeCell="A9" sqref="A9"/>
      <selection pane="bottomRight" activeCell="E58" sqref="E58"/>
    </sheetView>
  </sheetViews>
  <sheetFormatPr defaultRowHeight="15" x14ac:dyDescent="0.25"/>
  <cols>
    <col min="1" max="1" width="3.42578125" style="4" customWidth="1"/>
    <col min="2" max="2" width="30.7109375" style="4" customWidth="1"/>
    <col min="3" max="3" width="25.28515625" style="4" bestFit="1" customWidth="1"/>
    <col min="4" max="34" width="4.7109375" style="28" customWidth="1"/>
    <col min="35" max="35" width="1.140625" style="4" customWidth="1"/>
    <col min="36" max="43" width="9.7109375" style="28" customWidth="1"/>
    <col min="44" max="44" width="9.7109375" style="4" customWidth="1"/>
    <col min="45" max="16384" width="9.140625" style="4"/>
  </cols>
  <sheetData>
    <row r="1" spans="1:44" ht="6" customHeight="1" x14ac:dyDescent="0.25"/>
    <row r="2" spans="1:44" ht="15" customHeight="1" x14ac:dyDescent="0.25">
      <c r="B2" s="103">
        <v>5</v>
      </c>
      <c r="C2" s="104"/>
      <c r="D2" s="16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8"/>
      <c r="AJ2" s="38"/>
      <c r="AK2" s="39"/>
      <c r="AL2" s="39"/>
      <c r="AM2" s="39"/>
      <c r="AN2" s="39"/>
      <c r="AO2" s="39"/>
      <c r="AP2" s="39"/>
      <c r="AQ2" s="39"/>
      <c r="AR2" s="3"/>
    </row>
    <row r="3" spans="1:44" x14ac:dyDescent="0.25">
      <c r="B3" s="105" t="s">
        <v>8</v>
      </c>
      <c r="C3" s="106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40" t="s">
        <v>9</v>
      </c>
      <c r="AF3" s="26" t="s">
        <v>10</v>
      </c>
      <c r="AG3" s="20"/>
      <c r="AH3" s="21"/>
      <c r="AJ3" s="78"/>
      <c r="AR3" s="6"/>
    </row>
    <row r="4" spans="1:44" x14ac:dyDescent="0.25">
      <c r="B4" s="107">
        <v>2021</v>
      </c>
      <c r="C4" s="108"/>
      <c r="D4" s="19"/>
      <c r="E4" s="20"/>
      <c r="F4" s="20"/>
      <c r="G4" s="79"/>
      <c r="H4" s="47" t="str">
        <f>CONCATENATE(B6," ",YR)</f>
        <v>May 2021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7" t="s">
        <v>13</v>
      </c>
      <c r="AF4" s="26" t="s">
        <v>14</v>
      </c>
      <c r="AG4" s="20"/>
      <c r="AH4" s="21"/>
      <c r="AJ4" s="27"/>
      <c r="AR4" s="6"/>
    </row>
    <row r="5" spans="1:44" x14ac:dyDescent="0.25">
      <c r="B5" s="105" t="s">
        <v>12</v>
      </c>
      <c r="C5" s="106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8" t="s">
        <v>16</v>
      </c>
      <c r="AF5" s="26" t="s">
        <v>17</v>
      </c>
      <c r="AG5" s="20"/>
      <c r="AH5" s="21"/>
      <c r="AJ5" s="78"/>
      <c r="AR5" s="6"/>
    </row>
    <row r="6" spans="1:44" ht="23.25" x14ac:dyDescent="0.25">
      <c r="B6" s="109" t="s">
        <v>31</v>
      </c>
      <c r="C6" s="110"/>
      <c r="D6" s="22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4"/>
      <c r="AJ6" s="80" t="b">
        <f>AJ5&lt;AJ4</f>
        <v>0</v>
      </c>
      <c r="AR6" s="6"/>
    </row>
    <row r="7" spans="1:44" x14ac:dyDescent="0.25">
      <c r="B7" s="14"/>
      <c r="C7" s="14"/>
      <c r="D7" s="46">
        <f t="shared" ref="D7:AH7" si="0">D8</f>
        <v>44317</v>
      </c>
      <c r="E7" s="46">
        <f t="shared" si="0"/>
        <v>44318</v>
      </c>
      <c r="F7" s="46">
        <f t="shared" si="0"/>
        <v>44319</v>
      </c>
      <c r="G7" s="46">
        <f t="shared" si="0"/>
        <v>44320</v>
      </c>
      <c r="H7" s="46">
        <f t="shared" si="0"/>
        <v>44321</v>
      </c>
      <c r="I7" s="46">
        <f t="shared" si="0"/>
        <v>44322</v>
      </c>
      <c r="J7" s="46">
        <f t="shared" si="0"/>
        <v>44323</v>
      </c>
      <c r="K7" s="46">
        <f t="shared" si="0"/>
        <v>44324</v>
      </c>
      <c r="L7" s="46">
        <f t="shared" si="0"/>
        <v>44325</v>
      </c>
      <c r="M7" s="46">
        <f t="shared" si="0"/>
        <v>44326</v>
      </c>
      <c r="N7" s="46">
        <f t="shared" si="0"/>
        <v>44327</v>
      </c>
      <c r="O7" s="46">
        <f t="shared" si="0"/>
        <v>44328</v>
      </c>
      <c r="P7" s="46">
        <f t="shared" si="0"/>
        <v>44329</v>
      </c>
      <c r="Q7" s="46">
        <f t="shared" si="0"/>
        <v>44330</v>
      </c>
      <c r="R7" s="46">
        <f t="shared" si="0"/>
        <v>44331</v>
      </c>
      <c r="S7" s="46">
        <f t="shared" si="0"/>
        <v>44332</v>
      </c>
      <c r="T7" s="46">
        <f t="shared" si="0"/>
        <v>44333</v>
      </c>
      <c r="U7" s="46">
        <f t="shared" si="0"/>
        <v>44334</v>
      </c>
      <c r="V7" s="46">
        <f t="shared" si="0"/>
        <v>44335</v>
      </c>
      <c r="W7" s="46">
        <f t="shared" si="0"/>
        <v>44336</v>
      </c>
      <c r="X7" s="46">
        <f t="shared" si="0"/>
        <v>44337</v>
      </c>
      <c r="Y7" s="46">
        <f t="shared" si="0"/>
        <v>44338</v>
      </c>
      <c r="Z7" s="46">
        <f t="shared" si="0"/>
        <v>44339</v>
      </c>
      <c r="AA7" s="46">
        <f t="shared" si="0"/>
        <v>44340</v>
      </c>
      <c r="AB7" s="46">
        <f t="shared" si="0"/>
        <v>44341</v>
      </c>
      <c r="AC7" s="46">
        <f t="shared" si="0"/>
        <v>44342</v>
      </c>
      <c r="AD7" s="46">
        <f t="shared" si="0"/>
        <v>44343</v>
      </c>
      <c r="AE7" s="46">
        <f t="shared" si="0"/>
        <v>44344</v>
      </c>
      <c r="AF7" s="46">
        <f t="shared" si="0"/>
        <v>44345</v>
      </c>
      <c r="AG7" s="46">
        <f t="shared" si="0"/>
        <v>44346</v>
      </c>
      <c r="AH7" s="46">
        <f t="shared" si="0"/>
        <v>44347</v>
      </c>
      <c r="AJ7" s="81">
        <f>SUM(AJ9:AJ97)</f>
        <v>0</v>
      </c>
      <c r="AK7" s="81">
        <f t="shared" ref="AK7:AQ7" si="1">SUM(AK9:AK97)</f>
        <v>0</v>
      </c>
      <c r="AL7" s="81">
        <f t="shared" si="1"/>
        <v>0</v>
      </c>
      <c r="AM7" s="81">
        <f t="shared" si="1"/>
        <v>0</v>
      </c>
      <c r="AN7" s="81">
        <f t="shared" si="1"/>
        <v>0</v>
      </c>
      <c r="AO7" s="81">
        <f t="shared" si="1"/>
        <v>0</v>
      </c>
      <c r="AP7" s="81">
        <f t="shared" si="1"/>
        <v>0</v>
      </c>
      <c r="AQ7" s="81">
        <f t="shared" si="1"/>
        <v>0</v>
      </c>
      <c r="AR7" s="25"/>
    </row>
    <row r="8" spans="1:44" x14ac:dyDescent="0.25">
      <c r="B8" s="15" t="s">
        <v>0</v>
      </c>
      <c r="C8" s="15" t="s">
        <v>3</v>
      </c>
      <c r="D8" s="73">
        <f>DATE(YR,MATCH($B$6,L_MTHS,0),1)</f>
        <v>44317</v>
      </c>
      <c r="E8" s="73">
        <f t="shared" ref="E8:AH8" si="2">IF(MONTH($D$8+COLUMN(E8)-COLUMN($D$8))&lt;&gt;MONTH($D$8),"",D8+1)</f>
        <v>44318</v>
      </c>
      <c r="F8" s="73">
        <f t="shared" si="2"/>
        <v>44319</v>
      </c>
      <c r="G8" s="73">
        <f t="shared" si="2"/>
        <v>44320</v>
      </c>
      <c r="H8" s="73">
        <f t="shared" si="2"/>
        <v>44321</v>
      </c>
      <c r="I8" s="73">
        <f t="shared" si="2"/>
        <v>44322</v>
      </c>
      <c r="J8" s="73">
        <f t="shared" si="2"/>
        <v>44323</v>
      </c>
      <c r="K8" s="73">
        <f t="shared" si="2"/>
        <v>44324</v>
      </c>
      <c r="L8" s="73">
        <f t="shared" si="2"/>
        <v>44325</v>
      </c>
      <c r="M8" s="73">
        <f t="shared" si="2"/>
        <v>44326</v>
      </c>
      <c r="N8" s="73">
        <f t="shared" si="2"/>
        <v>44327</v>
      </c>
      <c r="O8" s="73">
        <f t="shared" si="2"/>
        <v>44328</v>
      </c>
      <c r="P8" s="73">
        <f t="shared" si="2"/>
        <v>44329</v>
      </c>
      <c r="Q8" s="73">
        <f t="shared" si="2"/>
        <v>44330</v>
      </c>
      <c r="R8" s="73">
        <f t="shared" si="2"/>
        <v>44331</v>
      </c>
      <c r="S8" s="73">
        <f t="shared" si="2"/>
        <v>44332</v>
      </c>
      <c r="T8" s="73">
        <f t="shared" si="2"/>
        <v>44333</v>
      </c>
      <c r="U8" s="73">
        <f t="shared" si="2"/>
        <v>44334</v>
      </c>
      <c r="V8" s="73">
        <f t="shared" si="2"/>
        <v>44335</v>
      </c>
      <c r="W8" s="73">
        <f t="shared" si="2"/>
        <v>44336</v>
      </c>
      <c r="X8" s="73">
        <f t="shared" si="2"/>
        <v>44337</v>
      </c>
      <c r="Y8" s="73">
        <f t="shared" si="2"/>
        <v>44338</v>
      </c>
      <c r="Z8" s="73">
        <f t="shared" si="2"/>
        <v>44339</v>
      </c>
      <c r="AA8" s="73">
        <f t="shared" si="2"/>
        <v>44340</v>
      </c>
      <c r="AB8" s="73">
        <f t="shared" si="2"/>
        <v>44341</v>
      </c>
      <c r="AC8" s="73">
        <f t="shared" si="2"/>
        <v>44342</v>
      </c>
      <c r="AD8" s="73">
        <f t="shared" si="2"/>
        <v>44343</v>
      </c>
      <c r="AE8" s="73">
        <f t="shared" si="2"/>
        <v>44344</v>
      </c>
      <c r="AF8" s="73">
        <f t="shared" si="2"/>
        <v>44345</v>
      </c>
      <c r="AG8" s="73">
        <f t="shared" si="2"/>
        <v>44346</v>
      </c>
      <c r="AH8" s="73">
        <f t="shared" si="2"/>
        <v>44347</v>
      </c>
      <c r="AJ8" s="82" t="str">
        <f>IFERROR(INDEX(L_LEAVE,1),"")</f>
        <v>VL</v>
      </c>
      <c r="AK8" s="83" t="str">
        <f>IFERROR(INDEX(L_LEAVE,2),"")</f>
        <v>SL</v>
      </c>
      <c r="AL8" s="84" t="str">
        <f>IFERROR(INDEX(L_LEAVE,3),"")</f>
        <v>UL</v>
      </c>
      <c r="AM8" s="85" t="str">
        <f>IFERROR(INDEX(L_LEAVE,4),"")</f>
        <v>HD</v>
      </c>
      <c r="AN8" s="86" t="str">
        <f>IFERROR(INDEX(L_LEAVE,5),"")</f>
        <v>ML</v>
      </c>
      <c r="AO8" s="64" t="s">
        <v>68</v>
      </c>
      <c r="AP8" s="65" t="s">
        <v>69</v>
      </c>
      <c r="AQ8" s="66" t="s">
        <v>55</v>
      </c>
      <c r="AR8" s="76" t="s">
        <v>66</v>
      </c>
    </row>
    <row r="9" spans="1:44" x14ac:dyDescent="0.25">
      <c r="A9" s="77">
        <v>1</v>
      </c>
      <c r="B9" s="74" t="str">
        <f>IFERROR(INDEX(T_EMP[NAME],ROW(B9)-ROW($B$8)),"")</f>
        <v>FESTEJO, ABIEL CAMBYSES</v>
      </c>
      <c r="C9" s="87" t="str">
        <f>IFERROR(INDEX(T_EMP[DEPARTMENT],ROW(B9)-ROW($C$8)),"")</f>
        <v>IB SUPPORT</v>
      </c>
      <c r="D9" s="75" t="str">
        <f>IFERROR(IF(D$8="","NA",IF(D$8&lt;INDEX(T_EMP[START DATE],ROW($B9)-ROW($B$8)),"NE",IF(AND(INDEX(T_EMP[TERMINATION DATE],ROW($B9)-ROW($B$8))&gt;0,D$8&gt;INDEX(T_EMP[TERMINATION DATE],ROW($B9)-ROW($B$8))),"NE",IF(NOT(ISERROR(MATCH(D$8,L_HOLS,0))),"H",IF(INDEX(L_WKNDVAL,WEEKDAY(D$8,1))=1,"WKND",INDEX(T_LEAVE[LEAVE CODE],SUMPRODUCT(--(T_LEAVE[NAME]=$B9),--(T_LEAVE[DATE]&lt;=D$8),--(T_LEAVE[DATE]&gt;=D$8),ROW(T_LEAVE[LEAVE CODE]))-ROW(T_LEAVE[#Headers]))))))),"")</f>
        <v>H</v>
      </c>
      <c r="E9" s="75" t="str">
        <f>IFERROR(IF(E$8="","NA",IF(E$8&lt;INDEX(T_EMP[START DATE],ROW($B9)-ROW($B$8)),"NE",IF(AND(INDEX(T_EMP[TERMINATION DATE],ROW($B9)-ROW($B$8))&gt;0,E$8&gt;INDEX(T_EMP[TERMINATION DATE],ROW($B9)-ROW($B$8))),"NE",IF(NOT(ISERROR(MATCH(E$8,L_HOLS,0))),"H",IF(INDEX(L_WKNDVAL,WEEKDAY(E$8,1))=1,"WKND",INDEX(T_LEAVE[LEAVE CODE],SUMPRODUCT(--(T_LEAVE[NAME]=$B9),--(T_LEAVE[DATE]&lt;=E$8),--(T_LEAVE[DATE]&gt;=E$8),ROW(T_LEAVE[LEAVE CODE]))-ROW(T_LEAVE[#Headers]))))))),"")</f>
        <v/>
      </c>
      <c r="F9" s="75" t="str">
        <f>IFERROR(IF(F$8="","NA",IF(F$8&lt;INDEX(T_EMP[START DATE],ROW($B9)-ROW($B$8)),"NE",IF(AND(INDEX(T_EMP[TERMINATION DATE],ROW($B9)-ROW($B$8))&gt;0,F$8&gt;INDEX(T_EMP[TERMINATION DATE],ROW($B9)-ROW($B$8))),"NE",IF(NOT(ISERROR(MATCH(F$8,L_HOLS,0))),"H",IF(INDEX(L_WKNDVAL,WEEKDAY(F$8,1))=1,"WKND",INDEX(T_LEAVE[LEAVE CODE],SUMPRODUCT(--(T_LEAVE[NAME]=$B9),--(T_LEAVE[DATE]&lt;=F$8),--(T_LEAVE[DATE]&gt;=F$8),ROW(T_LEAVE[LEAVE CODE]))-ROW(T_LEAVE[#Headers]))))))),"")</f>
        <v/>
      </c>
      <c r="G9" s="75" t="str">
        <f>IFERROR(IF(G$8="","NA",IF(G$8&lt;INDEX(T_EMP[START DATE],ROW($B9)-ROW($B$8)),"NE",IF(AND(INDEX(T_EMP[TERMINATION DATE],ROW($B9)-ROW($B$8))&gt;0,G$8&gt;INDEX(T_EMP[TERMINATION DATE],ROW($B9)-ROW($B$8))),"NE",IF(NOT(ISERROR(MATCH(G$8,L_HOLS,0))),"H",IF(INDEX(L_WKNDVAL,WEEKDAY(G$8,1))=1,"WKND",INDEX(T_LEAVE[LEAVE CODE],SUMPRODUCT(--(T_LEAVE[NAME]=$B9),--(T_LEAVE[DATE]&lt;=G$8),--(T_LEAVE[DATE]&gt;=G$8),ROW(T_LEAVE[LEAVE CODE]))-ROW(T_LEAVE[#Headers]))))))),"")</f>
        <v/>
      </c>
      <c r="H9" s="75" t="str">
        <f>IFERROR(IF(H$8="","NA",IF(H$8&lt;INDEX(T_EMP[START DATE],ROW($B9)-ROW($B$8)),"NE",IF(AND(INDEX(T_EMP[TERMINATION DATE],ROW($B9)-ROW($B$8))&gt;0,H$8&gt;INDEX(T_EMP[TERMINATION DATE],ROW($B9)-ROW($B$8))),"NE",IF(NOT(ISERROR(MATCH(H$8,L_HOLS,0))),"H",IF(INDEX(L_WKNDVAL,WEEKDAY(H$8,1))=1,"WKND",INDEX(T_LEAVE[LEAVE CODE],SUMPRODUCT(--(T_LEAVE[NAME]=$B9),--(T_LEAVE[DATE]&lt;=H$8),--(T_LEAVE[DATE]&gt;=H$8),ROW(T_LEAVE[LEAVE CODE]))-ROW(T_LEAVE[#Headers]))))))),"")</f>
        <v/>
      </c>
      <c r="I9" s="75" t="str">
        <f>IFERROR(IF(I$8="","NA",IF(I$8&lt;INDEX(T_EMP[START DATE],ROW($B9)-ROW($B$8)),"NE",IF(AND(INDEX(T_EMP[TERMINATION DATE],ROW($B9)-ROW($B$8))&gt;0,I$8&gt;INDEX(T_EMP[TERMINATION DATE],ROW($B9)-ROW($B$8))),"NE",IF(NOT(ISERROR(MATCH(I$8,L_HOLS,0))),"H",IF(INDEX(L_WKNDVAL,WEEKDAY(I$8,1))=1,"WKND",INDEX(T_LEAVE[LEAVE CODE],SUMPRODUCT(--(T_LEAVE[NAME]=$B9),--(T_LEAVE[DATE]&lt;=I$8),--(T_LEAVE[DATE]&gt;=I$8),ROW(T_LEAVE[LEAVE CODE]))-ROW(T_LEAVE[#Headers]))))))),"")</f>
        <v/>
      </c>
      <c r="J9" s="75" t="str">
        <f>IFERROR(IF(J$8="","NA",IF(J$8&lt;INDEX(T_EMP[START DATE],ROW($B9)-ROW($B$8)),"NE",IF(AND(INDEX(T_EMP[TERMINATION DATE],ROW($B9)-ROW($B$8))&gt;0,J$8&gt;INDEX(T_EMP[TERMINATION DATE],ROW($B9)-ROW($B$8))),"NE",IF(NOT(ISERROR(MATCH(J$8,L_HOLS,0))),"H",IF(INDEX(L_WKNDVAL,WEEKDAY(J$8,1))=1,"WKND",INDEX(T_LEAVE[LEAVE CODE],SUMPRODUCT(--(T_LEAVE[NAME]=$B9),--(T_LEAVE[DATE]&lt;=J$8),--(T_LEAVE[DATE]&gt;=J$8),ROW(T_LEAVE[LEAVE CODE]))-ROW(T_LEAVE[#Headers]))))))),"")</f>
        <v/>
      </c>
      <c r="K9" s="75" t="str">
        <f>IFERROR(IF(K$8="","NA",IF(K$8&lt;INDEX(T_EMP[START DATE],ROW($B9)-ROW($B$8)),"NE",IF(AND(INDEX(T_EMP[TERMINATION DATE],ROW($B9)-ROW($B$8))&gt;0,K$8&gt;INDEX(T_EMP[TERMINATION DATE],ROW($B9)-ROW($B$8))),"NE",IF(NOT(ISERROR(MATCH(K$8,L_HOLS,0))),"H",IF(INDEX(L_WKNDVAL,WEEKDAY(K$8,1))=1,"WKND",INDEX(T_LEAVE[LEAVE CODE],SUMPRODUCT(--(T_LEAVE[NAME]=$B9),--(T_LEAVE[DATE]&lt;=K$8),--(T_LEAVE[DATE]&gt;=K$8),ROW(T_LEAVE[LEAVE CODE]))-ROW(T_LEAVE[#Headers]))))))),"")</f>
        <v/>
      </c>
      <c r="L9" s="75" t="str">
        <f>IFERROR(IF(L$8="","NA",IF(L$8&lt;INDEX(T_EMP[START DATE],ROW($B9)-ROW($B$8)),"NE",IF(AND(INDEX(T_EMP[TERMINATION DATE],ROW($B9)-ROW($B$8))&gt;0,L$8&gt;INDEX(T_EMP[TERMINATION DATE],ROW($B9)-ROW($B$8))),"NE",IF(NOT(ISERROR(MATCH(L$8,L_HOLS,0))),"H",IF(INDEX(L_WKNDVAL,WEEKDAY(L$8,1))=1,"WKND",INDEX(T_LEAVE[LEAVE CODE],SUMPRODUCT(--(T_LEAVE[NAME]=$B9),--(T_LEAVE[DATE]&lt;=L$8),--(T_LEAVE[DATE]&gt;=L$8),ROW(T_LEAVE[LEAVE CODE]))-ROW(T_LEAVE[#Headers]))))))),"")</f>
        <v/>
      </c>
      <c r="M9" s="75" t="str">
        <f>IFERROR(IF(M$8="","NA",IF(M$8&lt;INDEX(T_EMP[START DATE],ROW($B9)-ROW($B$8)),"NE",IF(AND(INDEX(T_EMP[TERMINATION DATE],ROW($B9)-ROW($B$8))&gt;0,M$8&gt;INDEX(T_EMP[TERMINATION DATE],ROW($B9)-ROW($B$8))),"NE",IF(NOT(ISERROR(MATCH(M$8,L_HOLS,0))),"H",IF(INDEX(L_WKNDVAL,WEEKDAY(M$8,1))=1,"WKND",INDEX(T_LEAVE[LEAVE CODE],SUMPRODUCT(--(T_LEAVE[NAME]=$B9),--(T_LEAVE[DATE]&lt;=M$8),--(T_LEAVE[DATE]&gt;=M$8),ROW(T_LEAVE[LEAVE CODE]))-ROW(T_LEAVE[#Headers]))))))),"")</f>
        <v/>
      </c>
      <c r="N9" s="75" t="str">
        <f>IFERROR(IF(N$8="","NA",IF(N$8&lt;INDEX(T_EMP[START DATE],ROW($B9)-ROW($B$8)),"NE",IF(AND(INDEX(T_EMP[TERMINATION DATE],ROW($B9)-ROW($B$8))&gt;0,N$8&gt;INDEX(T_EMP[TERMINATION DATE],ROW($B9)-ROW($B$8))),"NE",IF(NOT(ISERROR(MATCH(N$8,L_HOLS,0))),"H",IF(INDEX(L_WKNDVAL,WEEKDAY(N$8,1))=1,"WKND",INDEX(T_LEAVE[LEAVE CODE],SUMPRODUCT(--(T_LEAVE[NAME]=$B9),--(T_LEAVE[DATE]&lt;=N$8),--(T_LEAVE[DATE]&gt;=N$8),ROW(T_LEAVE[LEAVE CODE]))-ROW(T_LEAVE[#Headers]))))))),"")</f>
        <v/>
      </c>
      <c r="O9" s="75" t="str">
        <f>IFERROR(IF(O$8="","NA",IF(O$8&lt;INDEX(T_EMP[START DATE],ROW($B9)-ROW($B$8)),"NE",IF(AND(INDEX(T_EMP[TERMINATION DATE],ROW($B9)-ROW($B$8))&gt;0,O$8&gt;INDEX(T_EMP[TERMINATION DATE],ROW($B9)-ROW($B$8))),"NE",IF(NOT(ISERROR(MATCH(O$8,L_HOLS,0))),"H",IF(INDEX(L_WKNDVAL,WEEKDAY(O$8,1))=1,"WKND",INDEX(T_LEAVE[LEAVE CODE],SUMPRODUCT(--(T_LEAVE[NAME]=$B9),--(T_LEAVE[DATE]&lt;=O$8),--(T_LEAVE[DATE]&gt;=O$8),ROW(T_LEAVE[LEAVE CODE]))-ROW(T_LEAVE[#Headers]))))))),"")</f>
        <v/>
      </c>
      <c r="P9" s="75" t="str">
        <f>IFERROR(IF(P$8="","NA",IF(P$8&lt;INDEX(T_EMP[START DATE],ROW($B9)-ROW($B$8)),"NE",IF(AND(INDEX(T_EMP[TERMINATION DATE],ROW($B9)-ROW($B$8))&gt;0,P$8&gt;INDEX(T_EMP[TERMINATION DATE],ROW($B9)-ROW($B$8))),"NE",IF(NOT(ISERROR(MATCH(P$8,L_HOLS,0))),"H",IF(INDEX(L_WKNDVAL,WEEKDAY(P$8,1))=1,"WKND",INDEX(T_LEAVE[LEAVE CODE],SUMPRODUCT(--(T_LEAVE[NAME]=$B9),--(T_LEAVE[DATE]&lt;=P$8),--(T_LEAVE[DATE]&gt;=P$8),ROW(T_LEAVE[LEAVE CODE]))-ROW(T_LEAVE[#Headers]))))))),"")</f>
        <v>H</v>
      </c>
      <c r="Q9" s="75" t="str">
        <f>IFERROR(IF(Q$8="","NA",IF(Q$8&lt;INDEX(T_EMP[START DATE],ROW($B9)-ROW($B$8)),"NE",IF(AND(INDEX(T_EMP[TERMINATION DATE],ROW($B9)-ROW($B$8))&gt;0,Q$8&gt;INDEX(T_EMP[TERMINATION DATE],ROW($B9)-ROW($B$8))),"NE",IF(NOT(ISERROR(MATCH(Q$8,L_HOLS,0))),"H",IF(INDEX(L_WKNDVAL,WEEKDAY(Q$8,1))=1,"WKND",INDEX(T_LEAVE[LEAVE CODE],SUMPRODUCT(--(T_LEAVE[NAME]=$B9),--(T_LEAVE[DATE]&lt;=Q$8),--(T_LEAVE[DATE]&gt;=Q$8),ROW(T_LEAVE[LEAVE CODE]))-ROW(T_LEAVE[#Headers]))))))),"")</f>
        <v/>
      </c>
      <c r="R9" s="75" t="str">
        <f>IFERROR(IF(R$8="","NA",IF(R$8&lt;INDEX(T_EMP[START DATE],ROW($B9)-ROW($B$8)),"NE",IF(AND(INDEX(T_EMP[TERMINATION DATE],ROW($B9)-ROW($B$8))&gt;0,R$8&gt;INDEX(T_EMP[TERMINATION DATE],ROW($B9)-ROW($B$8))),"NE",IF(NOT(ISERROR(MATCH(R$8,L_HOLS,0))),"H",IF(INDEX(L_WKNDVAL,WEEKDAY(R$8,1))=1,"WKND",INDEX(T_LEAVE[LEAVE CODE],SUMPRODUCT(--(T_LEAVE[NAME]=$B9),--(T_LEAVE[DATE]&lt;=R$8),--(T_LEAVE[DATE]&gt;=R$8),ROW(T_LEAVE[LEAVE CODE]))-ROW(T_LEAVE[#Headers]))))))),"")</f>
        <v/>
      </c>
      <c r="S9" s="75" t="str">
        <f>IFERROR(IF(S$8="","NA",IF(S$8&lt;INDEX(T_EMP[START DATE],ROW($B9)-ROW($B$8)),"NE",IF(AND(INDEX(T_EMP[TERMINATION DATE],ROW($B9)-ROW($B$8))&gt;0,S$8&gt;INDEX(T_EMP[TERMINATION DATE],ROW($B9)-ROW($B$8))),"NE",IF(NOT(ISERROR(MATCH(S$8,L_HOLS,0))),"H",IF(INDEX(L_WKNDVAL,WEEKDAY(S$8,1))=1,"WKND",INDEX(T_LEAVE[LEAVE CODE],SUMPRODUCT(--(T_LEAVE[NAME]=$B9),--(T_LEAVE[DATE]&lt;=S$8),--(T_LEAVE[DATE]&gt;=S$8),ROW(T_LEAVE[LEAVE CODE]))-ROW(T_LEAVE[#Headers]))))))),"")</f>
        <v/>
      </c>
      <c r="T9" s="75" t="str">
        <f>IFERROR(IF(T$8="","NA",IF(T$8&lt;INDEX(T_EMP[START DATE],ROW($B9)-ROW($B$8)),"NE",IF(AND(INDEX(T_EMP[TERMINATION DATE],ROW($B9)-ROW($B$8))&gt;0,T$8&gt;INDEX(T_EMP[TERMINATION DATE],ROW($B9)-ROW($B$8))),"NE",IF(NOT(ISERROR(MATCH(T$8,L_HOLS,0))),"H",IF(INDEX(L_WKNDVAL,WEEKDAY(T$8,1))=1,"WKND",INDEX(T_LEAVE[LEAVE CODE],SUMPRODUCT(--(T_LEAVE[NAME]=$B9),--(T_LEAVE[DATE]&lt;=T$8),--(T_LEAVE[DATE]&gt;=T$8),ROW(T_LEAVE[LEAVE CODE]))-ROW(T_LEAVE[#Headers]))))))),"")</f>
        <v/>
      </c>
      <c r="U9" s="75" t="str">
        <f>IFERROR(IF(U$8="","NA",IF(U$8&lt;INDEX(T_EMP[START DATE],ROW($B9)-ROW($B$8)),"NE",IF(AND(INDEX(T_EMP[TERMINATION DATE],ROW($B9)-ROW($B$8))&gt;0,U$8&gt;INDEX(T_EMP[TERMINATION DATE],ROW($B9)-ROW($B$8))),"NE",IF(NOT(ISERROR(MATCH(U$8,L_HOLS,0))),"H",IF(INDEX(L_WKNDVAL,WEEKDAY(U$8,1))=1,"WKND",INDEX(T_LEAVE[LEAVE CODE],SUMPRODUCT(--(T_LEAVE[NAME]=$B9),--(T_LEAVE[DATE]&lt;=U$8),--(T_LEAVE[DATE]&gt;=U$8),ROW(T_LEAVE[LEAVE CODE]))-ROW(T_LEAVE[#Headers]))))))),"")</f>
        <v/>
      </c>
      <c r="V9" s="75" t="str">
        <f>IFERROR(IF(V$8="","NA",IF(V$8&lt;INDEX(T_EMP[START DATE],ROW($B9)-ROW($B$8)),"NE",IF(AND(INDEX(T_EMP[TERMINATION DATE],ROW($B9)-ROW($B$8))&gt;0,V$8&gt;INDEX(T_EMP[TERMINATION DATE],ROW($B9)-ROW($B$8))),"NE",IF(NOT(ISERROR(MATCH(V$8,L_HOLS,0))),"H",IF(INDEX(L_WKNDVAL,WEEKDAY(V$8,1))=1,"WKND",INDEX(T_LEAVE[LEAVE CODE],SUMPRODUCT(--(T_LEAVE[NAME]=$B9),--(T_LEAVE[DATE]&lt;=V$8),--(T_LEAVE[DATE]&gt;=V$8),ROW(T_LEAVE[LEAVE CODE]))-ROW(T_LEAVE[#Headers]))))))),"")</f>
        <v/>
      </c>
      <c r="W9" s="75" t="str">
        <f>IFERROR(IF(W$8="","NA",IF(W$8&lt;INDEX(T_EMP[START DATE],ROW($B9)-ROW($B$8)),"NE",IF(AND(INDEX(T_EMP[TERMINATION DATE],ROW($B9)-ROW($B$8))&gt;0,W$8&gt;INDEX(T_EMP[TERMINATION DATE],ROW($B9)-ROW($B$8))),"NE",IF(NOT(ISERROR(MATCH(W$8,L_HOLS,0))),"H",IF(INDEX(L_WKNDVAL,WEEKDAY(W$8,1))=1,"WKND",INDEX(T_LEAVE[LEAVE CODE],SUMPRODUCT(--(T_LEAVE[NAME]=$B9),--(T_LEAVE[DATE]&lt;=W$8),--(T_LEAVE[DATE]&gt;=W$8),ROW(T_LEAVE[LEAVE CODE]))-ROW(T_LEAVE[#Headers]))))))),"")</f>
        <v/>
      </c>
      <c r="X9" s="75" t="str">
        <f>IFERROR(IF(X$8="","NA",IF(X$8&lt;INDEX(T_EMP[START DATE],ROW($B9)-ROW($B$8)),"NE",IF(AND(INDEX(T_EMP[TERMINATION DATE],ROW($B9)-ROW($B$8))&gt;0,X$8&gt;INDEX(T_EMP[TERMINATION DATE],ROW($B9)-ROW($B$8))),"NE",IF(NOT(ISERROR(MATCH(X$8,L_HOLS,0))),"H",IF(INDEX(L_WKNDVAL,WEEKDAY(X$8,1))=1,"WKND",INDEX(T_LEAVE[LEAVE CODE],SUMPRODUCT(--(T_LEAVE[NAME]=$B9),--(T_LEAVE[DATE]&lt;=X$8),--(T_LEAVE[DATE]&gt;=X$8),ROW(T_LEAVE[LEAVE CODE]))-ROW(T_LEAVE[#Headers]))))))),"")</f>
        <v/>
      </c>
      <c r="Y9" s="75" t="str">
        <f>IFERROR(IF(Y$8="","NA",IF(Y$8&lt;INDEX(T_EMP[START DATE],ROW($B9)-ROW($B$8)),"NE",IF(AND(INDEX(T_EMP[TERMINATION DATE],ROW($B9)-ROW($B$8))&gt;0,Y$8&gt;INDEX(T_EMP[TERMINATION DATE],ROW($B9)-ROW($B$8))),"NE",IF(NOT(ISERROR(MATCH(Y$8,L_HOLS,0))),"H",IF(INDEX(L_WKNDVAL,WEEKDAY(Y$8,1))=1,"WKND",INDEX(T_LEAVE[LEAVE CODE],SUMPRODUCT(--(T_LEAVE[NAME]=$B9),--(T_LEAVE[DATE]&lt;=Y$8),--(T_LEAVE[DATE]&gt;=Y$8),ROW(T_LEAVE[LEAVE CODE]))-ROW(T_LEAVE[#Headers]))))))),"")</f>
        <v/>
      </c>
      <c r="Z9" s="75" t="str">
        <f>IFERROR(IF(Z$8="","NA",IF(Z$8&lt;INDEX(T_EMP[START DATE],ROW($B9)-ROW($B$8)),"NE",IF(AND(INDEX(T_EMP[TERMINATION DATE],ROW($B9)-ROW($B$8))&gt;0,Z$8&gt;INDEX(T_EMP[TERMINATION DATE],ROW($B9)-ROW($B$8))),"NE",IF(NOT(ISERROR(MATCH(Z$8,L_HOLS,0))),"H",IF(INDEX(L_WKNDVAL,WEEKDAY(Z$8,1))=1,"WKND",INDEX(T_LEAVE[LEAVE CODE],SUMPRODUCT(--(T_LEAVE[NAME]=$B9),--(T_LEAVE[DATE]&lt;=Z$8),--(T_LEAVE[DATE]&gt;=Z$8),ROW(T_LEAVE[LEAVE CODE]))-ROW(T_LEAVE[#Headers]))))))),"")</f>
        <v/>
      </c>
      <c r="AA9" s="75" t="str">
        <f>IFERROR(IF(AA$8="","NA",IF(AA$8&lt;INDEX(T_EMP[START DATE],ROW($B9)-ROW($B$8)),"NE",IF(AND(INDEX(T_EMP[TERMINATION DATE],ROW($B9)-ROW($B$8))&gt;0,AA$8&gt;INDEX(T_EMP[TERMINATION DATE],ROW($B9)-ROW($B$8))),"NE",IF(NOT(ISERROR(MATCH(AA$8,L_HOLS,0))),"H",IF(INDEX(L_WKNDVAL,WEEKDAY(AA$8,1))=1,"WKND",INDEX(T_LEAVE[LEAVE CODE],SUMPRODUCT(--(T_LEAVE[NAME]=$B9),--(T_LEAVE[DATE]&lt;=AA$8),--(T_LEAVE[DATE]&gt;=AA$8),ROW(T_LEAVE[LEAVE CODE]))-ROW(T_LEAVE[#Headers]))))))),"")</f>
        <v/>
      </c>
      <c r="AB9" s="75" t="str">
        <f>IFERROR(IF(AB$8="","NA",IF(AB$8&lt;INDEX(T_EMP[START DATE],ROW($B9)-ROW($B$8)),"NE",IF(AND(INDEX(T_EMP[TERMINATION DATE],ROW($B9)-ROW($B$8))&gt;0,AB$8&gt;INDEX(T_EMP[TERMINATION DATE],ROW($B9)-ROW($B$8))),"NE",IF(NOT(ISERROR(MATCH(AB$8,L_HOLS,0))),"H",IF(INDEX(L_WKNDVAL,WEEKDAY(AB$8,1))=1,"WKND",INDEX(T_LEAVE[LEAVE CODE],SUMPRODUCT(--(T_LEAVE[NAME]=$B9),--(T_LEAVE[DATE]&lt;=AB$8),--(T_LEAVE[DATE]&gt;=AB$8),ROW(T_LEAVE[LEAVE CODE]))-ROW(T_LEAVE[#Headers]))))))),"")</f>
        <v/>
      </c>
      <c r="AC9" s="75" t="str">
        <f>IFERROR(IF(AC$8="","NA",IF(AC$8&lt;INDEX(T_EMP[START DATE],ROW($B9)-ROW($B$8)),"NE",IF(AND(INDEX(T_EMP[TERMINATION DATE],ROW($B9)-ROW($B$8))&gt;0,AC$8&gt;INDEX(T_EMP[TERMINATION DATE],ROW($B9)-ROW($B$8))),"NE",IF(NOT(ISERROR(MATCH(AC$8,L_HOLS,0))),"H",IF(INDEX(L_WKNDVAL,WEEKDAY(AC$8,1))=1,"WKND",INDEX(T_LEAVE[LEAVE CODE],SUMPRODUCT(--(T_LEAVE[NAME]=$B9),--(T_LEAVE[DATE]&lt;=AC$8),--(T_LEAVE[DATE]&gt;=AC$8),ROW(T_LEAVE[LEAVE CODE]))-ROW(T_LEAVE[#Headers]))))))),"")</f>
        <v/>
      </c>
      <c r="AD9" s="75" t="str">
        <f>IFERROR(IF(AD$8="","NA",IF(AD$8&lt;INDEX(T_EMP[START DATE],ROW($B9)-ROW($B$8)),"NE",IF(AND(INDEX(T_EMP[TERMINATION DATE],ROW($B9)-ROW($B$8))&gt;0,AD$8&gt;INDEX(T_EMP[TERMINATION DATE],ROW($B9)-ROW($B$8))),"NE",IF(NOT(ISERROR(MATCH(AD$8,L_HOLS,0))),"H",IF(INDEX(L_WKNDVAL,WEEKDAY(AD$8,1))=1,"WKND",INDEX(T_LEAVE[LEAVE CODE],SUMPRODUCT(--(T_LEAVE[NAME]=$B9),--(T_LEAVE[DATE]&lt;=AD$8),--(T_LEAVE[DATE]&gt;=AD$8),ROW(T_LEAVE[LEAVE CODE]))-ROW(T_LEAVE[#Headers]))))))),"")</f>
        <v/>
      </c>
      <c r="AE9" s="75" t="str">
        <f>IFERROR(IF(AE$8="","NA",IF(AE$8&lt;INDEX(T_EMP[START DATE],ROW($B9)-ROW($B$8)),"NE",IF(AND(INDEX(T_EMP[TERMINATION DATE],ROW($B9)-ROW($B$8))&gt;0,AE$8&gt;INDEX(T_EMP[TERMINATION DATE],ROW($B9)-ROW($B$8))),"NE",IF(NOT(ISERROR(MATCH(AE$8,L_HOLS,0))),"H",IF(INDEX(L_WKNDVAL,WEEKDAY(AE$8,1))=1,"WKND",INDEX(T_LEAVE[LEAVE CODE],SUMPRODUCT(--(T_LEAVE[NAME]=$B9),--(T_LEAVE[DATE]&lt;=AE$8),--(T_LEAVE[DATE]&gt;=AE$8),ROW(T_LEAVE[LEAVE CODE]))-ROW(T_LEAVE[#Headers]))))))),"")</f>
        <v/>
      </c>
      <c r="AF9" s="75" t="str">
        <f>IFERROR(IF(AF$8="","NA",IF(AF$8&lt;INDEX(T_EMP[START DATE],ROW($B9)-ROW($B$8)),"NE",IF(AND(INDEX(T_EMP[TERMINATION DATE],ROW($B9)-ROW($B$8))&gt;0,AF$8&gt;INDEX(T_EMP[TERMINATION DATE],ROW($B9)-ROW($B$8))),"NE",IF(NOT(ISERROR(MATCH(AF$8,L_HOLS,0))),"H",IF(INDEX(L_WKNDVAL,WEEKDAY(AF$8,1))=1,"WKND",INDEX(T_LEAVE[LEAVE CODE],SUMPRODUCT(--(T_LEAVE[NAME]=$B9),--(T_LEAVE[DATE]&lt;=AF$8),--(T_LEAVE[DATE]&gt;=AF$8),ROW(T_LEAVE[LEAVE CODE]))-ROW(T_LEAVE[#Headers]))))))),"")</f>
        <v/>
      </c>
      <c r="AG9" s="75" t="str">
        <f>IFERROR(IF(AG$8="","NA",IF(AG$8&lt;INDEX(T_EMP[START DATE],ROW($B9)-ROW($B$8)),"NE",IF(AND(INDEX(T_EMP[TERMINATION DATE],ROW($B9)-ROW($B$8))&gt;0,AG$8&gt;INDEX(T_EMP[TERMINATION DATE],ROW($B9)-ROW($B$8))),"NE",IF(NOT(ISERROR(MATCH(AG$8,L_HOLS,0))),"H",IF(INDEX(L_WKNDVAL,WEEKDAY(AG$8,1))=1,"WKND",INDEX(T_LEAVE[LEAVE CODE],SUMPRODUCT(--(T_LEAVE[NAME]=$B9),--(T_LEAVE[DATE]&lt;=AG$8),--(T_LEAVE[DATE]&gt;=AG$8),ROW(T_LEAVE[LEAVE CODE]))-ROW(T_LEAVE[#Headers]))))))),"")</f>
        <v/>
      </c>
      <c r="AH9" s="75" t="str">
        <f>IFERROR(IF(AH$8="","NA",IF(AH$8&lt;INDEX(T_EMP[START DATE],ROW($B9)-ROW($B$8)),"NE",IF(AND(INDEX(T_EMP[TERMINATION DATE],ROW($B9)-ROW($B$8))&gt;0,AH$8&gt;INDEX(T_EMP[TERMINATION DATE],ROW($B9)-ROW($B$8))),"NE",IF(NOT(ISERROR(MATCH(AH$8,L_HOLS,0))),"H",IF(INDEX(L_WKNDVAL,WEEKDAY(AH$8,1))=1,"WKND",INDEX(T_LEAVE[LEAVE CODE],SUMPRODUCT(--(T_LEAVE[NAME]=$B9),--(T_LEAVE[DATE]&lt;=AH$8),--(T_LEAVE[DATE]&gt;=AH$8),ROW(T_LEAVE[LEAVE CODE]))-ROW(T_LEAVE[#Headers]))))))),"")</f>
        <v/>
      </c>
      <c r="AJ9" s="88">
        <f>IF(OR($B9="",AJ$8=""),"",COUNTIFS($D9:$AH9,AJ$8)*INDEX(T_LEAVETYPE[DAY VALUE],1))</f>
        <v>0</v>
      </c>
      <c r="AK9" s="88">
        <f>IF(OR($B9="",AK$8=""),"",COUNTIFS($D9:$AH9,AK$8)*INDEX(T_LEAVETYPE[DAY VALUE],2))</f>
        <v>0</v>
      </c>
      <c r="AL9" s="88">
        <f>IF(OR($B9="",AL$8=""),"",COUNTIFS($D9:$AH9,AL$8)*INDEX(T_LEAVETYPE[DAY VALUE],3))</f>
        <v>0</v>
      </c>
      <c r="AM9" s="88">
        <f>IF(OR($B9="",AM$8=""),"",COUNTIFS($D9:$AH9,AM$8)*INDEX(T_LEAVETYPE[DAY VALUE],4))</f>
        <v>0</v>
      </c>
      <c r="AN9" s="88">
        <f>IF(OR($B9="",AN$8=""),"",COUNTIFS($D9:$AH9,AN$8)*INDEX(T_LEAVETYPE[DAY VALUE],5))</f>
        <v>0</v>
      </c>
      <c r="AO9" s="88">
        <f>IF(OR($B9="",AO$8=""),"",COUNTIFS($D9:$AH9,AO$8)*INDEX(T_LEAVETYPE[DAY VALUE],6))</f>
        <v>0</v>
      </c>
      <c r="AP9" s="88">
        <f>IF(OR($B9="",AP$8=""),"",COUNTIFS($D9:$AH9,AP$8)*INDEX(T_LEAVETYPE[DAY VALUE],7))</f>
        <v>0</v>
      </c>
      <c r="AQ9" s="88">
        <f>IF(OR($B9="",AQ$8=""),"",COUNTIFS($D9:$AH9,AQ$8)*INDEX(T_LEAVETYPE[DAY VALUE],8))</f>
        <v>0</v>
      </c>
      <c r="AR9" s="89">
        <f t="shared" ref="AR9:AR43" si="3">IF(B9="","",SUM(AJ9:AQ9))</f>
        <v>0</v>
      </c>
    </row>
    <row r="10" spans="1:44" x14ac:dyDescent="0.25">
      <c r="A10" s="90">
        <f>A9+1</f>
        <v>2</v>
      </c>
      <c r="B10" s="74" t="str">
        <f>IFERROR(INDEX(T_EMP[NAME],ROW(B10)-ROW($B$8)),"")</f>
        <v>GORDORA, AIREEN GRACE</v>
      </c>
      <c r="C10" s="91" t="str">
        <f>IFERROR(INDEX(T_EMP[DEPARTMENT],ROW(B10)-ROW($C$8)),"")</f>
        <v>IB SUPPORT</v>
      </c>
      <c r="D10" s="75" t="str">
        <f>IFERROR(IF(D$8="","NA",IF(D$8&lt;INDEX(T_EMP[START DATE],ROW($B10)-ROW($B$8)),"NE",IF(AND(INDEX(T_EMP[TERMINATION DATE],ROW($B10)-ROW($B$8))&gt;0,D$8&gt;INDEX(T_EMP[TERMINATION DATE],ROW($B10)-ROW($B$8))),"NE",IF(NOT(ISERROR(MATCH(D$8,L_HOLS,0))),"H",IF(INDEX(L_WKNDVAL,WEEKDAY(D$8,1))=1,"WKND",INDEX(T_LEAVE[LEAVE CODE],SUMPRODUCT(--(T_LEAVE[NAME]=$B10),--(T_LEAVE[DATE]&lt;=D$8),--(T_LEAVE[DATE]&gt;=D$8),ROW(T_LEAVE[LEAVE CODE]))-ROW(T_LEAVE[#Headers]))))))),"")</f>
        <v>H</v>
      </c>
      <c r="E10" s="75" t="str">
        <f>IFERROR(IF(E$8="","NA",IF(E$8&lt;INDEX(T_EMP[START DATE],ROW($B10)-ROW($B$8)),"NE",IF(AND(INDEX(T_EMP[TERMINATION DATE],ROW($B10)-ROW($B$8))&gt;0,E$8&gt;INDEX(T_EMP[TERMINATION DATE],ROW($B10)-ROW($B$8))),"NE",IF(NOT(ISERROR(MATCH(E$8,L_HOLS,0))),"H",IF(INDEX(L_WKNDVAL,WEEKDAY(E$8,1))=1,"WKND",INDEX(T_LEAVE[LEAVE CODE],SUMPRODUCT(--(T_LEAVE[NAME]=$B10),--(T_LEAVE[DATE]&lt;=E$8),--(T_LEAVE[DATE]&gt;=E$8),ROW(T_LEAVE[LEAVE CODE]))-ROW(T_LEAVE[#Headers]))))))),"")</f>
        <v/>
      </c>
      <c r="F10" s="75" t="str">
        <f>IFERROR(IF(F$8="","NA",IF(F$8&lt;INDEX(T_EMP[START DATE],ROW($B10)-ROW($B$8)),"NE",IF(AND(INDEX(T_EMP[TERMINATION DATE],ROW($B10)-ROW($B$8))&gt;0,F$8&gt;INDEX(T_EMP[TERMINATION DATE],ROW($B10)-ROW($B$8))),"NE",IF(NOT(ISERROR(MATCH(F$8,L_HOLS,0))),"H",IF(INDEX(L_WKNDVAL,WEEKDAY(F$8,1))=1,"WKND",INDEX(T_LEAVE[LEAVE CODE],SUMPRODUCT(--(T_LEAVE[NAME]=$B10),--(T_LEAVE[DATE]&lt;=F$8),--(T_LEAVE[DATE]&gt;=F$8),ROW(T_LEAVE[LEAVE CODE]))-ROW(T_LEAVE[#Headers]))))))),"")</f>
        <v/>
      </c>
      <c r="G10" s="75" t="str">
        <f>IFERROR(IF(G$8="","NA",IF(G$8&lt;INDEX(T_EMP[START DATE],ROW($B10)-ROW($B$8)),"NE",IF(AND(INDEX(T_EMP[TERMINATION DATE],ROW($B10)-ROW($B$8))&gt;0,G$8&gt;INDEX(T_EMP[TERMINATION DATE],ROW($B10)-ROW($B$8))),"NE",IF(NOT(ISERROR(MATCH(G$8,L_HOLS,0))),"H",IF(INDEX(L_WKNDVAL,WEEKDAY(G$8,1))=1,"WKND",INDEX(T_LEAVE[LEAVE CODE],SUMPRODUCT(--(T_LEAVE[NAME]=$B10),--(T_LEAVE[DATE]&lt;=G$8),--(T_LEAVE[DATE]&gt;=G$8),ROW(T_LEAVE[LEAVE CODE]))-ROW(T_LEAVE[#Headers]))))))),"")</f>
        <v/>
      </c>
      <c r="H10" s="75" t="str">
        <f>IFERROR(IF(H$8="","NA",IF(H$8&lt;INDEX(T_EMP[START DATE],ROW($B10)-ROW($B$8)),"NE",IF(AND(INDEX(T_EMP[TERMINATION DATE],ROW($B10)-ROW($B$8))&gt;0,H$8&gt;INDEX(T_EMP[TERMINATION DATE],ROW($B10)-ROW($B$8))),"NE",IF(NOT(ISERROR(MATCH(H$8,L_HOLS,0))),"H",IF(INDEX(L_WKNDVAL,WEEKDAY(H$8,1))=1,"WKND",INDEX(T_LEAVE[LEAVE CODE],SUMPRODUCT(--(T_LEAVE[NAME]=$B10),--(T_LEAVE[DATE]&lt;=H$8),--(T_LEAVE[DATE]&gt;=H$8),ROW(T_LEAVE[LEAVE CODE]))-ROW(T_LEAVE[#Headers]))))))),"")</f>
        <v/>
      </c>
      <c r="I10" s="75" t="str">
        <f>IFERROR(IF(I$8="","NA",IF(I$8&lt;INDEX(T_EMP[START DATE],ROW($B10)-ROW($B$8)),"NE",IF(AND(INDEX(T_EMP[TERMINATION DATE],ROW($B10)-ROW($B$8))&gt;0,I$8&gt;INDEX(T_EMP[TERMINATION DATE],ROW($B10)-ROW($B$8))),"NE",IF(NOT(ISERROR(MATCH(I$8,L_HOLS,0))),"H",IF(INDEX(L_WKNDVAL,WEEKDAY(I$8,1))=1,"WKND",INDEX(T_LEAVE[LEAVE CODE],SUMPRODUCT(--(T_LEAVE[NAME]=$B10),--(T_LEAVE[DATE]&lt;=I$8),--(T_LEAVE[DATE]&gt;=I$8),ROW(T_LEAVE[LEAVE CODE]))-ROW(T_LEAVE[#Headers]))))))),"")</f>
        <v/>
      </c>
      <c r="J10" s="75" t="str">
        <f>IFERROR(IF(J$8="","NA",IF(J$8&lt;INDEX(T_EMP[START DATE],ROW($B10)-ROW($B$8)),"NE",IF(AND(INDEX(T_EMP[TERMINATION DATE],ROW($B10)-ROW($B$8))&gt;0,J$8&gt;INDEX(T_EMP[TERMINATION DATE],ROW($B10)-ROW($B$8))),"NE",IF(NOT(ISERROR(MATCH(J$8,L_HOLS,0))),"H",IF(INDEX(L_WKNDVAL,WEEKDAY(J$8,1))=1,"WKND",INDEX(T_LEAVE[LEAVE CODE],SUMPRODUCT(--(T_LEAVE[NAME]=$B10),--(T_LEAVE[DATE]&lt;=J$8),--(T_LEAVE[DATE]&gt;=J$8),ROW(T_LEAVE[LEAVE CODE]))-ROW(T_LEAVE[#Headers]))))))),"")</f>
        <v/>
      </c>
      <c r="K10" s="75" t="str">
        <f>IFERROR(IF(K$8="","NA",IF(K$8&lt;INDEX(T_EMP[START DATE],ROW($B10)-ROW($B$8)),"NE",IF(AND(INDEX(T_EMP[TERMINATION DATE],ROW($B10)-ROW($B$8))&gt;0,K$8&gt;INDEX(T_EMP[TERMINATION DATE],ROW($B10)-ROW($B$8))),"NE",IF(NOT(ISERROR(MATCH(K$8,L_HOLS,0))),"H",IF(INDEX(L_WKNDVAL,WEEKDAY(K$8,1))=1,"WKND",INDEX(T_LEAVE[LEAVE CODE],SUMPRODUCT(--(T_LEAVE[NAME]=$B10),--(T_LEAVE[DATE]&lt;=K$8),--(T_LEAVE[DATE]&gt;=K$8),ROW(T_LEAVE[LEAVE CODE]))-ROW(T_LEAVE[#Headers]))))))),"")</f>
        <v/>
      </c>
      <c r="L10" s="75" t="str">
        <f>IFERROR(IF(L$8="","NA",IF(L$8&lt;INDEX(T_EMP[START DATE],ROW($B10)-ROW($B$8)),"NE",IF(AND(INDEX(T_EMP[TERMINATION DATE],ROW($B10)-ROW($B$8))&gt;0,L$8&gt;INDEX(T_EMP[TERMINATION DATE],ROW($B10)-ROW($B$8))),"NE",IF(NOT(ISERROR(MATCH(L$8,L_HOLS,0))),"H",IF(INDEX(L_WKNDVAL,WEEKDAY(L$8,1))=1,"WKND",INDEX(T_LEAVE[LEAVE CODE],SUMPRODUCT(--(T_LEAVE[NAME]=$B10),--(T_LEAVE[DATE]&lt;=L$8),--(T_LEAVE[DATE]&gt;=L$8),ROW(T_LEAVE[LEAVE CODE]))-ROW(T_LEAVE[#Headers]))))))),"")</f>
        <v/>
      </c>
      <c r="M10" s="75" t="str">
        <f>IFERROR(IF(M$8="","NA",IF(M$8&lt;INDEX(T_EMP[START DATE],ROW($B10)-ROW($B$8)),"NE",IF(AND(INDEX(T_EMP[TERMINATION DATE],ROW($B10)-ROW($B$8))&gt;0,M$8&gt;INDEX(T_EMP[TERMINATION DATE],ROW($B10)-ROW($B$8))),"NE",IF(NOT(ISERROR(MATCH(M$8,L_HOLS,0))),"H",IF(INDEX(L_WKNDVAL,WEEKDAY(M$8,1))=1,"WKND",INDEX(T_LEAVE[LEAVE CODE],SUMPRODUCT(--(T_LEAVE[NAME]=$B10),--(T_LEAVE[DATE]&lt;=M$8),--(T_LEAVE[DATE]&gt;=M$8),ROW(T_LEAVE[LEAVE CODE]))-ROW(T_LEAVE[#Headers]))))))),"")</f>
        <v/>
      </c>
      <c r="N10" s="75" t="str">
        <f>IFERROR(IF(N$8="","NA",IF(N$8&lt;INDEX(T_EMP[START DATE],ROW($B10)-ROW($B$8)),"NE",IF(AND(INDEX(T_EMP[TERMINATION DATE],ROW($B10)-ROW($B$8))&gt;0,N$8&gt;INDEX(T_EMP[TERMINATION DATE],ROW($B10)-ROW($B$8))),"NE",IF(NOT(ISERROR(MATCH(N$8,L_HOLS,0))),"H",IF(INDEX(L_WKNDVAL,WEEKDAY(N$8,1))=1,"WKND",INDEX(T_LEAVE[LEAVE CODE],SUMPRODUCT(--(T_LEAVE[NAME]=$B10),--(T_LEAVE[DATE]&lt;=N$8),--(T_LEAVE[DATE]&gt;=N$8),ROW(T_LEAVE[LEAVE CODE]))-ROW(T_LEAVE[#Headers]))))))),"")</f>
        <v/>
      </c>
      <c r="O10" s="75" t="str">
        <f>IFERROR(IF(O$8="","NA",IF(O$8&lt;INDEX(T_EMP[START DATE],ROW($B10)-ROW($B$8)),"NE",IF(AND(INDEX(T_EMP[TERMINATION DATE],ROW($B10)-ROW($B$8))&gt;0,O$8&gt;INDEX(T_EMP[TERMINATION DATE],ROW($B10)-ROW($B$8))),"NE",IF(NOT(ISERROR(MATCH(O$8,L_HOLS,0))),"H",IF(INDEX(L_WKNDVAL,WEEKDAY(O$8,1))=1,"WKND",INDEX(T_LEAVE[LEAVE CODE],SUMPRODUCT(--(T_LEAVE[NAME]=$B10),--(T_LEAVE[DATE]&lt;=O$8),--(T_LEAVE[DATE]&gt;=O$8),ROW(T_LEAVE[LEAVE CODE]))-ROW(T_LEAVE[#Headers]))))))),"")</f>
        <v/>
      </c>
      <c r="P10" s="75" t="str">
        <f>IFERROR(IF(P$8="","NA",IF(P$8&lt;INDEX(T_EMP[START DATE],ROW($B10)-ROW($B$8)),"NE",IF(AND(INDEX(T_EMP[TERMINATION DATE],ROW($B10)-ROW($B$8))&gt;0,P$8&gt;INDEX(T_EMP[TERMINATION DATE],ROW($B10)-ROW($B$8))),"NE",IF(NOT(ISERROR(MATCH(P$8,L_HOLS,0))),"H",IF(INDEX(L_WKNDVAL,WEEKDAY(P$8,1))=1,"WKND",INDEX(T_LEAVE[LEAVE CODE],SUMPRODUCT(--(T_LEAVE[NAME]=$B10),--(T_LEAVE[DATE]&lt;=P$8),--(T_LEAVE[DATE]&gt;=P$8),ROW(T_LEAVE[LEAVE CODE]))-ROW(T_LEAVE[#Headers]))))))),"")</f>
        <v>H</v>
      </c>
      <c r="Q10" s="75" t="str">
        <f>IFERROR(IF(Q$8="","NA",IF(Q$8&lt;INDEX(T_EMP[START DATE],ROW($B10)-ROW($B$8)),"NE",IF(AND(INDEX(T_EMP[TERMINATION DATE],ROW($B10)-ROW($B$8))&gt;0,Q$8&gt;INDEX(T_EMP[TERMINATION DATE],ROW($B10)-ROW($B$8))),"NE",IF(NOT(ISERROR(MATCH(Q$8,L_HOLS,0))),"H",IF(INDEX(L_WKNDVAL,WEEKDAY(Q$8,1))=1,"WKND",INDEX(T_LEAVE[LEAVE CODE],SUMPRODUCT(--(T_LEAVE[NAME]=$B10),--(T_LEAVE[DATE]&lt;=Q$8),--(T_LEAVE[DATE]&gt;=Q$8),ROW(T_LEAVE[LEAVE CODE]))-ROW(T_LEAVE[#Headers]))))))),"")</f>
        <v/>
      </c>
      <c r="R10" s="75" t="str">
        <f>IFERROR(IF(R$8="","NA",IF(R$8&lt;INDEX(T_EMP[START DATE],ROW($B10)-ROW($B$8)),"NE",IF(AND(INDEX(T_EMP[TERMINATION DATE],ROW($B10)-ROW($B$8))&gt;0,R$8&gt;INDEX(T_EMP[TERMINATION DATE],ROW($B10)-ROW($B$8))),"NE",IF(NOT(ISERROR(MATCH(R$8,L_HOLS,0))),"H",IF(INDEX(L_WKNDVAL,WEEKDAY(R$8,1))=1,"WKND",INDEX(T_LEAVE[LEAVE CODE],SUMPRODUCT(--(T_LEAVE[NAME]=$B10),--(T_LEAVE[DATE]&lt;=R$8),--(T_LEAVE[DATE]&gt;=R$8),ROW(T_LEAVE[LEAVE CODE]))-ROW(T_LEAVE[#Headers]))))))),"")</f>
        <v/>
      </c>
      <c r="S10" s="75" t="str">
        <f>IFERROR(IF(S$8="","NA",IF(S$8&lt;INDEX(T_EMP[START DATE],ROW($B10)-ROW($B$8)),"NE",IF(AND(INDEX(T_EMP[TERMINATION DATE],ROW($B10)-ROW($B$8))&gt;0,S$8&gt;INDEX(T_EMP[TERMINATION DATE],ROW($B10)-ROW($B$8))),"NE",IF(NOT(ISERROR(MATCH(S$8,L_HOLS,0))),"H",IF(INDEX(L_WKNDVAL,WEEKDAY(S$8,1))=1,"WKND",INDEX(T_LEAVE[LEAVE CODE],SUMPRODUCT(--(T_LEAVE[NAME]=$B10),--(T_LEAVE[DATE]&lt;=S$8),--(T_LEAVE[DATE]&gt;=S$8),ROW(T_LEAVE[LEAVE CODE]))-ROW(T_LEAVE[#Headers]))))))),"")</f>
        <v/>
      </c>
      <c r="T10" s="75" t="str">
        <f>IFERROR(IF(T$8="","NA",IF(T$8&lt;INDEX(T_EMP[START DATE],ROW($B10)-ROW($B$8)),"NE",IF(AND(INDEX(T_EMP[TERMINATION DATE],ROW($B10)-ROW($B$8))&gt;0,T$8&gt;INDEX(T_EMP[TERMINATION DATE],ROW($B10)-ROW($B$8))),"NE",IF(NOT(ISERROR(MATCH(T$8,L_HOLS,0))),"H",IF(INDEX(L_WKNDVAL,WEEKDAY(T$8,1))=1,"WKND",INDEX(T_LEAVE[LEAVE CODE],SUMPRODUCT(--(T_LEAVE[NAME]=$B10),--(T_LEAVE[DATE]&lt;=T$8),--(T_LEAVE[DATE]&gt;=T$8),ROW(T_LEAVE[LEAVE CODE]))-ROW(T_LEAVE[#Headers]))))))),"")</f>
        <v/>
      </c>
      <c r="U10" s="75" t="str">
        <f>IFERROR(IF(U$8="","NA",IF(U$8&lt;INDEX(T_EMP[START DATE],ROW($B10)-ROW($B$8)),"NE",IF(AND(INDEX(T_EMP[TERMINATION DATE],ROW($B10)-ROW($B$8))&gt;0,U$8&gt;INDEX(T_EMP[TERMINATION DATE],ROW($B10)-ROW($B$8))),"NE",IF(NOT(ISERROR(MATCH(U$8,L_HOLS,0))),"H",IF(INDEX(L_WKNDVAL,WEEKDAY(U$8,1))=1,"WKND",INDEX(T_LEAVE[LEAVE CODE],SUMPRODUCT(--(T_LEAVE[NAME]=$B10),--(T_LEAVE[DATE]&lt;=U$8),--(T_LEAVE[DATE]&gt;=U$8),ROW(T_LEAVE[LEAVE CODE]))-ROW(T_LEAVE[#Headers]))))))),"")</f>
        <v/>
      </c>
      <c r="V10" s="75" t="str">
        <f>IFERROR(IF(V$8="","NA",IF(V$8&lt;INDEX(T_EMP[START DATE],ROW($B10)-ROW($B$8)),"NE",IF(AND(INDEX(T_EMP[TERMINATION DATE],ROW($B10)-ROW($B$8))&gt;0,V$8&gt;INDEX(T_EMP[TERMINATION DATE],ROW($B10)-ROW($B$8))),"NE",IF(NOT(ISERROR(MATCH(V$8,L_HOLS,0))),"H",IF(INDEX(L_WKNDVAL,WEEKDAY(V$8,1))=1,"WKND",INDEX(T_LEAVE[LEAVE CODE],SUMPRODUCT(--(T_LEAVE[NAME]=$B10),--(T_LEAVE[DATE]&lt;=V$8),--(T_LEAVE[DATE]&gt;=V$8),ROW(T_LEAVE[LEAVE CODE]))-ROW(T_LEAVE[#Headers]))))))),"")</f>
        <v/>
      </c>
      <c r="W10" s="75" t="str">
        <f>IFERROR(IF(W$8="","NA",IF(W$8&lt;INDEX(T_EMP[START DATE],ROW($B10)-ROW($B$8)),"NE",IF(AND(INDEX(T_EMP[TERMINATION DATE],ROW($B10)-ROW($B$8))&gt;0,W$8&gt;INDEX(T_EMP[TERMINATION DATE],ROW($B10)-ROW($B$8))),"NE",IF(NOT(ISERROR(MATCH(W$8,L_HOLS,0))),"H",IF(INDEX(L_WKNDVAL,WEEKDAY(W$8,1))=1,"WKND",INDEX(T_LEAVE[LEAVE CODE],SUMPRODUCT(--(T_LEAVE[NAME]=$B10),--(T_LEAVE[DATE]&lt;=W$8),--(T_LEAVE[DATE]&gt;=W$8),ROW(T_LEAVE[LEAVE CODE]))-ROW(T_LEAVE[#Headers]))))))),"")</f>
        <v/>
      </c>
      <c r="X10" s="75" t="str">
        <f>IFERROR(IF(X$8="","NA",IF(X$8&lt;INDEX(T_EMP[START DATE],ROW($B10)-ROW($B$8)),"NE",IF(AND(INDEX(T_EMP[TERMINATION DATE],ROW($B10)-ROW($B$8))&gt;0,X$8&gt;INDEX(T_EMP[TERMINATION DATE],ROW($B10)-ROW($B$8))),"NE",IF(NOT(ISERROR(MATCH(X$8,L_HOLS,0))),"H",IF(INDEX(L_WKNDVAL,WEEKDAY(X$8,1))=1,"WKND",INDEX(T_LEAVE[LEAVE CODE],SUMPRODUCT(--(T_LEAVE[NAME]=$B10),--(T_LEAVE[DATE]&lt;=X$8),--(T_LEAVE[DATE]&gt;=X$8),ROW(T_LEAVE[LEAVE CODE]))-ROW(T_LEAVE[#Headers]))))))),"")</f>
        <v/>
      </c>
      <c r="Y10" s="75" t="str">
        <f>IFERROR(IF(Y$8="","NA",IF(Y$8&lt;INDEX(T_EMP[START DATE],ROW($B10)-ROW($B$8)),"NE",IF(AND(INDEX(T_EMP[TERMINATION DATE],ROW($B10)-ROW($B$8))&gt;0,Y$8&gt;INDEX(T_EMP[TERMINATION DATE],ROW($B10)-ROW($B$8))),"NE",IF(NOT(ISERROR(MATCH(Y$8,L_HOLS,0))),"H",IF(INDEX(L_WKNDVAL,WEEKDAY(Y$8,1))=1,"WKND",INDEX(T_LEAVE[LEAVE CODE],SUMPRODUCT(--(T_LEAVE[NAME]=$B10),--(T_LEAVE[DATE]&lt;=Y$8),--(T_LEAVE[DATE]&gt;=Y$8),ROW(T_LEAVE[LEAVE CODE]))-ROW(T_LEAVE[#Headers]))))))),"")</f>
        <v/>
      </c>
      <c r="Z10" s="75" t="str">
        <f>IFERROR(IF(Z$8="","NA",IF(Z$8&lt;INDEX(T_EMP[START DATE],ROW($B10)-ROW($B$8)),"NE",IF(AND(INDEX(T_EMP[TERMINATION DATE],ROW($B10)-ROW($B$8))&gt;0,Z$8&gt;INDEX(T_EMP[TERMINATION DATE],ROW($B10)-ROW($B$8))),"NE",IF(NOT(ISERROR(MATCH(Z$8,L_HOLS,0))),"H",IF(INDEX(L_WKNDVAL,WEEKDAY(Z$8,1))=1,"WKND",INDEX(T_LEAVE[LEAVE CODE],SUMPRODUCT(--(T_LEAVE[NAME]=$B10),--(T_LEAVE[DATE]&lt;=Z$8),--(T_LEAVE[DATE]&gt;=Z$8),ROW(T_LEAVE[LEAVE CODE]))-ROW(T_LEAVE[#Headers]))))))),"")</f>
        <v/>
      </c>
      <c r="AA10" s="75" t="str">
        <f>IFERROR(IF(AA$8="","NA",IF(AA$8&lt;INDEX(T_EMP[START DATE],ROW($B10)-ROW($B$8)),"NE",IF(AND(INDEX(T_EMP[TERMINATION DATE],ROW($B10)-ROW($B$8))&gt;0,AA$8&gt;INDEX(T_EMP[TERMINATION DATE],ROW($B10)-ROW($B$8))),"NE",IF(NOT(ISERROR(MATCH(AA$8,L_HOLS,0))),"H",IF(INDEX(L_WKNDVAL,WEEKDAY(AA$8,1))=1,"WKND",INDEX(T_LEAVE[LEAVE CODE],SUMPRODUCT(--(T_LEAVE[NAME]=$B10),--(T_LEAVE[DATE]&lt;=AA$8),--(T_LEAVE[DATE]&gt;=AA$8),ROW(T_LEAVE[LEAVE CODE]))-ROW(T_LEAVE[#Headers]))))))),"")</f>
        <v/>
      </c>
      <c r="AB10" s="75" t="str">
        <f>IFERROR(IF(AB$8="","NA",IF(AB$8&lt;INDEX(T_EMP[START DATE],ROW($B10)-ROW($B$8)),"NE",IF(AND(INDEX(T_EMP[TERMINATION DATE],ROW($B10)-ROW($B$8))&gt;0,AB$8&gt;INDEX(T_EMP[TERMINATION DATE],ROW($B10)-ROW($B$8))),"NE",IF(NOT(ISERROR(MATCH(AB$8,L_HOLS,0))),"H",IF(INDEX(L_WKNDVAL,WEEKDAY(AB$8,1))=1,"WKND",INDEX(T_LEAVE[LEAVE CODE],SUMPRODUCT(--(T_LEAVE[NAME]=$B10),--(T_LEAVE[DATE]&lt;=AB$8),--(T_LEAVE[DATE]&gt;=AB$8),ROW(T_LEAVE[LEAVE CODE]))-ROW(T_LEAVE[#Headers]))))))),"")</f>
        <v/>
      </c>
      <c r="AC10" s="75" t="str">
        <f>IFERROR(IF(AC$8="","NA",IF(AC$8&lt;INDEX(T_EMP[START DATE],ROW($B10)-ROW($B$8)),"NE",IF(AND(INDEX(T_EMP[TERMINATION DATE],ROW($B10)-ROW($B$8))&gt;0,AC$8&gt;INDEX(T_EMP[TERMINATION DATE],ROW($B10)-ROW($B$8))),"NE",IF(NOT(ISERROR(MATCH(AC$8,L_HOLS,0))),"H",IF(INDEX(L_WKNDVAL,WEEKDAY(AC$8,1))=1,"WKND",INDEX(T_LEAVE[LEAVE CODE],SUMPRODUCT(--(T_LEAVE[NAME]=$B10),--(T_LEAVE[DATE]&lt;=AC$8),--(T_LEAVE[DATE]&gt;=AC$8),ROW(T_LEAVE[LEAVE CODE]))-ROW(T_LEAVE[#Headers]))))))),"")</f>
        <v/>
      </c>
      <c r="AD10" s="75" t="str">
        <f>IFERROR(IF(AD$8="","NA",IF(AD$8&lt;INDEX(T_EMP[START DATE],ROW($B10)-ROW($B$8)),"NE",IF(AND(INDEX(T_EMP[TERMINATION DATE],ROW($B10)-ROW($B$8))&gt;0,AD$8&gt;INDEX(T_EMP[TERMINATION DATE],ROW($B10)-ROW($B$8))),"NE",IF(NOT(ISERROR(MATCH(AD$8,L_HOLS,0))),"H",IF(INDEX(L_WKNDVAL,WEEKDAY(AD$8,1))=1,"WKND",INDEX(T_LEAVE[LEAVE CODE],SUMPRODUCT(--(T_LEAVE[NAME]=$B10),--(T_LEAVE[DATE]&lt;=AD$8),--(T_LEAVE[DATE]&gt;=AD$8),ROW(T_LEAVE[LEAVE CODE]))-ROW(T_LEAVE[#Headers]))))))),"")</f>
        <v/>
      </c>
      <c r="AE10" s="75" t="str">
        <f>IFERROR(IF(AE$8="","NA",IF(AE$8&lt;INDEX(T_EMP[START DATE],ROW($B10)-ROW($B$8)),"NE",IF(AND(INDEX(T_EMP[TERMINATION DATE],ROW($B10)-ROW($B$8))&gt;0,AE$8&gt;INDEX(T_EMP[TERMINATION DATE],ROW($B10)-ROW($B$8))),"NE",IF(NOT(ISERROR(MATCH(AE$8,L_HOLS,0))),"H",IF(INDEX(L_WKNDVAL,WEEKDAY(AE$8,1))=1,"WKND",INDEX(T_LEAVE[LEAVE CODE],SUMPRODUCT(--(T_LEAVE[NAME]=$B10),--(T_LEAVE[DATE]&lt;=AE$8),--(T_LEAVE[DATE]&gt;=AE$8),ROW(T_LEAVE[LEAVE CODE]))-ROW(T_LEAVE[#Headers]))))))),"")</f>
        <v/>
      </c>
      <c r="AF10" s="75" t="str">
        <f>IFERROR(IF(AF$8="","NA",IF(AF$8&lt;INDEX(T_EMP[START DATE],ROW($B10)-ROW($B$8)),"NE",IF(AND(INDEX(T_EMP[TERMINATION DATE],ROW($B10)-ROW($B$8))&gt;0,AF$8&gt;INDEX(T_EMP[TERMINATION DATE],ROW($B10)-ROW($B$8))),"NE",IF(NOT(ISERROR(MATCH(AF$8,L_HOLS,0))),"H",IF(INDEX(L_WKNDVAL,WEEKDAY(AF$8,1))=1,"WKND",INDEX(T_LEAVE[LEAVE CODE],SUMPRODUCT(--(T_LEAVE[NAME]=$B10),--(T_LEAVE[DATE]&lt;=AF$8),--(T_LEAVE[DATE]&gt;=AF$8),ROW(T_LEAVE[LEAVE CODE]))-ROW(T_LEAVE[#Headers]))))))),"")</f>
        <v/>
      </c>
      <c r="AG10" s="75" t="str">
        <f>IFERROR(IF(AG$8="","NA",IF(AG$8&lt;INDEX(T_EMP[START DATE],ROW($B10)-ROW($B$8)),"NE",IF(AND(INDEX(T_EMP[TERMINATION DATE],ROW($B10)-ROW($B$8))&gt;0,AG$8&gt;INDEX(T_EMP[TERMINATION DATE],ROW($B10)-ROW($B$8))),"NE",IF(NOT(ISERROR(MATCH(AG$8,L_HOLS,0))),"H",IF(INDEX(L_WKNDVAL,WEEKDAY(AG$8,1))=1,"WKND",INDEX(T_LEAVE[LEAVE CODE],SUMPRODUCT(--(T_LEAVE[NAME]=$B10),--(T_LEAVE[DATE]&lt;=AG$8),--(T_LEAVE[DATE]&gt;=AG$8),ROW(T_LEAVE[LEAVE CODE]))-ROW(T_LEAVE[#Headers]))))))),"")</f>
        <v/>
      </c>
      <c r="AH10" s="75" t="str">
        <f>IFERROR(IF(AH$8="","NA",IF(AH$8&lt;INDEX(T_EMP[START DATE],ROW($B10)-ROW($B$8)),"NE",IF(AND(INDEX(T_EMP[TERMINATION DATE],ROW($B10)-ROW($B$8))&gt;0,AH$8&gt;INDEX(T_EMP[TERMINATION DATE],ROW($B10)-ROW($B$8))),"NE",IF(NOT(ISERROR(MATCH(AH$8,L_HOLS,0))),"H",IF(INDEX(L_WKNDVAL,WEEKDAY(AH$8,1))=1,"WKND",INDEX(T_LEAVE[LEAVE CODE],SUMPRODUCT(--(T_LEAVE[NAME]=$B10),--(T_LEAVE[DATE]&lt;=AH$8),--(T_LEAVE[DATE]&gt;=AH$8),ROW(T_LEAVE[LEAVE CODE]))-ROW(T_LEAVE[#Headers]))))))),"")</f>
        <v/>
      </c>
      <c r="AJ10" s="88">
        <f>IF(OR($B10="",AJ$8=""),"",COUNTIFS($D10:$AH10,AJ$8)*INDEX(T_LEAVETYPE[DAY VALUE],1))</f>
        <v>0</v>
      </c>
      <c r="AK10" s="88">
        <f>IF(OR($B10="",AK$8=""),"",COUNTIFS($D10:$AH10,AK$8)*INDEX(T_LEAVETYPE[DAY VALUE],2))</f>
        <v>0</v>
      </c>
      <c r="AL10" s="88">
        <f>IF(OR($B10="",AL$8=""),"",COUNTIFS($D10:$AH10,AL$8)*INDEX(T_LEAVETYPE[DAY VALUE],3))</f>
        <v>0</v>
      </c>
      <c r="AM10" s="88">
        <f>IF(OR($B10="",AM$8=""),"",COUNTIFS($D10:$AH10,AM$8)*INDEX(T_LEAVETYPE[DAY VALUE],4))</f>
        <v>0</v>
      </c>
      <c r="AN10" s="88">
        <f>IF(OR($B10="",AN$8=""),"",COUNTIFS($D10:$AH10,AN$8)*INDEX(T_LEAVETYPE[DAY VALUE],5))</f>
        <v>0</v>
      </c>
      <c r="AO10" s="88">
        <f>IF(OR($B10="",AO$8=""),"",COUNTIFS($D10:$AH10,AO$8)*INDEX(T_LEAVETYPE[DAY VALUE],6))</f>
        <v>0</v>
      </c>
      <c r="AP10" s="88">
        <f>IF(OR($B10="",AP$8=""),"",COUNTIFS($D10:$AH10,AP$8)*INDEX(T_LEAVETYPE[DAY VALUE],7))</f>
        <v>0</v>
      </c>
      <c r="AQ10" s="88">
        <f>IF(OR($B10="",AQ$8=""),"",COUNTIFS($D10:$AH10,AQ$8)*INDEX(T_LEAVETYPE[DAY VALUE],8))</f>
        <v>0</v>
      </c>
      <c r="AR10" s="89">
        <f t="shared" si="3"/>
        <v>0</v>
      </c>
    </row>
    <row r="11" spans="1:44" x14ac:dyDescent="0.25">
      <c r="A11" s="90">
        <f t="shared" ref="A11:A97" si="4">A10+1</f>
        <v>3</v>
      </c>
      <c r="B11" s="74" t="str">
        <f>IFERROR(INDEX(T_EMP[NAME],ROW(B11)-ROW($B$8)),"")</f>
        <v>VALLADARES, ALLEN</v>
      </c>
      <c r="C11" s="91" t="str">
        <f>IFERROR(INDEX(T_EMP[DEPARTMENT],ROW(B11)-ROW($C$8)),"")</f>
        <v>IB SUPPORT</v>
      </c>
      <c r="D11" s="75" t="str">
        <f>IFERROR(IF(D$8="","NA",IF(D$8&lt;INDEX(T_EMP[START DATE],ROW($B11)-ROW($B$8)),"NE",IF(AND(INDEX(T_EMP[TERMINATION DATE],ROW($B11)-ROW($B$8))&gt;0,D$8&gt;INDEX(T_EMP[TERMINATION DATE],ROW($B11)-ROW($B$8))),"NE",IF(NOT(ISERROR(MATCH(D$8,L_HOLS,0))),"H",IF(INDEX(L_WKNDVAL,WEEKDAY(D$8,1))=1,"WKND",INDEX(T_LEAVE[LEAVE CODE],SUMPRODUCT(--(T_LEAVE[NAME]=$B11),--(T_LEAVE[DATE]&lt;=D$8),--(T_LEAVE[DATE]&gt;=D$8),ROW(T_LEAVE[LEAVE CODE]))-ROW(T_LEAVE[#Headers]))))))),"")</f>
        <v>H</v>
      </c>
      <c r="E11" s="75" t="str">
        <f>IFERROR(IF(E$8="","NA",IF(E$8&lt;INDEX(T_EMP[START DATE],ROW($B11)-ROW($B$8)),"NE",IF(AND(INDEX(T_EMP[TERMINATION DATE],ROW($B11)-ROW($B$8))&gt;0,E$8&gt;INDEX(T_EMP[TERMINATION DATE],ROW($B11)-ROW($B$8))),"NE",IF(NOT(ISERROR(MATCH(E$8,L_HOLS,0))),"H",IF(INDEX(L_WKNDVAL,WEEKDAY(E$8,1))=1,"WKND",INDEX(T_LEAVE[LEAVE CODE],SUMPRODUCT(--(T_LEAVE[NAME]=$B11),--(T_LEAVE[DATE]&lt;=E$8),--(T_LEAVE[DATE]&gt;=E$8),ROW(T_LEAVE[LEAVE CODE]))-ROW(T_LEAVE[#Headers]))))))),"")</f>
        <v/>
      </c>
      <c r="F11" s="75" t="str">
        <f>IFERROR(IF(F$8="","NA",IF(F$8&lt;INDEX(T_EMP[START DATE],ROW($B11)-ROW($B$8)),"NE",IF(AND(INDEX(T_EMP[TERMINATION DATE],ROW($B11)-ROW($B$8))&gt;0,F$8&gt;INDEX(T_EMP[TERMINATION DATE],ROW($B11)-ROW($B$8))),"NE",IF(NOT(ISERROR(MATCH(F$8,L_HOLS,0))),"H",IF(INDEX(L_WKNDVAL,WEEKDAY(F$8,1))=1,"WKND",INDEX(T_LEAVE[LEAVE CODE],SUMPRODUCT(--(T_LEAVE[NAME]=$B11),--(T_LEAVE[DATE]&lt;=F$8),--(T_LEAVE[DATE]&gt;=F$8),ROW(T_LEAVE[LEAVE CODE]))-ROW(T_LEAVE[#Headers]))))))),"")</f>
        <v/>
      </c>
      <c r="G11" s="75" t="str">
        <f>IFERROR(IF(G$8="","NA",IF(G$8&lt;INDEX(T_EMP[START DATE],ROW($B11)-ROW($B$8)),"NE",IF(AND(INDEX(T_EMP[TERMINATION DATE],ROW($B11)-ROW($B$8))&gt;0,G$8&gt;INDEX(T_EMP[TERMINATION DATE],ROW($B11)-ROW($B$8))),"NE",IF(NOT(ISERROR(MATCH(G$8,L_HOLS,0))),"H",IF(INDEX(L_WKNDVAL,WEEKDAY(G$8,1))=1,"WKND",INDEX(T_LEAVE[LEAVE CODE],SUMPRODUCT(--(T_LEAVE[NAME]=$B11),--(T_LEAVE[DATE]&lt;=G$8),--(T_LEAVE[DATE]&gt;=G$8),ROW(T_LEAVE[LEAVE CODE]))-ROW(T_LEAVE[#Headers]))))))),"")</f>
        <v/>
      </c>
      <c r="H11" s="75" t="str">
        <f>IFERROR(IF(H$8="","NA",IF(H$8&lt;INDEX(T_EMP[START DATE],ROW($B11)-ROW($B$8)),"NE",IF(AND(INDEX(T_EMP[TERMINATION DATE],ROW($B11)-ROW($B$8))&gt;0,H$8&gt;INDEX(T_EMP[TERMINATION DATE],ROW($B11)-ROW($B$8))),"NE",IF(NOT(ISERROR(MATCH(H$8,L_HOLS,0))),"H",IF(INDEX(L_WKNDVAL,WEEKDAY(H$8,1))=1,"WKND",INDEX(T_LEAVE[LEAVE CODE],SUMPRODUCT(--(T_LEAVE[NAME]=$B11),--(T_LEAVE[DATE]&lt;=H$8),--(T_LEAVE[DATE]&gt;=H$8),ROW(T_LEAVE[LEAVE CODE]))-ROW(T_LEAVE[#Headers]))))))),"")</f>
        <v/>
      </c>
      <c r="I11" s="75" t="str">
        <f>IFERROR(IF(I$8="","NA",IF(I$8&lt;INDEX(T_EMP[START DATE],ROW($B11)-ROW($B$8)),"NE",IF(AND(INDEX(T_EMP[TERMINATION DATE],ROW($B11)-ROW($B$8))&gt;0,I$8&gt;INDEX(T_EMP[TERMINATION DATE],ROW($B11)-ROW($B$8))),"NE",IF(NOT(ISERROR(MATCH(I$8,L_HOLS,0))),"H",IF(INDEX(L_WKNDVAL,WEEKDAY(I$8,1))=1,"WKND",INDEX(T_LEAVE[LEAVE CODE],SUMPRODUCT(--(T_LEAVE[NAME]=$B11),--(T_LEAVE[DATE]&lt;=I$8),--(T_LEAVE[DATE]&gt;=I$8),ROW(T_LEAVE[LEAVE CODE]))-ROW(T_LEAVE[#Headers]))))))),"")</f>
        <v/>
      </c>
      <c r="J11" s="75" t="str">
        <f>IFERROR(IF(J$8="","NA",IF(J$8&lt;INDEX(T_EMP[START DATE],ROW($B11)-ROW($B$8)),"NE",IF(AND(INDEX(T_EMP[TERMINATION DATE],ROW($B11)-ROW($B$8))&gt;0,J$8&gt;INDEX(T_EMP[TERMINATION DATE],ROW($B11)-ROW($B$8))),"NE",IF(NOT(ISERROR(MATCH(J$8,L_HOLS,0))),"H",IF(INDEX(L_WKNDVAL,WEEKDAY(J$8,1))=1,"WKND",INDEX(T_LEAVE[LEAVE CODE],SUMPRODUCT(--(T_LEAVE[NAME]=$B11),--(T_LEAVE[DATE]&lt;=J$8),--(T_LEAVE[DATE]&gt;=J$8),ROW(T_LEAVE[LEAVE CODE]))-ROW(T_LEAVE[#Headers]))))))),"")</f>
        <v/>
      </c>
      <c r="K11" s="75" t="str">
        <f>IFERROR(IF(K$8="","NA",IF(K$8&lt;INDEX(T_EMP[START DATE],ROW($B11)-ROW($B$8)),"NE",IF(AND(INDEX(T_EMP[TERMINATION DATE],ROW($B11)-ROW($B$8))&gt;0,K$8&gt;INDEX(T_EMP[TERMINATION DATE],ROW($B11)-ROW($B$8))),"NE",IF(NOT(ISERROR(MATCH(K$8,L_HOLS,0))),"H",IF(INDEX(L_WKNDVAL,WEEKDAY(K$8,1))=1,"WKND",INDEX(T_LEAVE[LEAVE CODE],SUMPRODUCT(--(T_LEAVE[NAME]=$B11),--(T_LEAVE[DATE]&lt;=K$8),--(T_LEAVE[DATE]&gt;=K$8),ROW(T_LEAVE[LEAVE CODE]))-ROW(T_LEAVE[#Headers]))))))),"")</f>
        <v/>
      </c>
      <c r="L11" s="75" t="str">
        <f>IFERROR(IF(L$8="","NA",IF(L$8&lt;INDEX(T_EMP[START DATE],ROW($B11)-ROW($B$8)),"NE",IF(AND(INDEX(T_EMP[TERMINATION DATE],ROW($B11)-ROW($B$8))&gt;0,L$8&gt;INDEX(T_EMP[TERMINATION DATE],ROW($B11)-ROW($B$8))),"NE",IF(NOT(ISERROR(MATCH(L$8,L_HOLS,0))),"H",IF(INDEX(L_WKNDVAL,WEEKDAY(L$8,1))=1,"WKND",INDEX(T_LEAVE[LEAVE CODE],SUMPRODUCT(--(T_LEAVE[NAME]=$B11),--(T_LEAVE[DATE]&lt;=L$8),--(T_LEAVE[DATE]&gt;=L$8),ROW(T_LEAVE[LEAVE CODE]))-ROW(T_LEAVE[#Headers]))))))),"")</f>
        <v/>
      </c>
      <c r="M11" s="75" t="str">
        <f>IFERROR(IF(M$8="","NA",IF(M$8&lt;INDEX(T_EMP[START DATE],ROW($B11)-ROW($B$8)),"NE",IF(AND(INDEX(T_EMP[TERMINATION DATE],ROW($B11)-ROW($B$8))&gt;0,M$8&gt;INDEX(T_EMP[TERMINATION DATE],ROW($B11)-ROW($B$8))),"NE",IF(NOT(ISERROR(MATCH(M$8,L_HOLS,0))),"H",IF(INDEX(L_WKNDVAL,WEEKDAY(M$8,1))=1,"WKND",INDEX(T_LEAVE[LEAVE CODE],SUMPRODUCT(--(T_LEAVE[NAME]=$B11),--(T_LEAVE[DATE]&lt;=M$8),--(T_LEAVE[DATE]&gt;=M$8),ROW(T_LEAVE[LEAVE CODE]))-ROW(T_LEAVE[#Headers]))))))),"")</f>
        <v/>
      </c>
      <c r="N11" s="75" t="str">
        <f>IFERROR(IF(N$8="","NA",IF(N$8&lt;INDEX(T_EMP[START DATE],ROW($B11)-ROW($B$8)),"NE",IF(AND(INDEX(T_EMP[TERMINATION DATE],ROW($B11)-ROW($B$8))&gt;0,N$8&gt;INDEX(T_EMP[TERMINATION DATE],ROW($B11)-ROW($B$8))),"NE",IF(NOT(ISERROR(MATCH(N$8,L_HOLS,0))),"H",IF(INDEX(L_WKNDVAL,WEEKDAY(N$8,1))=1,"WKND",INDEX(T_LEAVE[LEAVE CODE],SUMPRODUCT(--(T_LEAVE[NAME]=$B11),--(T_LEAVE[DATE]&lt;=N$8),--(T_LEAVE[DATE]&gt;=N$8),ROW(T_LEAVE[LEAVE CODE]))-ROW(T_LEAVE[#Headers]))))))),"")</f>
        <v/>
      </c>
      <c r="O11" s="75" t="str">
        <f>IFERROR(IF(O$8="","NA",IF(O$8&lt;INDEX(T_EMP[START DATE],ROW($B11)-ROW($B$8)),"NE",IF(AND(INDEX(T_EMP[TERMINATION DATE],ROW($B11)-ROW($B$8))&gt;0,O$8&gt;INDEX(T_EMP[TERMINATION DATE],ROW($B11)-ROW($B$8))),"NE",IF(NOT(ISERROR(MATCH(O$8,L_HOLS,0))),"H",IF(INDEX(L_WKNDVAL,WEEKDAY(O$8,1))=1,"WKND",INDEX(T_LEAVE[LEAVE CODE],SUMPRODUCT(--(T_LEAVE[NAME]=$B11),--(T_LEAVE[DATE]&lt;=O$8),--(T_LEAVE[DATE]&gt;=O$8),ROW(T_LEAVE[LEAVE CODE]))-ROW(T_LEAVE[#Headers]))))))),"")</f>
        <v/>
      </c>
      <c r="P11" s="75" t="str">
        <f>IFERROR(IF(P$8="","NA",IF(P$8&lt;INDEX(T_EMP[START DATE],ROW($B11)-ROW($B$8)),"NE",IF(AND(INDEX(T_EMP[TERMINATION DATE],ROW($B11)-ROW($B$8))&gt;0,P$8&gt;INDEX(T_EMP[TERMINATION DATE],ROW($B11)-ROW($B$8))),"NE",IF(NOT(ISERROR(MATCH(P$8,L_HOLS,0))),"H",IF(INDEX(L_WKNDVAL,WEEKDAY(P$8,1))=1,"WKND",INDEX(T_LEAVE[LEAVE CODE],SUMPRODUCT(--(T_LEAVE[NAME]=$B11),--(T_LEAVE[DATE]&lt;=P$8),--(T_LEAVE[DATE]&gt;=P$8),ROW(T_LEAVE[LEAVE CODE]))-ROW(T_LEAVE[#Headers]))))))),"")</f>
        <v>H</v>
      </c>
      <c r="Q11" s="75" t="str">
        <f>IFERROR(IF(Q$8="","NA",IF(Q$8&lt;INDEX(T_EMP[START DATE],ROW($B11)-ROW($B$8)),"NE",IF(AND(INDEX(T_EMP[TERMINATION DATE],ROW($B11)-ROW($B$8))&gt;0,Q$8&gt;INDEX(T_EMP[TERMINATION DATE],ROW($B11)-ROW($B$8))),"NE",IF(NOT(ISERROR(MATCH(Q$8,L_HOLS,0))),"H",IF(INDEX(L_WKNDVAL,WEEKDAY(Q$8,1))=1,"WKND",INDEX(T_LEAVE[LEAVE CODE],SUMPRODUCT(--(T_LEAVE[NAME]=$B11),--(T_LEAVE[DATE]&lt;=Q$8),--(T_LEAVE[DATE]&gt;=Q$8),ROW(T_LEAVE[LEAVE CODE]))-ROW(T_LEAVE[#Headers]))))))),"")</f>
        <v/>
      </c>
      <c r="R11" s="75" t="str">
        <f>IFERROR(IF(R$8="","NA",IF(R$8&lt;INDEX(T_EMP[START DATE],ROW($B11)-ROW($B$8)),"NE",IF(AND(INDEX(T_EMP[TERMINATION DATE],ROW($B11)-ROW($B$8))&gt;0,R$8&gt;INDEX(T_EMP[TERMINATION DATE],ROW($B11)-ROW($B$8))),"NE",IF(NOT(ISERROR(MATCH(R$8,L_HOLS,0))),"H",IF(INDEX(L_WKNDVAL,WEEKDAY(R$8,1))=1,"WKND",INDEX(T_LEAVE[LEAVE CODE],SUMPRODUCT(--(T_LEAVE[NAME]=$B11),--(T_LEAVE[DATE]&lt;=R$8),--(T_LEAVE[DATE]&gt;=R$8),ROW(T_LEAVE[LEAVE CODE]))-ROW(T_LEAVE[#Headers]))))))),"")</f>
        <v/>
      </c>
      <c r="S11" s="75" t="str">
        <f>IFERROR(IF(S$8="","NA",IF(S$8&lt;INDEX(T_EMP[START DATE],ROW($B11)-ROW($B$8)),"NE",IF(AND(INDEX(T_EMP[TERMINATION DATE],ROW($B11)-ROW($B$8))&gt;0,S$8&gt;INDEX(T_EMP[TERMINATION DATE],ROW($B11)-ROW($B$8))),"NE",IF(NOT(ISERROR(MATCH(S$8,L_HOLS,0))),"H",IF(INDEX(L_WKNDVAL,WEEKDAY(S$8,1))=1,"WKND",INDEX(T_LEAVE[LEAVE CODE],SUMPRODUCT(--(T_LEAVE[NAME]=$B11),--(T_LEAVE[DATE]&lt;=S$8),--(T_LEAVE[DATE]&gt;=S$8),ROW(T_LEAVE[LEAVE CODE]))-ROW(T_LEAVE[#Headers]))))))),"")</f>
        <v/>
      </c>
      <c r="T11" s="75" t="str">
        <f>IFERROR(IF(T$8="","NA",IF(T$8&lt;INDEX(T_EMP[START DATE],ROW($B11)-ROW($B$8)),"NE",IF(AND(INDEX(T_EMP[TERMINATION DATE],ROW($B11)-ROW($B$8))&gt;0,T$8&gt;INDEX(T_EMP[TERMINATION DATE],ROW($B11)-ROW($B$8))),"NE",IF(NOT(ISERROR(MATCH(T$8,L_HOLS,0))),"H",IF(INDEX(L_WKNDVAL,WEEKDAY(T$8,1))=1,"WKND",INDEX(T_LEAVE[LEAVE CODE],SUMPRODUCT(--(T_LEAVE[NAME]=$B11),--(T_LEAVE[DATE]&lt;=T$8),--(T_LEAVE[DATE]&gt;=T$8),ROW(T_LEAVE[LEAVE CODE]))-ROW(T_LEAVE[#Headers]))))))),"")</f>
        <v/>
      </c>
      <c r="U11" s="75" t="str">
        <f>IFERROR(IF(U$8="","NA",IF(U$8&lt;INDEX(T_EMP[START DATE],ROW($B11)-ROW($B$8)),"NE",IF(AND(INDEX(T_EMP[TERMINATION DATE],ROW($B11)-ROW($B$8))&gt;0,U$8&gt;INDEX(T_EMP[TERMINATION DATE],ROW($B11)-ROW($B$8))),"NE",IF(NOT(ISERROR(MATCH(U$8,L_HOLS,0))),"H",IF(INDEX(L_WKNDVAL,WEEKDAY(U$8,1))=1,"WKND",INDEX(T_LEAVE[LEAVE CODE],SUMPRODUCT(--(T_LEAVE[NAME]=$B11),--(T_LEAVE[DATE]&lt;=U$8),--(T_LEAVE[DATE]&gt;=U$8),ROW(T_LEAVE[LEAVE CODE]))-ROW(T_LEAVE[#Headers]))))))),"")</f>
        <v/>
      </c>
      <c r="V11" s="75" t="str">
        <f>IFERROR(IF(V$8="","NA",IF(V$8&lt;INDEX(T_EMP[START DATE],ROW($B11)-ROW($B$8)),"NE",IF(AND(INDEX(T_EMP[TERMINATION DATE],ROW($B11)-ROW($B$8))&gt;0,V$8&gt;INDEX(T_EMP[TERMINATION DATE],ROW($B11)-ROW($B$8))),"NE",IF(NOT(ISERROR(MATCH(V$8,L_HOLS,0))),"H",IF(INDEX(L_WKNDVAL,WEEKDAY(V$8,1))=1,"WKND",INDEX(T_LEAVE[LEAVE CODE],SUMPRODUCT(--(T_LEAVE[NAME]=$B11),--(T_LEAVE[DATE]&lt;=V$8),--(T_LEAVE[DATE]&gt;=V$8),ROW(T_LEAVE[LEAVE CODE]))-ROW(T_LEAVE[#Headers]))))))),"")</f>
        <v/>
      </c>
      <c r="W11" s="75" t="str">
        <f>IFERROR(IF(W$8="","NA",IF(W$8&lt;INDEX(T_EMP[START DATE],ROW($B11)-ROW($B$8)),"NE",IF(AND(INDEX(T_EMP[TERMINATION DATE],ROW($B11)-ROW($B$8))&gt;0,W$8&gt;INDEX(T_EMP[TERMINATION DATE],ROW($B11)-ROW($B$8))),"NE",IF(NOT(ISERROR(MATCH(W$8,L_HOLS,0))),"H",IF(INDEX(L_WKNDVAL,WEEKDAY(W$8,1))=1,"WKND",INDEX(T_LEAVE[LEAVE CODE],SUMPRODUCT(--(T_LEAVE[NAME]=$B11),--(T_LEAVE[DATE]&lt;=W$8),--(T_LEAVE[DATE]&gt;=W$8),ROW(T_LEAVE[LEAVE CODE]))-ROW(T_LEAVE[#Headers]))))))),"")</f>
        <v/>
      </c>
      <c r="X11" s="75" t="str">
        <f>IFERROR(IF(X$8="","NA",IF(X$8&lt;INDEX(T_EMP[START DATE],ROW($B11)-ROW($B$8)),"NE",IF(AND(INDEX(T_EMP[TERMINATION DATE],ROW($B11)-ROW($B$8))&gt;0,X$8&gt;INDEX(T_EMP[TERMINATION DATE],ROW($B11)-ROW($B$8))),"NE",IF(NOT(ISERROR(MATCH(X$8,L_HOLS,0))),"H",IF(INDEX(L_WKNDVAL,WEEKDAY(X$8,1))=1,"WKND",INDEX(T_LEAVE[LEAVE CODE],SUMPRODUCT(--(T_LEAVE[NAME]=$B11),--(T_LEAVE[DATE]&lt;=X$8),--(T_LEAVE[DATE]&gt;=X$8),ROW(T_LEAVE[LEAVE CODE]))-ROW(T_LEAVE[#Headers]))))))),"")</f>
        <v/>
      </c>
      <c r="Y11" s="75" t="str">
        <f>IFERROR(IF(Y$8="","NA",IF(Y$8&lt;INDEX(T_EMP[START DATE],ROW($B11)-ROW($B$8)),"NE",IF(AND(INDEX(T_EMP[TERMINATION DATE],ROW($B11)-ROW($B$8))&gt;0,Y$8&gt;INDEX(T_EMP[TERMINATION DATE],ROW($B11)-ROW($B$8))),"NE",IF(NOT(ISERROR(MATCH(Y$8,L_HOLS,0))),"H",IF(INDEX(L_WKNDVAL,WEEKDAY(Y$8,1))=1,"WKND",INDEX(T_LEAVE[LEAVE CODE],SUMPRODUCT(--(T_LEAVE[NAME]=$B11),--(T_LEAVE[DATE]&lt;=Y$8),--(T_LEAVE[DATE]&gt;=Y$8),ROW(T_LEAVE[LEAVE CODE]))-ROW(T_LEAVE[#Headers]))))))),"")</f>
        <v/>
      </c>
      <c r="Z11" s="75" t="str">
        <f>IFERROR(IF(Z$8="","NA",IF(Z$8&lt;INDEX(T_EMP[START DATE],ROW($B11)-ROW($B$8)),"NE",IF(AND(INDEX(T_EMP[TERMINATION DATE],ROW($B11)-ROW($B$8))&gt;0,Z$8&gt;INDEX(T_EMP[TERMINATION DATE],ROW($B11)-ROW($B$8))),"NE",IF(NOT(ISERROR(MATCH(Z$8,L_HOLS,0))),"H",IF(INDEX(L_WKNDVAL,WEEKDAY(Z$8,1))=1,"WKND",INDEX(T_LEAVE[LEAVE CODE],SUMPRODUCT(--(T_LEAVE[NAME]=$B11),--(T_LEAVE[DATE]&lt;=Z$8),--(T_LEAVE[DATE]&gt;=Z$8),ROW(T_LEAVE[LEAVE CODE]))-ROW(T_LEAVE[#Headers]))))))),"")</f>
        <v/>
      </c>
      <c r="AA11" s="75" t="str">
        <f>IFERROR(IF(AA$8="","NA",IF(AA$8&lt;INDEX(T_EMP[START DATE],ROW($B11)-ROW($B$8)),"NE",IF(AND(INDEX(T_EMP[TERMINATION DATE],ROW($B11)-ROW($B$8))&gt;0,AA$8&gt;INDEX(T_EMP[TERMINATION DATE],ROW($B11)-ROW($B$8))),"NE",IF(NOT(ISERROR(MATCH(AA$8,L_HOLS,0))),"H",IF(INDEX(L_WKNDVAL,WEEKDAY(AA$8,1))=1,"WKND",INDEX(T_LEAVE[LEAVE CODE],SUMPRODUCT(--(T_LEAVE[NAME]=$B11),--(T_LEAVE[DATE]&lt;=AA$8),--(T_LEAVE[DATE]&gt;=AA$8),ROW(T_LEAVE[LEAVE CODE]))-ROW(T_LEAVE[#Headers]))))))),"")</f>
        <v/>
      </c>
      <c r="AB11" s="75" t="str">
        <f>IFERROR(IF(AB$8="","NA",IF(AB$8&lt;INDEX(T_EMP[START DATE],ROW($B11)-ROW($B$8)),"NE",IF(AND(INDEX(T_EMP[TERMINATION DATE],ROW($B11)-ROW($B$8))&gt;0,AB$8&gt;INDEX(T_EMP[TERMINATION DATE],ROW($B11)-ROW($B$8))),"NE",IF(NOT(ISERROR(MATCH(AB$8,L_HOLS,0))),"H",IF(INDEX(L_WKNDVAL,WEEKDAY(AB$8,1))=1,"WKND",INDEX(T_LEAVE[LEAVE CODE],SUMPRODUCT(--(T_LEAVE[NAME]=$B11),--(T_LEAVE[DATE]&lt;=AB$8),--(T_LEAVE[DATE]&gt;=AB$8),ROW(T_LEAVE[LEAVE CODE]))-ROW(T_LEAVE[#Headers]))))))),"")</f>
        <v/>
      </c>
      <c r="AC11" s="75" t="str">
        <f>IFERROR(IF(AC$8="","NA",IF(AC$8&lt;INDEX(T_EMP[START DATE],ROW($B11)-ROW($B$8)),"NE",IF(AND(INDEX(T_EMP[TERMINATION DATE],ROW($B11)-ROW($B$8))&gt;0,AC$8&gt;INDEX(T_EMP[TERMINATION DATE],ROW($B11)-ROW($B$8))),"NE",IF(NOT(ISERROR(MATCH(AC$8,L_HOLS,0))),"H",IF(INDEX(L_WKNDVAL,WEEKDAY(AC$8,1))=1,"WKND",INDEX(T_LEAVE[LEAVE CODE],SUMPRODUCT(--(T_LEAVE[NAME]=$B11),--(T_LEAVE[DATE]&lt;=AC$8),--(T_LEAVE[DATE]&gt;=AC$8),ROW(T_LEAVE[LEAVE CODE]))-ROW(T_LEAVE[#Headers]))))))),"")</f>
        <v/>
      </c>
      <c r="AD11" s="75" t="str">
        <f>IFERROR(IF(AD$8="","NA",IF(AD$8&lt;INDEX(T_EMP[START DATE],ROW($B11)-ROW($B$8)),"NE",IF(AND(INDEX(T_EMP[TERMINATION DATE],ROW($B11)-ROW($B$8))&gt;0,AD$8&gt;INDEX(T_EMP[TERMINATION DATE],ROW($B11)-ROW($B$8))),"NE",IF(NOT(ISERROR(MATCH(AD$8,L_HOLS,0))),"H",IF(INDEX(L_WKNDVAL,WEEKDAY(AD$8,1))=1,"WKND",INDEX(T_LEAVE[LEAVE CODE],SUMPRODUCT(--(T_LEAVE[NAME]=$B11),--(T_LEAVE[DATE]&lt;=AD$8),--(T_LEAVE[DATE]&gt;=AD$8),ROW(T_LEAVE[LEAVE CODE]))-ROW(T_LEAVE[#Headers]))))))),"")</f>
        <v/>
      </c>
      <c r="AE11" s="75" t="str">
        <f>IFERROR(IF(AE$8="","NA",IF(AE$8&lt;INDEX(T_EMP[START DATE],ROW($B11)-ROW($B$8)),"NE",IF(AND(INDEX(T_EMP[TERMINATION DATE],ROW($B11)-ROW($B$8))&gt;0,AE$8&gt;INDEX(T_EMP[TERMINATION DATE],ROW($B11)-ROW($B$8))),"NE",IF(NOT(ISERROR(MATCH(AE$8,L_HOLS,0))),"H",IF(INDEX(L_WKNDVAL,WEEKDAY(AE$8,1))=1,"WKND",INDEX(T_LEAVE[LEAVE CODE],SUMPRODUCT(--(T_LEAVE[NAME]=$B11),--(T_LEAVE[DATE]&lt;=AE$8),--(T_LEAVE[DATE]&gt;=AE$8),ROW(T_LEAVE[LEAVE CODE]))-ROW(T_LEAVE[#Headers]))))))),"")</f>
        <v/>
      </c>
      <c r="AF11" s="75" t="str">
        <f>IFERROR(IF(AF$8="","NA",IF(AF$8&lt;INDEX(T_EMP[START DATE],ROW($B11)-ROW($B$8)),"NE",IF(AND(INDEX(T_EMP[TERMINATION DATE],ROW($B11)-ROW($B$8))&gt;0,AF$8&gt;INDEX(T_EMP[TERMINATION DATE],ROW($B11)-ROW($B$8))),"NE",IF(NOT(ISERROR(MATCH(AF$8,L_HOLS,0))),"H",IF(INDEX(L_WKNDVAL,WEEKDAY(AF$8,1))=1,"WKND",INDEX(T_LEAVE[LEAVE CODE],SUMPRODUCT(--(T_LEAVE[NAME]=$B11),--(T_LEAVE[DATE]&lt;=AF$8),--(T_LEAVE[DATE]&gt;=AF$8),ROW(T_LEAVE[LEAVE CODE]))-ROW(T_LEAVE[#Headers]))))))),"")</f>
        <v/>
      </c>
      <c r="AG11" s="75" t="str">
        <f>IFERROR(IF(AG$8="","NA",IF(AG$8&lt;INDEX(T_EMP[START DATE],ROW($B11)-ROW($B$8)),"NE",IF(AND(INDEX(T_EMP[TERMINATION DATE],ROW($B11)-ROW($B$8))&gt;0,AG$8&gt;INDEX(T_EMP[TERMINATION DATE],ROW($B11)-ROW($B$8))),"NE",IF(NOT(ISERROR(MATCH(AG$8,L_HOLS,0))),"H",IF(INDEX(L_WKNDVAL,WEEKDAY(AG$8,1))=1,"WKND",INDEX(T_LEAVE[LEAVE CODE],SUMPRODUCT(--(T_LEAVE[NAME]=$B11),--(T_LEAVE[DATE]&lt;=AG$8),--(T_LEAVE[DATE]&gt;=AG$8),ROW(T_LEAVE[LEAVE CODE]))-ROW(T_LEAVE[#Headers]))))))),"")</f>
        <v/>
      </c>
      <c r="AH11" s="75" t="str">
        <f>IFERROR(IF(AH$8="","NA",IF(AH$8&lt;INDEX(T_EMP[START DATE],ROW($B11)-ROW($B$8)),"NE",IF(AND(INDEX(T_EMP[TERMINATION DATE],ROW($B11)-ROW($B$8))&gt;0,AH$8&gt;INDEX(T_EMP[TERMINATION DATE],ROW($B11)-ROW($B$8))),"NE",IF(NOT(ISERROR(MATCH(AH$8,L_HOLS,0))),"H",IF(INDEX(L_WKNDVAL,WEEKDAY(AH$8,1))=1,"WKND",INDEX(T_LEAVE[LEAVE CODE],SUMPRODUCT(--(T_LEAVE[NAME]=$B11),--(T_LEAVE[DATE]&lt;=AH$8),--(T_LEAVE[DATE]&gt;=AH$8),ROW(T_LEAVE[LEAVE CODE]))-ROW(T_LEAVE[#Headers]))))))),"")</f>
        <v/>
      </c>
      <c r="AJ11" s="88">
        <f>IF(OR($B11="",AJ$8=""),"",COUNTIFS($D11:$AH11,AJ$8)*INDEX(T_LEAVETYPE[DAY VALUE],1))</f>
        <v>0</v>
      </c>
      <c r="AK11" s="88">
        <f>IF(OR($B11="",AK$8=""),"",COUNTIFS($D11:$AH11,AK$8)*INDEX(T_LEAVETYPE[DAY VALUE],2))</f>
        <v>0</v>
      </c>
      <c r="AL11" s="88">
        <f>IF(OR($B11="",AL$8=""),"",COUNTIFS($D11:$AH11,AL$8)*INDEX(T_LEAVETYPE[DAY VALUE],3))</f>
        <v>0</v>
      </c>
      <c r="AM11" s="88">
        <f>IF(OR($B11="",AM$8=""),"",COUNTIFS($D11:$AH11,AM$8)*INDEX(T_LEAVETYPE[DAY VALUE],4))</f>
        <v>0</v>
      </c>
      <c r="AN11" s="88">
        <f>IF(OR($B11="",AN$8=""),"",COUNTIFS($D11:$AH11,AN$8)*INDEX(T_LEAVETYPE[DAY VALUE],5))</f>
        <v>0</v>
      </c>
      <c r="AO11" s="88">
        <f>IF(OR($B11="",AO$8=""),"",COUNTIFS($D11:$AH11,AO$8)*INDEX(T_LEAVETYPE[DAY VALUE],6))</f>
        <v>0</v>
      </c>
      <c r="AP11" s="88">
        <f>IF(OR($B11="",AP$8=""),"",COUNTIFS($D11:$AH11,AP$8)*INDEX(T_LEAVETYPE[DAY VALUE],7))</f>
        <v>0</v>
      </c>
      <c r="AQ11" s="88">
        <f>IF(OR($B11="",AQ$8=""),"",COUNTIFS($D11:$AH11,AQ$8)*INDEX(T_LEAVETYPE[DAY VALUE],8))</f>
        <v>0</v>
      </c>
      <c r="AR11" s="89">
        <f t="shared" si="3"/>
        <v>0</v>
      </c>
    </row>
    <row r="12" spans="1:44" x14ac:dyDescent="0.25">
      <c r="A12" s="90">
        <f t="shared" si="4"/>
        <v>4</v>
      </c>
      <c r="B12" s="74" t="str">
        <f>IFERROR(INDEX(T_EMP[NAME],ROW(B12)-ROW($B$8)),"")</f>
        <v>MAGNO, ALVIN</v>
      </c>
      <c r="C12" s="91" t="str">
        <f>IFERROR(INDEX(T_EMP[DEPARTMENT],ROW(B12)-ROW($C$8)),"")</f>
        <v>IB SUPPORT</v>
      </c>
      <c r="D12" s="75" t="str">
        <f>IFERROR(IF(D$8="","NA",IF(D$8&lt;INDEX(T_EMP[START DATE],ROW($B12)-ROW($B$8)),"NE",IF(AND(INDEX(T_EMP[TERMINATION DATE],ROW($B12)-ROW($B$8))&gt;0,D$8&gt;INDEX(T_EMP[TERMINATION DATE],ROW($B12)-ROW($B$8))),"NE",IF(NOT(ISERROR(MATCH(D$8,L_HOLS,0))),"H",IF(INDEX(L_WKNDVAL,WEEKDAY(D$8,1))=1,"WKND",INDEX(T_LEAVE[LEAVE CODE],SUMPRODUCT(--(T_LEAVE[NAME]=$B12),--(T_LEAVE[DATE]&lt;=D$8),--(T_LEAVE[DATE]&gt;=D$8),ROW(T_LEAVE[LEAVE CODE]))-ROW(T_LEAVE[#Headers]))))))),"")</f>
        <v>H</v>
      </c>
      <c r="E12" s="75" t="str">
        <f>IFERROR(IF(E$8="","NA",IF(E$8&lt;INDEX(T_EMP[START DATE],ROW($B12)-ROW($B$8)),"NE",IF(AND(INDEX(T_EMP[TERMINATION DATE],ROW($B12)-ROW($B$8))&gt;0,E$8&gt;INDEX(T_EMP[TERMINATION DATE],ROW($B12)-ROW($B$8))),"NE",IF(NOT(ISERROR(MATCH(E$8,L_HOLS,0))),"H",IF(INDEX(L_WKNDVAL,WEEKDAY(E$8,1))=1,"WKND",INDEX(T_LEAVE[LEAVE CODE],SUMPRODUCT(--(T_LEAVE[NAME]=$B12),--(T_LEAVE[DATE]&lt;=E$8),--(T_LEAVE[DATE]&gt;=E$8),ROW(T_LEAVE[LEAVE CODE]))-ROW(T_LEAVE[#Headers]))))))),"")</f>
        <v/>
      </c>
      <c r="F12" s="75" t="str">
        <f>IFERROR(IF(F$8="","NA",IF(F$8&lt;INDEX(T_EMP[START DATE],ROW($B12)-ROW($B$8)),"NE",IF(AND(INDEX(T_EMP[TERMINATION DATE],ROW($B12)-ROW($B$8))&gt;0,F$8&gt;INDEX(T_EMP[TERMINATION DATE],ROW($B12)-ROW($B$8))),"NE",IF(NOT(ISERROR(MATCH(F$8,L_HOLS,0))),"H",IF(INDEX(L_WKNDVAL,WEEKDAY(F$8,1))=1,"WKND",INDEX(T_LEAVE[LEAVE CODE],SUMPRODUCT(--(T_LEAVE[NAME]=$B12),--(T_LEAVE[DATE]&lt;=F$8),--(T_LEAVE[DATE]&gt;=F$8),ROW(T_LEAVE[LEAVE CODE]))-ROW(T_LEAVE[#Headers]))))))),"")</f>
        <v/>
      </c>
      <c r="G12" s="75" t="str">
        <f>IFERROR(IF(G$8="","NA",IF(G$8&lt;INDEX(T_EMP[START DATE],ROW($B12)-ROW($B$8)),"NE",IF(AND(INDEX(T_EMP[TERMINATION DATE],ROW($B12)-ROW($B$8))&gt;0,G$8&gt;INDEX(T_EMP[TERMINATION DATE],ROW($B12)-ROW($B$8))),"NE",IF(NOT(ISERROR(MATCH(G$8,L_HOLS,0))),"H",IF(INDEX(L_WKNDVAL,WEEKDAY(G$8,1))=1,"WKND",INDEX(T_LEAVE[LEAVE CODE],SUMPRODUCT(--(T_LEAVE[NAME]=$B12),--(T_LEAVE[DATE]&lt;=G$8),--(T_LEAVE[DATE]&gt;=G$8),ROW(T_LEAVE[LEAVE CODE]))-ROW(T_LEAVE[#Headers]))))))),"")</f>
        <v/>
      </c>
      <c r="H12" s="75" t="str">
        <f>IFERROR(IF(H$8="","NA",IF(H$8&lt;INDEX(T_EMP[START DATE],ROW($B12)-ROW($B$8)),"NE",IF(AND(INDEX(T_EMP[TERMINATION DATE],ROW($B12)-ROW($B$8))&gt;0,H$8&gt;INDEX(T_EMP[TERMINATION DATE],ROW($B12)-ROW($B$8))),"NE",IF(NOT(ISERROR(MATCH(H$8,L_HOLS,0))),"H",IF(INDEX(L_WKNDVAL,WEEKDAY(H$8,1))=1,"WKND",INDEX(T_LEAVE[LEAVE CODE],SUMPRODUCT(--(T_LEAVE[NAME]=$B12),--(T_LEAVE[DATE]&lt;=H$8),--(T_LEAVE[DATE]&gt;=H$8),ROW(T_LEAVE[LEAVE CODE]))-ROW(T_LEAVE[#Headers]))))))),"")</f>
        <v/>
      </c>
      <c r="I12" s="75" t="str">
        <f>IFERROR(IF(I$8="","NA",IF(I$8&lt;INDEX(T_EMP[START DATE],ROW($B12)-ROW($B$8)),"NE",IF(AND(INDEX(T_EMP[TERMINATION DATE],ROW($B12)-ROW($B$8))&gt;0,I$8&gt;INDEX(T_EMP[TERMINATION DATE],ROW($B12)-ROW($B$8))),"NE",IF(NOT(ISERROR(MATCH(I$8,L_HOLS,0))),"H",IF(INDEX(L_WKNDVAL,WEEKDAY(I$8,1))=1,"WKND",INDEX(T_LEAVE[LEAVE CODE],SUMPRODUCT(--(T_LEAVE[NAME]=$B12),--(T_LEAVE[DATE]&lt;=I$8),--(T_LEAVE[DATE]&gt;=I$8),ROW(T_LEAVE[LEAVE CODE]))-ROW(T_LEAVE[#Headers]))))))),"")</f>
        <v/>
      </c>
      <c r="J12" s="75" t="str">
        <f>IFERROR(IF(J$8="","NA",IF(J$8&lt;INDEX(T_EMP[START DATE],ROW($B12)-ROW($B$8)),"NE",IF(AND(INDEX(T_EMP[TERMINATION DATE],ROW($B12)-ROW($B$8))&gt;0,J$8&gt;INDEX(T_EMP[TERMINATION DATE],ROW($B12)-ROW($B$8))),"NE",IF(NOT(ISERROR(MATCH(J$8,L_HOLS,0))),"H",IF(INDEX(L_WKNDVAL,WEEKDAY(J$8,1))=1,"WKND",INDEX(T_LEAVE[LEAVE CODE],SUMPRODUCT(--(T_LEAVE[NAME]=$B12),--(T_LEAVE[DATE]&lt;=J$8),--(T_LEAVE[DATE]&gt;=J$8),ROW(T_LEAVE[LEAVE CODE]))-ROW(T_LEAVE[#Headers]))))))),"")</f>
        <v/>
      </c>
      <c r="K12" s="75" t="str">
        <f>IFERROR(IF(K$8="","NA",IF(K$8&lt;INDEX(T_EMP[START DATE],ROW($B12)-ROW($B$8)),"NE",IF(AND(INDEX(T_EMP[TERMINATION DATE],ROW($B12)-ROW($B$8))&gt;0,K$8&gt;INDEX(T_EMP[TERMINATION DATE],ROW($B12)-ROW($B$8))),"NE",IF(NOT(ISERROR(MATCH(K$8,L_HOLS,0))),"H",IF(INDEX(L_WKNDVAL,WEEKDAY(K$8,1))=1,"WKND",INDEX(T_LEAVE[LEAVE CODE],SUMPRODUCT(--(T_LEAVE[NAME]=$B12),--(T_LEAVE[DATE]&lt;=K$8),--(T_LEAVE[DATE]&gt;=K$8),ROW(T_LEAVE[LEAVE CODE]))-ROW(T_LEAVE[#Headers]))))))),"")</f>
        <v/>
      </c>
      <c r="L12" s="75" t="str">
        <f>IFERROR(IF(L$8="","NA",IF(L$8&lt;INDEX(T_EMP[START DATE],ROW($B12)-ROW($B$8)),"NE",IF(AND(INDEX(T_EMP[TERMINATION DATE],ROW($B12)-ROW($B$8))&gt;0,L$8&gt;INDEX(T_EMP[TERMINATION DATE],ROW($B12)-ROW($B$8))),"NE",IF(NOT(ISERROR(MATCH(L$8,L_HOLS,0))),"H",IF(INDEX(L_WKNDVAL,WEEKDAY(L$8,1))=1,"WKND",INDEX(T_LEAVE[LEAVE CODE],SUMPRODUCT(--(T_LEAVE[NAME]=$B12),--(T_LEAVE[DATE]&lt;=L$8),--(T_LEAVE[DATE]&gt;=L$8),ROW(T_LEAVE[LEAVE CODE]))-ROW(T_LEAVE[#Headers]))))))),"")</f>
        <v/>
      </c>
      <c r="M12" s="75" t="str">
        <f>IFERROR(IF(M$8="","NA",IF(M$8&lt;INDEX(T_EMP[START DATE],ROW($B12)-ROW($B$8)),"NE",IF(AND(INDEX(T_EMP[TERMINATION DATE],ROW($B12)-ROW($B$8))&gt;0,M$8&gt;INDEX(T_EMP[TERMINATION DATE],ROW($B12)-ROW($B$8))),"NE",IF(NOT(ISERROR(MATCH(M$8,L_HOLS,0))),"H",IF(INDEX(L_WKNDVAL,WEEKDAY(M$8,1))=1,"WKND",INDEX(T_LEAVE[LEAVE CODE],SUMPRODUCT(--(T_LEAVE[NAME]=$B12),--(T_LEAVE[DATE]&lt;=M$8),--(T_LEAVE[DATE]&gt;=M$8),ROW(T_LEAVE[LEAVE CODE]))-ROW(T_LEAVE[#Headers]))))))),"")</f>
        <v/>
      </c>
      <c r="N12" s="75" t="str">
        <f>IFERROR(IF(N$8="","NA",IF(N$8&lt;INDEX(T_EMP[START DATE],ROW($B12)-ROW($B$8)),"NE",IF(AND(INDEX(T_EMP[TERMINATION DATE],ROW($B12)-ROW($B$8))&gt;0,N$8&gt;INDEX(T_EMP[TERMINATION DATE],ROW($B12)-ROW($B$8))),"NE",IF(NOT(ISERROR(MATCH(N$8,L_HOLS,0))),"H",IF(INDEX(L_WKNDVAL,WEEKDAY(N$8,1))=1,"WKND",INDEX(T_LEAVE[LEAVE CODE],SUMPRODUCT(--(T_LEAVE[NAME]=$B12),--(T_LEAVE[DATE]&lt;=N$8),--(T_LEAVE[DATE]&gt;=N$8),ROW(T_LEAVE[LEAVE CODE]))-ROW(T_LEAVE[#Headers]))))))),"")</f>
        <v/>
      </c>
      <c r="O12" s="75" t="str">
        <f>IFERROR(IF(O$8="","NA",IF(O$8&lt;INDEX(T_EMP[START DATE],ROW($B12)-ROW($B$8)),"NE",IF(AND(INDEX(T_EMP[TERMINATION DATE],ROW($B12)-ROW($B$8))&gt;0,O$8&gt;INDEX(T_EMP[TERMINATION DATE],ROW($B12)-ROW($B$8))),"NE",IF(NOT(ISERROR(MATCH(O$8,L_HOLS,0))),"H",IF(INDEX(L_WKNDVAL,WEEKDAY(O$8,1))=1,"WKND",INDEX(T_LEAVE[LEAVE CODE],SUMPRODUCT(--(T_LEAVE[NAME]=$B12),--(T_LEAVE[DATE]&lt;=O$8),--(T_LEAVE[DATE]&gt;=O$8),ROW(T_LEAVE[LEAVE CODE]))-ROW(T_LEAVE[#Headers]))))))),"")</f>
        <v/>
      </c>
      <c r="P12" s="75" t="str">
        <f>IFERROR(IF(P$8="","NA",IF(P$8&lt;INDEX(T_EMP[START DATE],ROW($B12)-ROW($B$8)),"NE",IF(AND(INDEX(T_EMP[TERMINATION DATE],ROW($B12)-ROW($B$8))&gt;0,P$8&gt;INDEX(T_EMP[TERMINATION DATE],ROW($B12)-ROW($B$8))),"NE",IF(NOT(ISERROR(MATCH(P$8,L_HOLS,0))),"H",IF(INDEX(L_WKNDVAL,WEEKDAY(P$8,1))=1,"WKND",INDEX(T_LEAVE[LEAVE CODE],SUMPRODUCT(--(T_LEAVE[NAME]=$B12),--(T_LEAVE[DATE]&lt;=P$8),--(T_LEAVE[DATE]&gt;=P$8),ROW(T_LEAVE[LEAVE CODE]))-ROW(T_LEAVE[#Headers]))))))),"")</f>
        <v>H</v>
      </c>
      <c r="Q12" s="75" t="str">
        <f>IFERROR(IF(Q$8="","NA",IF(Q$8&lt;INDEX(T_EMP[START DATE],ROW($B12)-ROW($B$8)),"NE",IF(AND(INDEX(T_EMP[TERMINATION DATE],ROW($B12)-ROW($B$8))&gt;0,Q$8&gt;INDEX(T_EMP[TERMINATION DATE],ROW($B12)-ROW($B$8))),"NE",IF(NOT(ISERROR(MATCH(Q$8,L_HOLS,0))),"H",IF(INDEX(L_WKNDVAL,WEEKDAY(Q$8,1))=1,"WKND",INDEX(T_LEAVE[LEAVE CODE],SUMPRODUCT(--(T_LEAVE[NAME]=$B12),--(T_LEAVE[DATE]&lt;=Q$8),--(T_LEAVE[DATE]&gt;=Q$8),ROW(T_LEAVE[LEAVE CODE]))-ROW(T_LEAVE[#Headers]))))))),"")</f>
        <v/>
      </c>
      <c r="R12" s="75" t="str">
        <f>IFERROR(IF(R$8="","NA",IF(R$8&lt;INDEX(T_EMP[START DATE],ROW($B12)-ROW($B$8)),"NE",IF(AND(INDEX(T_EMP[TERMINATION DATE],ROW($B12)-ROW($B$8))&gt;0,R$8&gt;INDEX(T_EMP[TERMINATION DATE],ROW($B12)-ROW($B$8))),"NE",IF(NOT(ISERROR(MATCH(R$8,L_HOLS,0))),"H",IF(INDEX(L_WKNDVAL,WEEKDAY(R$8,1))=1,"WKND",INDEX(T_LEAVE[LEAVE CODE],SUMPRODUCT(--(T_LEAVE[NAME]=$B12),--(T_LEAVE[DATE]&lt;=R$8),--(T_LEAVE[DATE]&gt;=R$8),ROW(T_LEAVE[LEAVE CODE]))-ROW(T_LEAVE[#Headers]))))))),"")</f>
        <v/>
      </c>
      <c r="S12" s="75" t="str">
        <f>IFERROR(IF(S$8="","NA",IF(S$8&lt;INDEX(T_EMP[START DATE],ROW($B12)-ROW($B$8)),"NE",IF(AND(INDEX(T_EMP[TERMINATION DATE],ROW($B12)-ROW($B$8))&gt;0,S$8&gt;INDEX(T_EMP[TERMINATION DATE],ROW($B12)-ROW($B$8))),"NE",IF(NOT(ISERROR(MATCH(S$8,L_HOLS,0))),"H",IF(INDEX(L_WKNDVAL,WEEKDAY(S$8,1))=1,"WKND",INDEX(T_LEAVE[LEAVE CODE],SUMPRODUCT(--(T_LEAVE[NAME]=$B12),--(T_LEAVE[DATE]&lt;=S$8),--(T_LEAVE[DATE]&gt;=S$8),ROW(T_LEAVE[LEAVE CODE]))-ROW(T_LEAVE[#Headers]))))))),"")</f>
        <v/>
      </c>
      <c r="T12" s="75" t="str">
        <f>IFERROR(IF(T$8="","NA",IF(T$8&lt;INDEX(T_EMP[START DATE],ROW($B12)-ROW($B$8)),"NE",IF(AND(INDEX(T_EMP[TERMINATION DATE],ROW($B12)-ROW($B$8))&gt;0,T$8&gt;INDEX(T_EMP[TERMINATION DATE],ROW($B12)-ROW($B$8))),"NE",IF(NOT(ISERROR(MATCH(T$8,L_HOLS,0))),"H",IF(INDEX(L_WKNDVAL,WEEKDAY(T$8,1))=1,"WKND",INDEX(T_LEAVE[LEAVE CODE],SUMPRODUCT(--(T_LEAVE[NAME]=$B12),--(T_LEAVE[DATE]&lt;=T$8),--(T_LEAVE[DATE]&gt;=T$8),ROW(T_LEAVE[LEAVE CODE]))-ROW(T_LEAVE[#Headers]))))))),"")</f>
        <v/>
      </c>
      <c r="U12" s="75" t="str">
        <f>IFERROR(IF(U$8="","NA",IF(U$8&lt;INDEX(T_EMP[START DATE],ROW($B12)-ROW($B$8)),"NE",IF(AND(INDEX(T_EMP[TERMINATION DATE],ROW($B12)-ROW($B$8))&gt;0,U$8&gt;INDEX(T_EMP[TERMINATION DATE],ROW($B12)-ROW($B$8))),"NE",IF(NOT(ISERROR(MATCH(U$8,L_HOLS,0))),"H",IF(INDEX(L_WKNDVAL,WEEKDAY(U$8,1))=1,"WKND",INDEX(T_LEAVE[LEAVE CODE],SUMPRODUCT(--(T_LEAVE[NAME]=$B12),--(T_LEAVE[DATE]&lt;=U$8),--(T_LEAVE[DATE]&gt;=U$8),ROW(T_LEAVE[LEAVE CODE]))-ROW(T_LEAVE[#Headers]))))))),"")</f>
        <v/>
      </c>
      <c r="V12" s="75" t="str">
        <f>IFERROR(IF(V$8="","NA",IF(V$8&lt;INDEX(T_EMP[START DATE],ROW($B12)-ROW($B$8)),"NE",IF(AND(INDEX(T_EMP[TERMINATION DATE],ROW($B12)-ROW($B$8))&gt;0,V$8&gt;INDEX(T_EMP[TERMINATION DATE],ROW($B12)-ROW($B$8))),"NE",IF(NOT(ISERROR(MATCH(V$8,L_HOLS,0))),"H",IF(INDEX(L_WKNDVAL,WEEKDAY(V$8,1))=1,"WKND",INDEX(T_LEAVE[LEAVE CODE],SUMPRODUCT(--(T_LEAVE[NAME]=$B12),--(T_LEAVE[DATE]&lt;=V$8),--(T_LEAVE[DATE]&gt;=V$8),ROW(T_LEAVE[LEAVE CODE]))-ROW(T_LEAVE[#Headers]))))))),"")</f>
        <v/>
      </c>
      <c r="W12" s="75" t="str">
        <f>IFERROR(IF(W$8="","NA",IF(W$8&lt;INDEX(T_EMP[START DATE],ROW($B12)-ROW($B$8)),"NE",IF(AND(INDEX(T_EMP[TERMINATION DATE],ROW($B12)-ROW($B$8))&gt;0,W$8&gt;INDEX(T_EMP[TERMINATION DATE],ROW($B12)-ROW($B$8))),"NE",IF(NOT(ISERROR(MATCH(W$8,L_HOLS,0))),"H",IF(INDEX(L_WKNDVAL,WEEKDAY(W$8,1))=1,"WKND",INDEX(T_LEAVE[LEAVE CODE],SUMPRODUCT(--(T_LEAVE[NAME]=$B12),--(T_LEAVE[DATE]&lt;=W$8),--(T_LEAVE[DATE]&gt;=W$8),ROW(T_LEAVE[LEAVE CODE]))-ROW(T_LEAVE[#Headers]))))))),"")</f>
        <v/>
      </c>
      <c r="X12" s="75" t="str">
        <f>IFERROR(IF(X$8="","NA",IF(X$8&lt;INDEX(T_EMP[START DATE],ROW($B12)-ROW($B$8)),"NE",IF(AND(INDEX(T_EMP[TERMINATION DATE],ROW($B12)-ROW($B$8))&gt;0,X$8&gt;INDEX(T_EMP[TERMINATION DATE],ROW($B12)-ROW($B$8))),"NE",IF(NOT(ISERROR(MATCH(X$8,L_HOLS,0))),"H",IF(INDEX(L_WKNDVAL,WEEKDAY(X$8,1))=1,"WKND",INDEX(T_LEAVE[LEAVE CODE],SUMPRODUCT(--(T_LEAVE[NAME]=$B12),--(T_LEAVE[DATE]&lt;=X$8),--(T_LEAVE[DATE]&gt;=X$8),ROW(T_LEAVE[LEAVE CODE]))-ROW(T_LEAVE[#Headers]))))))),"")</f>
        <v/>
      </c>
      <c r="Y12" s="75" t="str">
        <f>IFERROR(IF(Y$8="","NA",IF(Y$8&lt;INDEX(T_EMP[START DATE],ROW($B12)-ROW($B$8)),"NE",IF(AND(INDEX(T_EMP[TERMINATION DATE],ROW($B12)-ROW($B$8))&gt;0,Y$8&gt;INDEX(T_EMP[TERMINATION DATE],ROW($B12)-ROW($B$8))),"NE",IF(NOT(ISERROR(MATCH(Y$8,L_HOLS,0))),"H",IF(INDEX(L_WKNDVAL,WEEKDAY(Y$8,1))=1,"WKND",INDEX(T_LEAVE[LEAVE CODE],SUMPRODUCT(--(T_LEAVE[NAME]=$B12),--(T_LEAVE[DATE]&lt;=Y$8),--(T_LEAVE[DATE]&gt;=Y$8),ROW(T_LEAVE[LEAVE CODE]))-ROW(T_LEAVE[#Headers]))))))),"")</f>
        <v/>
      </c>
      <c r="Z12" s="75" t="str">
        <f>IFERROR(IF(Z$8="","NA",IF(Z$8&lt;INDEX(T_EMP[START DATE],ROW($B12)-ROW($B$8)),"NE",IF(AND(INDEX(T_EMP[TERMINATION DATE],ROW($B12)-ROW($B$8))&gt;0,Z$8&gt;INDEX(T_EMP[TERMINATION DATE],ROW($B12)-ROW($B$8))),"NE",IF(NOT(ISERROR(MATCH(Z$8,L_HOLS,0))),"H",IF(INDEX(L_WKNDVAL,WEEKDAY(Z$8,1))=1,"WKND",INDEX(T_LEAVE[LEAVE CODE],SUMPRODUCT(--(T_LEAVE[NAME]=$B12),--(T_LEAVE[DATE]&lt;=Z$8),--(T_LEAVE[DATE]&gt;=Z$8),ROW(T_LEAVE[LEAVE CODE]))-ROW(T_LEAVE[#Headers]))))))),"")</f>
        <v/>
      </c>
      <c r="AA12" s="75" t="str">
        <f>IFERROR(IF(AA$8="","NA",IF(AA$8&lt;INDEX(T_EMP[START DATE],ROW($B12)-ROW($B$8)),"NE",IF(AND(INDEX(T_EMP[TERMINATION DATE],ROW($B12)-ROW($B$8))&gt;0,AA$8&gt;INDEX(T_EMP[TERMINATION DATE],ROW($B12)-ROW($B$8))),"NE",IF(NOT(ISERROR(MATCH(AA$8,L_HOLS,0))),"H",IF(INDEX(L_WKNDVAL,WEEKDAY(AA$8,1))=1,"WKND",INDEX(T_LEAVE[LEAVE CODE],SUMPRODUCT(--(T_LEAVE[NAME]=$B12),--(T_LEAVE[DATE]&lt;=AA$8),--(T_LEAVE[DATE]&gt;=AA$8),ROW(T_LEAVE[LEAVE CODE]))-ROW(T_LEAVE[#Headers]))))))),"")</f>
        <v/>
      </c>
      <c r="AB12" s="75" t="str">
        <f>IFERROR(IF(AB$8="","NA",IF(AB$8&lt;INDEX(T_EMP[START DATE],ROW($B12)-ROW($B$8)),"NE",IF(AND(INDEX(T_EMP[TERMINATION DATE],ROW($B12)-ROW($B$8))&gt;0,AB$8&gt;INDEX(T_EMP[TERMINATION DATE],ROW($B12)-ROW($B$8))),"NE",IF(NOT(ISERROR(MATCH(AB$8,L_HOLS,0))),"H",IF(INDEX(L_WKNDVAL,WEEKDAY(AB$8,1))=1,"WKND",INDEX(T_LEAVE[LEAVE CODE],SUMPRODUCT(--(T_LEAVE[NAME]=$B12),--(T_LEAVE[DATE]&lt;=AB$8),--(T_LEAVE[DATE]&gt;=AB$8),ROW(T_LEAVE[LEAVE CODE]))-ROW(T_LEAVE[#Headers]))))))),"")</f>
        <v/>
      </c>
      <c r="AC12" s="75" t="str">
        <f>IFERROR(IF(AC$8="","NA",IF(AC$8&lt;INDEX(T_EMP[START DATE],ROW($B12)-ROW($B$8)),"NE",IF(AND(INDEX(T_EMP[TERMINATION DATE],ROW($B12)-ROW($B$8))&gt;0,AC$8&gt;INDEX(T_EMP[TERMINATION DATE],ROW($B12)-ROW($B$8))),"NE",IF(NOT(ISERROR(MATCH(AC$8,L_HOLS,0))),"H",IF(INDEX(L_WKNDVAL,WEEKDAY(AC$8,1))=1,"WKND",INDEX(T_LEAVE[LEAVE CODE],SUMPRODUCT(--(T_LEAVE[NAME]=$B12),--(T_LEAVE[DATE]&lt;=AC$8),--(T_LEAVE[DATE]&gt;=AC$8),ROW(T_LEAVE[LEAVE CODE]))-ROW(T_LEAVE[#Headers]))))))),"")</f>
        <v/>
      </c>
      <c r="AD12" s="75" t="str">
        <f>IFERROR(IF(AD$8="","NA",IF(AD$8&lt;INDEX(T_EMP[START DATE],ROW($B12)-ROW($B$8)),"NE",IF(AND(INDEX(T_EMP[TERMINATION DATE],ROW($B12)-ROW($B$8))&gt;0,AD$8&gt;INDEX(T_EMP[TERMINATION DATE],ROW($B12)-ROW($B$8))),"NE",IF(NOT(ISERROR(MATCH(AD$8,L_HOLS,0))),"H",IF(INDEX(L_WKNDVAL,WEEKDAY(AD$8,1))=1,"WKND",INDEX(T_LEAVE[LEAVE CODE],SUMPRODUCT(--(T_LEAVE[NAME]=$B12),--(T_LEAVE[DATE]&lt;=AD$8),--(T_LEAVE[DATE]&gt;=AD$8),ROW(T_LEAVE[LEAVE CODE]))-ROW(T_LEAVE[#Headers]))))))),"")</f>
        <v/>
      </c>
      <c r="AE12" s="75" t="str">
        <f>IFERROR(IF(AE$8="","NA",IF(AE$8&lt;INDEX(T_EMP[START DATE],ROW($B12)-ROW($B$8)),"NE",IF(AND(INDEX(T_EMP[TERMINATION DATE],ROW($B12)-ROW($B$8))&gt;0,AE$8&gt;INDEX(T_EMP[TERMINATION DATE],ROW($B12)-ROW($B$8))),"NE",IF(NOT(ISERROR(MATCH(AE$8,L_HOLS,0))),"H",IF(INDEX(L_WKNDVAL,WEEKDAY(AE$8,1))=1,"WKND",INDEX(T_LEAVE[LEAVE CODE],SUMPRODUCT(--(T_LEAVE[NAME]=$B12),--(T_LEAVE[DATE]&lt;=AE$8),--(T_LEAVE[DATE]&gt;=AE$8),ROW(T_LEAVE[LEAVE CODE]))-ROW(T_LEAVE[#Headers]))))))),"")</f>
        <v/>
      </c>
      <c r="AF12" s="75" t="str">
        <f>IFERROR(IF(AF$8="","NA",IF(AF$8&lt;INDEX(T_EMP[START DATE],ROW($B12)-ROW($B$8)),"NE",IF(AND(INDEX(T_EMP[TERMINATION DATE],ROW($B12)-ROW($B$8))&gt;0,AF$8&gt;INDEX(T_EMP[TERMINATION DATE],ROW($B12)-ROW($B$8))),"NE",IF(NOT(ISERROR(MATCH(AF$8,L_HOLS,0))),"H",IF(INDEX(L_WKNDVAL,WEEKDAY(AF$8,1))=1,"WKND",INDEX(T_LEAVE[LEAVE CODE],SUMPRODUCT(--(T_LEAVE[NAME]=$B12),--(T_LEAVE[DATE]&lt;=AF$8),--(T_LEAVE[DATE]&gt;=AF$8),ROW(T_LEAVE[LEAVE CODE]))-ROW(T_LEAVE[#Headers]))))))),"")</f>
        <v/>
      </c>
      <c r="AG12" s="75" t="str">
        <f>IFERROR(IF(AG$8="","NA",IF(AG$8&lt;INDEX(T_EMP[START DATE],ROW($B12)-ROW($B$8)),"NE",IF(AND(INDEX(T_EMP[TERMINATION DATE],ROW($B12)-ROW($B$8))&gt;0,AG$8&gt;INDEX(T_EMP[TERMINATION DATE],ROW($B12)-ROW($B$8))),"NE",IF(NOT(ISERROR(MATCH(AG$8,L_HOLS,0))),"H",IF(INDEX(L_WKNDVAL,WEEKDAY(AG$8,1))=1,"WKND",INDEX(T_LEAVE[LEAVE CODE],SUMPRODUCT(--(T_LEAVE[NAME]=$B12),--(T_LEAVE[DATE]&lt;=AG$8),--(T_LEAVE[DATE]&gt;=AG$8),ROW(T_LEAVE[LEAVE CODE]))-ROW(T_LEAVE[#Headers]))))))),"")</f>
        <v/>
      </c>
      <c r="AH12" s="75" t="str">
        <f>IFERROR(IF(AH$8="","NA",IF(AH$8&lt;INDEX(T_EMP[START DATE],ROW($B12)-ROW($B$8)),"NE",IF(AND(INDEX(T_EMP[TERMINATION DATE],ROW($B12)-ROW($B$8))&gt;0,AH$8&gt;INDEX(T_EMP[TERMINATION DATE],ROW($B12)-ROW($B$8))),"NE",IF(NOT(ISERROR(MATCH(AH$8,L_HOLS,0))),"H",IF(INDEX(L_WKNDVAL,WEEKDAY(AH$8,1))=1,"WKND",INDEX(T_LEAVE[LEAVE CODE],SUMPRODUCT(--(T_LEAVE[NAME]=$B12),--(T_LEAVE[DATE]&lt;=AH$8),--(T_LEAVE[DATE]&gt;=AH$8),ROW(T_LEAVE[LEAVE CODE]))-ROW(T_LEAVE[#Headers]))))))),"")</f>
        <v/>
      </c>
      <c r="AJ12" s="88">
        <f>IF(OR($B12="",AJ$8=""),"",COUNTIFS($D12:$AH12,AJ$8)*INDEX(T_LEAVETYPE[DAY VALUE],1))</f>
        <v>0</v>
      </c>
      <c r="AK12" s="88">
        <f>IF(OR($B12="",AK$8=""),"",COUNTIFS($D12:$AH12,AK$8)*INDEX(T_LEAVETYPE[DAY VALUE],2))</f>
        <v>0</v>
      </c>
      <c r="AL12" s="88">
        <f>IF(OR($B12="",AL$8=""),"",COUNTIFS($D12:$AH12,AL$8)*INDEX(T_LEAVETYPE[DAY VALUE],3))</f>
        <v>0</v>
      </c>
      <c r="AM12" s="88">
        <f>IF(OR($B12="",AM$8=""),"",COUNTIFS($D12:$AH12,AM$8)*INDEX(T_LEAVETYPE[DAY VALUE],4))</f>
        <v>0</v>
      </c>
      <c r="AN12" s="88">
        <f>IF(OR($B12="",AN$8=""),"",COUNTIFS($D12:$AH12,AN$8)*INDEX(T_LEAVETYPE[DAY VALUE],5))</f>
        <v>0</v>
      </c>
      <c r="AO12" s="88">
        <f>IF(OR($B12="",AO$8=""),"",COUNTIFS($D12:$AH12,AO$8)*INDEX(T_LEAVETYPE[DAY VALUE],6))</f>
        <v>0</v>
      </c>
      <c r="AP12" s="88">
        <f>IF(OR($B12="",AP$8=""),"",COUNTIFS($D12:$AH12,AP$8)*INDEX(T_LEAVETYPE[DAY VALUE],7))</f>
        <v>0</v>
      </c>
      <c r="AQ12" s="88">
        <f>IF(OR($B12="",AQ$8=""),"",COUNTIFS($D12:$AH12,AQ$8)*INDEX(T_LEAVETYPE[DAY VALUE],8))</f>
        <v>0</v>
      </c>
      <c r="AR12" s="89">
        <f t="shared" si="3"/>
        <v>0</v>
      </c>
    </row>
    <row r="13" spans="1:44" x14ac:dyDescent="0.25">
      <c r="A13" s="90">
        <f t="shared" si="4"/>
        <v>5</v>
      </c>
      <c r="B13" s="74" t="str">
        <f>IFERROR(INDEX(T_EMP[NAME],ROW(B13)-ROW($B$8)),"")</f>
        <v>MACALALAD, ANAMARIE</v>
      </c>
      <c r="C13" s="91" t="str">
        <f>IFERROR(INDEX(T_EMP[DEPARTMENT],ROW(B13)-ROW($C$8)),"")</f>
        <v>IB SUPPORT</v>
      </c>
      <c r="D13" s="75" t="str">
        <f>IFERROR(IF(D$8="","NA",IF(D$8&lt;INDEX(T_EMP[START DATE],ROW($B13)-ROW($B$8)),"NE",IF(AND(INDEX(T_EMP[TERMINATION DATE],ROW($B13)-ROW($B$8))&gt;0,D$8&gt;INDEX(T_EMP[TERMINATION DATE],ROW($B13)-ROW($B$8))),"NE",IF(NOT(ISERROR(MATCH(D$8,L_HOLS,0))),"H",IF(INDEX(L_WKNDVAL,WEEKDAY(D$8,1))=1,"WKND",INDEX(T_LEAVE[LEAVE CODE],SUMPRODUCT(--(T_LEAVE[NAME]=$B13),--(T_LEAVE[DATE]&lt;=D$8),--(T_LEAVE[DATE]&gt;=D$8),ROW(T_LEAVE[LEAVE CODE]))-ROW(T_LEAVE[#Headers]))))))),"")</f>
        <v>H</v>
      </c>
      <c r="E13" s="75" t="str">
        <f>IFERROR(IF(E$8="","NA",IF(E$8&lt;INDEX(T_EMP[START DATE],ROW($B13)-ROW($B$8)),"NE",IF(AND(INDEX(T_EMP[TERMINATION DATE],ROW($B13)-ROW($B$8))&gt;0,E$8&gt;INDEX(T_EMP[TERMINATION DATE],ROW($B13)-ROW($B$8))),"NE",IF(NOT(ISERROR(MATCH(E$8,L_HOLS,0))),"H",IF(INDEX(L_WKNDVAL,WEEKDAY(E$8,1))=1,"WKND",INDEX(T_LEAVE[LEAVE CODE],SUMPRODUCT(--(T_LEAVE[NAME]=$B13),--(T_LEAVE[DATE]&lt;=E$8),--(T_LEAVE[DATE]&gt;=E$8),ROW(T_LEAVE[LEAVE CODE]))-ROW(T_LEAVE[#Headers]))))))),"")</f>
        <v/>
      </c>
      <c r="F13" s="75" t="str">
        <f>IFERROR(IF(F$8="","NA",IF(F$8&lt;INDEX(T_EMP[START DATE],ROW($B13)-ROW($B$8)),"NE",IF(AND(INDEX(T_EMP[TERMINATION DATE],ROW($B13)-ROW($B$8))&gt;0,F$8&gt;INDEX(T_EMP[TERMINATION DATE],ROW($B13)-ROW($B$8))),"NE",IF(NOT(ISERROR(MATCH(F$8,L_HOLS,0))),"H",IF(INDEX(L_WKNDVAL,WEEKDAY(F$8,1))=1,"WKND",INDEX(T_LEAVE[LEAVE CODE],SUMPRODUCT(--(T_LEAVE[NAME]=$B13),--(T_LEAVE[DATE]&lt;=F$8),--(T_LEAVE[DATE]&gt;=F$8),ROW(T_LEAVE[LEAVE CODE]))-ROW(T_LEAVE[#Headers]))))))),"")</f>
        <v/>
      </c>
      <c r="G13" s="75" t="str">
        <f>IFERROR(IF(G$8="","NA",IF(G$8&lt;INDEX(T_EMP[START DATE],ROW($B13)-ROW($B$8)),"NE",IF(AND(INDEX(T_EMP[TERMINATION DATE],ROW($B13)-ROW($B$8))&gt;0,G$8&gt;INDEX(T_EMP[TERMINATION DATE],ROW($B13)-ROW($B$8))),"NE",IF(NOT(ISERROR(MATCH(G$8,L_HOLS,0))),"H",IF(INDEX(L_WKNDVAL,WEEKDAY(G$8,1))=1,"WKND",INDEX(T_LEAVE[LEAVE CODE],SUMPRODUCT(--(T_LEAVE[NAME]=$B13),--(T_LEAVE[DATE]&lt;=G$8),--(T_LEAVE[DATE]&gt;=G$8),ROW(T_LEAVE[LEAVE CODE]))-ROW(T_LEAVE[#Headers]))))))),"")</f>
        <v/>
      </c>
      <c r="H13" s="75" t="str">
        <f>IFERROR(IF(H$8="","NA",IF(H$8&lt;INDEX(T_EMP[START DATE],ROW($B13)-ROW($B$8)),"NE",IF(AND(INDEX(T_EMP[TERMINATION DATE],ROW($B13)-ROW($B$8))&gt;0,H$8&gt;INDEX(T_EMP[TERMINATION DATE],ROW($B13)-ROW($B$8))),"NE",IF(NOT(ISERROR(MATCH(H$8,L_HOLS,0))),"H",IF(INDEX(L_WKNDVAL,WEEKDAY(H$8,1))=1,"WKND",INDEX(T_LEAVE[LEAVE CODE],SUMPRODUCT(--(T_LEAVE[NAME]=$B13),--(T_LEAVE[DATE]&lt;=H$8),--(T_LEAVE[DATE]&gt;=H$8),ROW(T_LEAVE[LEAVE CODE]))-ROW(T_LEAVE[#Headers]))))))),"")</f>
        <v/>
      </c>
      <c r="I13" s="75" t="str">
        <f>IFERROR(IF(I$8="","NA",IF(I$8&lt;INDEX(T_EMP[START DATE],ROW($B13)-ROW($B$8)),"NE",IF(AND(INDEX(T_EMP[TERMINATION DATE],ROW($B13)-ROW($B$8))&gt;0,I$8&gt;INDEX(T_EMP[TERMINATION DATE],ROW($B13)-ROW($B$8))),"NE",IF(NOT(ISERROR(MATCH(I$8,L_HOLS,0))),"H",IF(INDEX(L_WKNDVAL,WEEKDAY(I$8,1))=1,"WKND",INDEX(T_LEAVE[LEAVE CODE],SUMPRODUCT(--(T_LEAVE[NAME]=$B13),--(T_LEAVE[DATE]&lt;=I$8),--(T_LEAVE[DATE]&gt;=I$8),ROW(T_LEAVE[LEAVE CODE]))-ROW(T_LEAVE[#Headers]))))))),"")</f>
        <v/>
      </c>
      <c r="J13" s="75" t="str">
        <f>IFERROR(IF(J$8="","NA",IF(J$8&lt;INDEX(T_EMP[START DATE],ROW($B13)-ROW($B$8)),"NE",IF(AND(INDEX(T_EMP[TERMINATION DATE],ROW($B13)-ROW($B$8))&gt;0,J$8&gt;INDEX(T_EMP[TERMINATION DATE],ROW($B13)-ROW($B$8))),"NE",IF(NOT(ISERROR(MATCH(J$8,L_HOLS,0))),"H",IF(INDEX(L_WKNDVAL,WEEKDAY(J$8,1))=1,"WKND",INDEX(T_LEAVE[LEAVE CODE],SUMPRODUCT(--(T_LEAVE[NAME]=$B13),--(T_LEAVE[DATE]&lt;=J$8),--(T_LEAVE[DATE]&gt;=J$8),ROW(T_LEAVE[LEAVE CODE]))-ROW(T_LEAVE[#Headers]))))))),"")</f>
        <v/>
      </c>
      <c r="K13" s="75" t="str">
        <f>IFERROR(IF(K$8="","NA",IF(K$8&lt;INDEX(T_EMP[START DATE],ROW($B13)-ROW($B$8)),"NE",IF(AND(INDEX(T_EMP[TERMINATION DATE],ROW($B13)-ROW($B$8))&gt;0,K$8&gt;INDEX(T_EMP[TERMINATION DATE],ROW($B13)-ROW($B$8))),"NE",IF(NOT(ISERROR(MATCH(K$8,L_HOLS,0))),"H",IF(INDEX(L_WKNDVAL,WEEKDAY(K$8,1))=1,"WKND",INDEX(T_LEAVE[LEAVE CODE],SUMPRODUCT(--(T_LEAVE[NAME]=$B13),--(T_LEAVE[DATE]&lt;=K$8),--(T_LEAVE[DATE]&gt;=K$8),ROW(T_LEAVE[LEAVE CODE]))-ROW(T_LEAVE[#Headers]))))))),"")</f>
        <v/>
      </c>
      <c r="L13" s="75" t="str">
        <f>IFERROR(IF(L$8="","NA",IF(L$8&lt;INDEX(T_EMP[START DATE],ROW($B13)-ROW($B$8)),"NE",IF(AND(INDEX(T_EMP[TERMINATION DATE],ROW($B13)-ROW($B$8))&gt;0,L$8&gt;INDEX(T_EMP[TERMINATION DATE],ROW($B13)-ROW($B$8))),"NE",IF(NOT(ISERROR(MATCH(L$8,L_HOLS,0))),"H",IF(INDEX(L_WKNDVAL,WEEKDAY(L$8,1))=1,"WKND",INDEX(T_LEAVE[LEAVE CODE],SUMPRODUCT(--(T_LEAVE[NAME]=$B13),--(T_LEAVE[DATE]&lt;=L$8),--(T_LEAVE[DATE]&gt;=L$8),ROW(T_LEAVE[LEAVE CODE]))-ROW(T_LEAVE[#Headers]))))))),"")</f>
        <v/>
      </c>
      <c r="M13" s="75" t="str">
        <f>IFERROR(IF(M$8="","NA",IF(M$8&lt;INDEX(T_EMP[START DATE],ROW($B13)-ROW($B$8)),"NE",IF(AND(INDEX(T_EMP[TERMINATION DATE],ROW($B13)-ROW($B$8))&gt;0,M$8&gt;INDEX(T_EMP[TERMINATION DATE],ROW($B13)-ROW($B$8))),"NE",IF(NOT(ISERROR(MATCH(M$8,L_HOLS,0))),"H",IF(INDEX(L_WKNDVAL,WEEKDAY(M$8,1))=1,"WKND",INDEX(T_LEAVE[LEAVE CODE],SUMPRODUCT(--(T_LEAVE[NAME]=$B13),--(T_LEAVE[DATE]&lt;=M$8),--(T_LEAVE[DATE]&gt;=M$8),ROW(T_LEAVE[LEAVE CODE]))-ROW(T_LEAVE[#Headers]))))))),"")</f>
        <v/>
      </c>
      <c r="N13" s="75" t="str">
        <f>IFERROR(IF(N$8="","NA",IF(N$8&lt;INDEX(T_EMP[START DATE],ROW($B13)-ROW($B$8)),"NE",IF(AND(INDEX(T_EMP[TERMINATION DATE],ROW($B13)-ROW($B$8))&gt;0,N$8&gt;INDEX(T_EMP[TERMINATION DATE],ROW($B13)-ROW($B$8))),"NE",IF(NOT(ISERROR(MATCH(N$8,L_HOLS,0))),"H",IF(INDEX(L_WKNDVAL,WEEKDAY(N$8,1))=1,"WKND",INDEX(T_LEAVE[LEAVE CODE],SUMPRODUCT(--(T_LEAVE[NAME]=$B13),--(T_LEAVE[DATE]&lt;=N$8),--(T_LEAVE[DATE]&gt;=N$8),ROW(T_LEAVE[LEAVE CODE]))-ROW(T_LEAVE[#Headers]))))))),"")</f>
        <v/>
      </c>
      <c r="O13" s="75" t="str">
        <f>IFERROR(IF(O$8="","NA",IF(O$8&lt;INDEX(T_EMP[START DATE],ROW($B13)-ROW($B$8)),"NE",IF(AND(INDEX(T_EMP[TERMINATION DATE],ROW($B13)-ROW($B$8))&gt;0,O$8&gt;INDEX(T_EMP[TERMINATION DATE],ROW($B13)-ROW($B$8))),"NE",IF(NOT(ISERROR(MATCH(O$8,L_HOLS,0))),"H",IF(INDEX(L_WKNDVAL,WEEKDAY(O$8,1))=1,"WKND",INDEX(T_LEAVE[LEAVE CODE],SUMPRODUCT(--(T_LEAVE[NAME]=$B13),--(T_LEAVE[DATE]&lt;=O$8),--(T_LEAVE[DATE]&gt;=O$8),ROW(T_LEAVE[LEAVE CODE]))-ROW(T_LEAVE[#Headers]))))))),"")</f>
        <v/>
      </c>
      <c r="P13" s="75" t="str">
        <f>IFERROR(IF(P$8="","NA",IF(P$8&lt;INDEX(T_EMP[START DATE],ROW($B13)-ROW($B$8)),"NE",IF(AND(INDEX(T_EMP[TERMINATION DATE],ROW($B13)-ROW($B$8))&gt;0,P$8&gt;INDEX(T_EMP[TERMINATION DATE],ROW($B13)-ROW($B$8))),"NE",IF(NOT(ISERROR(MATCH(P$8,L_HOLS,0))),"H",IF(INDEX(L_WKNDVAL,WEEKDAY(P$8,1))=1,"WKND",INDEX(T_LEAVE[LEAVE CODE],SUMPRODUCT(--(T_LEAVE[NAME]=$B13),--(T_LEAVE[DATE]&lt;=P$8),--(T_LEAVE[DATE]&gt;=P$8),ROW(T_LEAVE[LEAVE CODE]))-ROW(T_LEAVE[#Headers]))))))),"")</f>
        <v>H</v>
      </c>
      <c r="Q13" s="75" t="str">
        <f>IFERROR(IF(Q$8="","NA",IF(Q$8&lt;INDEX(T_EMP[START DATE],ROW($B13)-ROW($B$8)),"NE",IF(AND(INDEX(T_EMP[TERMINATION DATE],ROW($B13)-ROW($B$8))&gt;0,Q$8&gt;INDEX(T_EMP[TERMINATION DATE],ROW($B13)-ROW($B$8))),"NE",IF(NOT(ISERROR(MATCH(Q$8,L_HOLS,0))),"H",IF(INDEX(L_WKNDVAL,WEEKDAY(Q$8,1))=1,"WKND",INDEX(T_LEAVE[LEAVE CODE],SUMPRODUCT(--(T_LEAVE[NAME]=$B13),--(T_LEAVE[DATE]&lt;=Q$8),--(T_LEAVE[DATE]&gt;=Q$8),ROW(T_LEAVE[LEAVE CODE]))-ROW(T_LEAVE[#Headers]))))))),"")</f>
        <v/>
      </c>
      <c r="R13" s="75" t="str">
        <f>IFERROR(IF(R$8="","NA",IF(R$8&lt;INDEX(T_EMP[START DATE],ROW($B13)-ROW($B$8)),"NE",IF(AND(INDEX(T_EMP[TERMINATION DATE],ROW($B13)-ROW($B$8))&gt;0,R$8&gt;INDEX(T_EMP[TERMINATION DATE],ROW($B13)-ROW($B$8))),"NE",IF(NOT(ISERROR(MATCH(R$8,L_HOLS,0))),"H",IF(INDEX(L_WKNDVAL,WEEKDAY(R$8,1))=1,"WKND",INDEX(T_LEAVE[LEAVE CODE],SUMPRODUCT(--(T_LEAVE[NAME]=$B13),--(T_LEAVE[DATE]&lt;=R$8),--(T_LEAVE[DATE]&gt;=R$8),ROW(T_LEAVE[LEAVE CODE]))-ROW(T_LEAVE[#Headers]))))))),"")</f>
        <v/>
      </c>
      <c r="S13" s="75" t="str">
        <f>IFERROR(IF(S$8="","NA",IF(S$8&lt;INDEX(T_EMP[START DATE],ROW($B13)-ROW($B$8)),"NE",IF(AND(INDEX(T_EMP[TERMINATION DATE],ROW($B13)-ROW($B$8))&gt;0,S$8&gt;INDEX(T_EMP[TERMINATION DATE],ROW($B13)-ROW($B$8))),"NE",IF(NOT(ISERROR(MATCH(S$8,L_HOLS,0))),"H",IF(INDEX(L_WKNDVAL,WEEKDAY(S$8,1))=1,"WKND",INDEX(T_LEAVE[LEAVE CODE],SUMPRODUCT(--(T_LEAVE[NAME]=$B13),--(T_LEAVE[DATE]&lt;=S$8),--(T_LEAVE[DATE]&gt;=S$8),ROW(T_LEAVE[LEAVE CODE]))-ROW(T_LEAVE[#Headers]))))))),"")</f>
        <v/>
      </c>
      <c r="T13" s="75" t="str">
        <f>IFERROR(IF(T$8="","NA",IF(T$8&lt;INDEX(T_EMP[START DATE],ROW($B13)-ROW($B$8)),"NE",IF(AND(INDEX(T_EMP[TERMINATION DATE],ROW($B13)-ROW($B$8))&gt;0,T$8&gt;INDEX(T_EMP[TERMINATION DATE],ROW($B13)-ROW($B$8))),"NE",IF(NOT(ISERROR(MATCH(T$8,L_HOLS,0))),"H",IF(INDEX(L_WKNDVAL,WEEKDAY(T$8,1))=1,"WKND",INDEX(T_LEAVE[LEAVE CODE],SUMPRODUCT(--(T_LEAVE[NAME]=$B13),--(T_LEAVE[DATE]&lt;=T$8),--(T_LEAVE[DATE]&gt;=T$8),ROW(T_LEAVE[LEAVE CODE]))-ROW(T_LEAVE[#Headers]))))))),"")</f>
        <v/>
      </c>
      <c r="U13" s="75" t="str">
        <f>IFERROR(IF(U$8="","NA",IF(U$8&lt;INDEX(T_EMP[START DATE],ROW($B13)-ROW($B$8)),"NE",IF(AND(INDEX(T_EMP[TERMINATION DATE],ROW($B13)-ROW($B$8))&gt;0,U$8&gt;INDEX(T_EMP[TERMINATION DATE],ROW($B13)-ROW($B$8))),"NE",IF(NOT(ISERROR(MATCH(U$8,L_HOLS,0))),"H",IF(INDEX(L_WKNDVAL,WEEKDAY(U$8,1))=1,"WKND",INDEX(T_LEAVE[LEAVE CODE],SUMPRODUCT(--(T_LEAVE[NAME]=$B13),--(T_LEAVE[DATE]&lt;=U$8),--(T_LEAVE[DATE]&gt;=U$8),ROW(T_LEAVE[LEAVE CODE]))-ROW(T_LEAVE[#Headers]))))))),"")</f>
        <v/>
      </c>
      <c r="V13" s="75" t="str">
        <f>IFERROR(IF(V$8="","NA",IF(V$8&lt;INDEX(T_EMP[START DATE],ROW($B13)-ROW($B$8)),"NE",IF(AND(INDEX(T_EMP[TERMINATION DATE],ROW($B13)-ROW($B$8))&gt;0,V$8&gt;INDEX(T_EMP[TERMINATION DATE],ROW($B13)-ROW($B$8))),"NE",IF(NOT(ISERROR(MATCH(V$8,L_HOLS,0))),"H",IF(INDEX(L_WKNDVAL,WEEKDAY(V$8,1))=1,"WKND",INDEX(T_LEAVE[LEAVE CODE],SUMPRODUCT(--(T_LEAVE[NAME]=$B13),--(T_LEAVE[DATE]&lt;=V$8),--(T_LEAVE[DATE]&gt;=V$8),ROW(T_LEAVE[LEAVE CODE]))-ROW(T_LEAVE[#Headers]))))))),"")</f>
        <v/>
      </c>
      <c r="W13" s="75" t="str">
        <f>IFERROR(IF(W$8="","NA",IF(W$8&lt;INDEX(T_EMP[START DATE],ROW($B13)-ROW($B$8)),"NE",IF(AND(INDEX(T_EMP[TERMINATION DATE],ROW($B13)-ROW($B$8))&gt;0,W$8&gt;INDEX(T_EMP[TERMINATION DATE],ROW($B13)-ROW($B$8))),"NE",IF(NOT(ISERROR(MATCH(W$8,L_HOLS,0))),"H",IF(INDEX(L_WKNDVAL,WEEKDAY(W$8,1))=1,"WKND",INDEX(T_LEAVE[LEAVE CODE],SUMPRODUCT(--(T_LEAVE[NAME]=$B13),--(T_LEAVE[DATE]&lt;=W$8),--(T_LEAVE[DATE]&gt;=W$8),ROW(T_LEAVE[LEAVE CODE]))-ROW(T_LEAVE[#Headers]))))))),"")</f>
        <v/>
      </c>
      <c r="X13" s="75" t="str">
        <f>IFERROR(IF(X$8="","NA",IF(X$8&lt;INDEX(T_EMP[START DATE],ROW($B13)-ROW($B$8)),"NE",IF(AND(INDEX(T_EMP[TERMINATION DATE],ROW($B13)-ROW($B$8))&gt;0,X$8&gt;INDEX(T_EMP[TERMINATION DATE],ROW($B13)-ROW($B$8))),"NE",IF(NOT(ISERROR(MATCH(X$8,L_HOLS,0))),"H",IF(INDEX(L_WKNDVAL,WEEKDAY(X$8,1))=1,"WKND",INDEX(T_LEAVE[LEAVE CODE],SUMPRODUCT(--(T_LEAVE[NAME]=$B13),--(T_LEAVE[DATE]&lt;=X$8),--(T_LEAVE[DATE]&gt;=X$8),ROW(T_LEAVE[LEAVE CODE]))-ROW(T_LEAVE[#Headers]))))))),"")</f>
        <v/>
      </c>
      <c r="Y13" s="75" t="str">
        <f>IFERROR(IF(Y$8="","NA",IF(Y$8&lt;INDEX(T_EMP[START DATE],ROW($B13)-ROW($B$8)),"NE",IF(AND(INDEX(T_EMP[TERMINATION DATE],ROW($B13)-ROW($B$8))&gt;0,Y$8&gt;INDEX(T_EMP[TERMINATION DATE],ROW($B13)-ROW($B$8))),"NE",IF(NOT(ISERROR(MATCH(Y$8,L_HOLS,0))),"H",IF(INDEX(L_WKNDVAL,WEEKDAY(Y$8,1))=1,"WKND",INDEX(T_LEAVE[LEAVE CODE],SUMPRODUCT(--(T_LEAVE[NAME]=$B13),--(T_LEAVE[DATE]&lt;=Y$8),--(T_LEAVE[DATE]&gt;=Y$8),ROW(T_LEAVE[LEAVE CODE]))-ROW(T_LEAVE[#Headers]))))))),"")</f>
        <v/>
      </c>
      <c r="Z13" s="75" t="str">
        <f>IFERROR(IF(Z$8="","NA",IF(Z$8&lt;INDEX(T_EMP[START DATE],ROW($B13)-ROW($B$8)),"NE",IF(AND(INDEX(T_EMP[TERMINATION DATE],ROW($B13)-ROW($B$8))&gt;0,Z$8&gt;INDEX(T_EMP[TERMINATION DATE],ROW($B13)-ROW($B$8))),"NE",IF(NOT(ISERROR(MATCH(Z$8,L_HOLS,0))),"H",IF(INDEX(L_WKNDVAL,WEEKDAY(Z$8,1))=1,"WKND",INDEX(T_LEAVE[LEAVE CODE],SUMPRODUCT(--(T_LEAVE[NAME]=$B13),--(T_LEAVE[DATE]&lt;=Z$8),--(T_LEAVE[DATE]&gt;=Z$8),ROW(T_LEAVE[LEAVE CODE]))-ROW(T_LEAVE[#Headers]))))))),"")</f>
        <v/>
      </c>
      <c r="AA13" s="75" t="str">
        <f>IFERROR(IF(AA$8="","NA",IF(AA$8&lt;INDEX(T_EMP[START DATE],ROW($B13)-ROW($B$8)),"NE",IF(AND(INDEX(T_EMP[TERMINATION DATE],ROW($B13)-ROW($B$8))&gt;0,AA$8&gt;INDEX(T_EMP[TERMINATION DATE],ROW($B13)-ROW($B$8))),"NE",IF(NOT(ISERROR(MATCH(AA$8,L_HOLS,0))),"H",IF(INDEX(L_WKNDVAL,WEEKDAY(AA$8,1))=1,"WKND",INDEX(T_LEAVE[LEAVE CODE],SUMPRODUCT(--(T_LEAVE[NAME]=$B13),--(T_LEAVE[DATE]&lt;=AA$8),--(T_LEAVE[DATE]&gt;=AA$8),ROW(T_LEAVE[LEAVE CODE]))-ROW(T_LEAVE[#Headers]))))))),"")</f>
        <v/>
      </c>
      <c r="AB13" s="75" t="str">
        <f>IFERROR(IF(AB$8="","NA",IF(AB$8&lt;INDEX(T_EMP[START DATE],ROW($B13)-ROW($B$8)),"NE",IF(AND(INDEX(T_EMP[TERMINATION DATE],ROW($B13)-ROW($B$8))&gt;0,AB$8&gt;INDEX(T_EMP[TERMINATION DATE],ROW($B13)-ROW($B$8))),"NE",IF(NOT(ISERROR(MATCH(AB$8,L_HOLS,0))),"H",IF(INDEX(L_WKNDVAL,WEEKDAY(AB$8,1))=1,"WKND",INDEX(T_LEAVE[LEAVE CODE],SUMPRODUCT(--(T_LEAVE[NAME]=$B13),--(T_LEAVE[DATE]&lt;=AB$8),--(T_LEAVE[DATE]&gt;=AB$8),ROW(T_LEAVE[LEAVE CODE]))-ROW(T_LEAVE[#Headers]))))))),"")</f>
        <v/>
      </c>
      <c r="AC13" s="75" t="str">
        <f>IFERROR(IF(AC$8="","NA",IF(AC$8&lt;INDEX(T_EMP[START DATE],ROW($B13)-ROW($B$8)),"NE",IF(AND(INDEX(T_EMP[TERMINATION DATE],ROW($B13)-ROW($B$8))&gt;0,AC$8&gt;INDEX(T_EMP[TERMINATION DATE],ROW($B13)-ROW($B$8))),"NE",IF(NOT(ISERROR(MATCH(AC$8,L_HOLS,0))),"H",IF(INDEX(L_WKNDVAL,WEEKDAY(AC$8,1))=1,"WKND",INDEX(T_LEAVE[LEAVE CODE],SUMPRODUCT(--(T_LEAVE[NAME]=$B13),--(T_LEAVE[DATE]&lt;=AC$8),--(T_LEAVE[DATE]&gt;=AC$8),ROW(T_LEAVE[LEAVE CODE]))-ROW(T_LEAVE[#Headers]))))))),"")</f>
        <v/>
      </c>
      <c r="AD13" s="75" t="str">
        <f>IFERROR(IF(AD$8="","NA",IF(AD$8&lt;INDEX(T_EMP[START DATE],ROW($B13)-ROW($B$8)),"NE",IF(AND(INDEX(T_EMP[TERMINATION DATE],ROW($B13)-ROW($B$8))&gt;0,AD$8&gt;INDEX(T_EMP[TERMINATION DATE],ROW($B13)-ROW($B$8))),"NE",IF(NOT(ISERROR(MATCH(AD$8,L_HOLS,0))),"H",IF(INDEX(L_WKNDVAL,WEEKDAY(AD$8,1))=1,"WKND",INDEX(T_LEAVE[LEAVE CODE],SUMPRODUCT(--(T_LEAVE[NAME]=$B13),--(T_LEAVE[DATE]&lt;=AD$8),--(T_LEAVE[DATE]&gt;=AD$8),ROW(T_LEAVE[LEAVE CODE]))-ROW(T_LEAVE[#Headers]))))))),"")</f>
        <v/>
      </c>
      <c r="AE13" s="75" t="str">
        <f>IFERROR(IF(AE$8="","NA",IF(AE$8&lt;INDEX(T_EMP[START DATE],ROW($B13)-ROW($B$8)),"NE",IF(AND(INDEX(T_EMP[TERMINATION DATE],ROW($B13)-ROW($B$8))&gt;0,AE$8&gt;INDEX(T_EMP[TERMINATION DATE],ROW($B13)-ROW($B$8))),"NE",IF(NOT(ISERROR(MATCH(AE$8,L_HOLS,0))),"H",IF(INDEX(L_WKNDVAL,WEEKDAY(AE$8,1))=1,"WKND",INDEX(T_LEAVE[LEAVE CODE],SUMPRODUCT(--(T_LEAVE[NAME]=$B13),--(T_LEAVE[DATE]&lt;=AE$8),--(T_LEAVE[DATE]&gt;=AE$8),ROW(T_LEAVE[LEAVE CODE]))-ROW(T_LEAVE[#Headers]))))))),"")</f>
        <v/>
      </c>
      <c r="AF13" s="75" t="str">
        <f>IFERROR(IF(AF$8="","NA",IF(AF$8&lt;INDEX(T_EMP[START DATE],ROW($B13)-ROW($B$8)),"NE",IF(AND(INDEX(T_EMP[TERMINATION DATE],ROW($B13)-ROW($B$8))&gt;0,AF$8&gt;INDEX(T_EMP[TERMINATION DATE],ROW($B13)-ROW($B$8))),"NE",IF(NOT(ISERROR(MATCH(AF$8,L_HOLS,0))),"H",IF(INDEX(L_WKNDVAL,WEEKDAY(AF$8,1))=1,"WKND",INDEX(T_LEAVE[LEAVE CODE],SUMPRODUCT(--(T_LEAVE[NAME]=$B13),--(T_LEAVE[DATE]&lt;=AF$8),--(T_LEAVE[DATE]&gt;=AF$8),ROW(T_LEAVE[LEAVE CODE]))-ROW(T_LEAVE[#Headers]))))))),"")</f>
        <v/>
      </c>
      <c r="AG13" s="75" t="str">
        <f>IFERROR(IF(AG$8="","NA",IF(AG$8&lt;INDEX(T_EMP[START DATE],ROW($B13)-ROW($B$8)),"NE",IF(AND(INDEX(T_EMP[TERMINATION DATE],ROW($B13)-ROW($B$8))&gt;0,AG$8&gt;INDEX(T_EMP[TERMINATION DATE],ROW($B13)-ROW($B$8))),"NE",IF(NOT(ISERROR(MATCH(AG$8,L_HOLS,0))),"H",IF(INDEX(L_WKNDVAL,WEEKDAY(AG$8,1))=1,"WKND",INDEX(T_LEAVE[LEAVE CODE],SUMPRODUCT(--(T_LEAVE[NAME]=$B13),--(T_LEAVE[DATE]&lt;=AG$8),--(T_LEAVE[DATE]&gt;=AG$8),ROW(T_LEAVE[LEAVE CODE]))-ROW(T_LEAVE[#Headers]))))))),"")</f>
        <v/>
      </c>
      <c r="AH13" s="75" t="str">
        <f>IFERROR(IF(AH$8="","NA",IF(AH$8&lt;INDEX(T_EMP[START DATE],ROW($B13)-ROW($B$8)),"NE",IF(AND(INDEX(T_EMP[TERMINATION DATE],ROW($B13)-ROW($B$8))&gt;0,AH$8&gt;INDEX(T_EMP[TERMINATION DATE],ROW($B13)-ROW($B$8))),"NE",IF(NOT(ISERROR(MATCH(AH$8,L_HOLS,0))),"H",IF(INDEX(L_WKNDVAL,WEEKDAY(AH$8,1))=1,"WKND",INDEX(T_LEAVE[LEAVE CODE],SUMPRODUCT(--(T_LEAVE[NAME]=$B13),--(T_LEAVE[DATE]&lt;=AH$8),--(T_LEAVE[DATE]&gt;=AH$8),ROW(T_LEAVE[LEAVE CODE]))-ROW(T_LEAVE[#Headers]))))))),"")</f>
        <v/>
      </c>
      <c r="AJ13" s="88">
        <f>IF(OR($B13="",AJ$8=""),"",COUNTIFS($D13:$AH13,AJ$8)*INDEX(T_LEAVETYPE[DAY VALUE],1))</f>
        <v>0</v>
      </c>
      <c r="AK13" s="88">
        <f>IF(OR($B13="",AK$8=""),"",COUNTIFS($D13:$AH13,AK$8)*INDEX(T_LEAVETYPE[DAY VALUE],2))</f>
        <v>0</v>
      </c>
      <c r="AL13" s="88">
        <f>IF(OR($B13="",AL$8=""),"",COUNTIFS($D13:$AH13,AL$8)*INDEX(T_LEAVETYPE[DAY VALUE],3))</f>
        <v>0</v>
      </c>
      <c r="AM13" s="88">
        <f>IF(OR($B13="",AM$8=""),"",COUNTIFS($D13:$AH13,AM$8)*INDEX(T_LEAVETYPE[DAY VALUE],4))</f>
        <v>0</v>
      </c>
      <c r="AN13" s="88">
        <f>IF(OR($B13="",AN$8=""),"",COUNTIFS($D13:$AH13,AN$8)*INDEX(T_LEAVETYPE[DAY VALUE],5))</f>
        <v>0</v>
      </c>
      <c r="AO13" s="88">
        <f>IF(OR($B13="",AO$8=""),"",COUNTIFS($D13:$AH13,AO$8)*INDEX(T_LEAVETYPE[DAY VALUE],6))</f>
        <v>0</v>
      </c>
      <c r="AP13" s="88">
        <f>IF(OR($B13="",AP$8=""),"",COUNTIFS($D13:$AH13,AP$8)*INDEX(T_LEAVETYPE[DAY VALUE],7))</f>
        <v>0</v>
      </c>
      <c r="AQ13" s="88">
        <f>IF(OR($B13="",AQ$8=""),"",COUNTIFS($D13:$AH13,AQ$8)*INDEX(T_LEAVETYPE[DAY VALUE],8))</f>
        <v>0</v>
      </c>
      <c r="AR13" s="89">
        <f t="shared" si="3"/>
        <v>0</v>
      </c>
    </row>
    <row r="14" spans="1:44" x14ac:dyDescent="0.25">
      <c r="A14" s="90">
        <f t="shared" si="4"/>
        <v>6</v>
      </c>
      <c r="B14" s="74" t="str">
        <f>IFERROR(INDEX(T_EMP[NAME],ROW(B14)-ROW($B$8)),"")</f>
        <v>GONZALES, MA-ANNE</v>
      </c>
      <c r="C14" s="91" t="str">
        <f>IFERROR(INDEX(T_EMP[DEPARTMENT],ROW(B14)-ROW($C$8)),"")</f>
        <v>IB SUPPORT</v>
      </c>
      <c r="D14" s="75" t="str">
        <f>IFERROR(IF(D$8="","NA",IF(D$8&lt;INDEX(T_EMP[START DATE],ROW($B14)-ROW($B$8)),"NE",IF(AND(INDEX(T_EMP[TERMINATION DATE],ROW($B14)-ROW($B$8))&gt;0,D$8&gt;INDEX(T_EMP[TERMINATION DATE],ROW($B14)-ROW($B$8))),"NE",IF(NOT(ISERROR(MATCH(D$8,L_HOLS,0))),"H",IF(INDEX(L_WKNDVAL,WEEKDAY(D$8,1))=1,"WKND",INDEX(T_LEAVE[LEAVE CODE],SUMPRODUCT(--(T_LEAVE[NAME]=$B14),--(T_LEAVE[DATE]&lt;=D$8),--(T_LEAVE[DATE]&gt;=D$8),ROW(T_LEAVE[LEAVE CODE]))-ROW(T_LEAVE[#Headers]))))))),"")</f>
        <v>H</v>
      </c>
      <c r="E14" s="75" t="str">
        <f>IFERROR(IF(E$8="","NA",IF(E$8&lt;INDEX(T_EMP[START DATE],ROW($B14)-ROW($B$8)),"NE",IF(AND(INDEX(T_EMP[TERMINATION DATE],ROW($B14)-ROW($B$8))&gt;0,E$8&gt;INDEX(T_EMP[TERMINATION DATE],ROW($B14)-ROW($B$8))),"NE",IF(NOT(ISERROR(MATCH(E$8,L_HOLS,0))),"H",IF(INDEX(L_WKNDVAL,WEEKDAY(E$8,1))=1,"WKND",INDEX(T_LEAVE[LEAVE CODE],SUMPRODUCT(--(T_LEAVE[NAME]=$B14),--(T_LEAVE[DATE]&lt;=E$8),--(T_LEAVE[DATE]&gt;=E$8),ROW(T_LEAVE[LEAVE CODE]))-ROW(T_LEAVE[#Headers]))))))),"")</f>
        <v/>
      </c>
      <c r="F14" s="75" t="str">
        <f>IFERROR(IF(F$8="","NA",IF(F$8&lt;INDEX(T_EMP[START DATE],ROW($B14)-ROW($B$8)),"NE",IF(AND(INDEX(T_EMP[TERMINATION DATE],ROW($B14)-ROW($B$8))&gt;0,F$8&gt;INDEX(T_EMP[TERMINATION DATE],ROW($B14)-ROW($B$8))),"NE",IF(NOT(ISERROR(MATCH(F$8,L_HOLS,0))),"H",IF(INDEX(L_WKNDVAL,WEEKDAY(F$8,1))=1,"WKND",INDEX(T_LEAVE[LEAVE CODE],SUMPRODUCT(--(T_LEAVE[NAME]=$B14),--(T_LEAVE[DATE]&lt;=F$8),--(T_LEAVE[DATE]&gt;=F$8),ROW(T_LEAVE[LEAVE CODE]))-ROW(T_LEAVE[#Headers]))))))),"")</f>
        <v/>
      </c>
      <c r="G14" s="75" t="str">
        <f>IFERROR(IF(G$8="","NA",IF(G$8&lt;INDEX(T_EMP[START DATE],ROW($B14)-ROW($B$8)),"NE",IF(AND(INDEX(T_EMP[TERMINATION DATE],ROW($B14)-ROW($B$8))&gt;0,G$8&gt;INDEX(T_EMP[TERMINATION DATE],ROW($B14)-ROW($B$8))),"NE",IF(NOT(ISERROR(MATCH(G$8,L_HOLS,0))),"H",IF(INDEX(L_WKNDVAL,WEEKDAY(G$8,1))=1,"WKND",INDEX(T_LEAVE[LEAVE CODE],SUMPRODUCT(--(T_LEAVE[NAME]=$B14),--(T_LEAVE[DATE]&lt;=G$8),--(T_LEAVE[DATE]&gt;=G$8),ROW(T_LEAVE[LEAVE CODE]))-ROW(T_LEAVE[#Headers]))))))),"")</f>
        <v/>
      </c>
      <c r="H14" s="75" t="str">
        <f>IFERROR(IF(H$8="","NA",IF(H$8&lt;INDEX(T_EMP[START DATE],ROW($B14)-ROW($B$8)),"NE",IF(AND(INDEX(T_EMP[TERMINATION DATE],ROW($B14)-ROW($B$8))&gt;0,H$8&gt;INDEX(T_EMP[TERMINATION DATE],ROW($B14)-ROW($B$8))),"NE",IF(NOT(ISERROR(MATCH(H$8,L_HOLS,0))),"H",IF(INDEX(L_WKNDVAL,WEEKDAY(H$8,1))=1,"WKND",INDEX(T_LEAVE[LEAVE CODE],SUMPRODUCT(--(T_LEAVE[NAME]=$B14),--(T_LEAVE[DATE]&lt;=H$8),--(T_LEAVE[DATE]&gt;=H$8),ROW(T_LEAVE[LEAVE CODE]))-ROW(T_LEAVE[#Headers]))))))),"")</f>
        <v/>
      </c>
      <c r="I14" s="75" t="str">
        <f>IFERROR(IF(I$8="","NA",IF(I$8&lt;INDEX(T_EMP[START DATE],ROW($B14)-ROW($B$8)),"NE",IF(AND(INDEX(T_EMP[TERMINATION DATE],ROW($B14)-ROW($B$8))&gt;0,I$8&gt;INDEX(T_EMP[TERMINATION DATE],ROW($B14)-ROW($B$8))),"NE",IF(NOT(ISERROR(MATCH(I$8,L_HOLS,0))),"H",IF(INDEX(L_WKNDVAL,WEEKDAY(I$8,1))=1,"WKND",INDEX(T_LEAVE[LEAVE CODE],SUMPRODUCT(--(T_LEAVE[NAME]=$B14),--(T_LEAVE[DATE]&lt;=I$8),--(T_LEAVE[DATE]&gt;=I$8),ROW(T_LEAVE[LEAVE CODE]))-ROW(T_LEAVE[#Headers]))))))),"")</f>
        <v/>
      </c>
      <c r="J14" s="75" t="str">
        <f>IFERROR(IF(J$8="","NA",IF(J$8&lt;INDEX(T_EMP[START DATE],ROW($B14)-ROW($B$8)),"NE",IF(AND(INDEX(T_EMP[TERMINATION DATE],ROW($B14)-ROW($B$8))&gt;0,J$8&gt;INDEX(T_EMP[TERMINATION DATE],ROW($B14)-ROW($B$8))),"NE",IF(NOT(ISERROR(MATCH(J$8,L_HOLS,0))),"H",IF(INDEX(L_WKNDVAL,WEEKDAY(J$8,1))=1,"WKND",INDEX(T_LEAVE[LEAVE CODE],SUMPRODUCT(--(T_LEAVE[NAME]=$B14),--(T_LEAVE[DATE]&lt;=J$8),--(T_LEAVE[DATE]&gt;=J$8),ROW(T_LEAVE[LEAVE CODE]))-ROW(T_LEAVE[#Headers]))))))),"")</f>
        <v/>
      </c>
      <c r="K14" s="75" t="str">
        <f>IFERROR(IF(K$8="","NA",IF(K$8&lt;INDEX(T_EMP[START DATE],ROW($B14)-ROW($B$8)),"NE",IF(AND(INDEX(T_EMP[TERMINATION DATE],ROW($B14)-ROW($B$8))&gt;0,K$8&gt;INDEX(T_EMP[TERMINATION DATE],ROW($B14)-ROW($B$8))),"NE",IF(NOT(ISERROR(MATCH(K$8,L_HOLS,0))),"H",IF(INDEX(L_WKNDVAL,WEEKDAY(K$8,1))=1,"WKND",INDEX(T_LEAVE[LEAVE CODE],SUMPRODUCT(--(T_LEAVE[NAME]=$B14),--(T_LEAVE[DATE]&lt;=K$8),--(T_LEAVE[DATE]&gt;=K$8),ROW(T_LEAVE[LEAVE CODE]))-ROW(T_LEAVE[#Headers]))))))),"")</f>
        <v/>
      </c>
      <c r="L14" s="75" t="str">
        <f>IFERROR(IF(L$8="","NA",IF(L$8&lt;INDEX(T_EMP[START DATE],ROW($B14)-ROW($B$8)),"NE",IF(AND(INDEX(T_EMP[TERMINATION DATE],ROW($B14)-ROW($B$8))&gt;0,L$8&gt;INDEX(T_EMP[TERMINATION DATE],ROW($B14)-ROW($B$8))),"NE",IF(NOT(ISERROR(MATCH(L$8,L_HOLS,0))),"H",IF(INDEX(L_WKNDVAL,WEEKDAY(L$8,1))=1,"WKND",INDEX(T_LEAVE[LEAVE CODE],SUMPRODUCT(--(T_LEAVE[NAME]=$B14),--(T_LEAVE[DATE]&lt;=L$8),--(T_LEAVE[DATE]&gt;=L$8),ROW(T_LEAVE[LEAVE CODE]))-ROW(T_LEAVE[#Headers]))))))),"")</f>
        <v/>
      </c>
      <c r="M14" s="75" t="str">
        <f>IFERROR(IF(M$8="","NA",IF(M$8&lt;INDEX(T_EMP[START DATE],ROW($B14)-ROW($B$8)),"NE",IF(AND(INDEX(T_EMP[TERMINATION DATE],ROW($B14)-ROW($B$8))&gt;0,M$8&gt;INDEX(T_EMP[TERMINATION DATE],ROW($B14)-ROW($B$8))),"NE",IF(NOT(ISERROR(MATCH(M$8,L_HOLS,0))),"H",IF(INDEX(L_WKNDVAL,WEEKDAY(M$8,1))=1,"WKND",INDEX(T_LEAVE[LEAVE CODE],SUMPRODUCT(--(T_LEAVE[NAME]=$B14),--(T_LEAVE[DATE]&lt;=M$8),--(T_LEAVE[DATE]&gt;=M$8),ROW(T_LEAVE[LEAVE CODE]))-ROW(T_LEAVE[#Headers]))))))),"")</f>
        <v/>
      </c>
      <c r="N14" s="75" t="str">
        <f>IFERROR(IF(N$8="","NA",IF(N$8&lt;INDEX(T_EMP[START DATE],ROW($B14)-ROW($B$8)),"NE",IF(AND(INDEX(T_EMP[TERMINATION DATE],ROW($B14)-ROW($B$8))&gt;0,N$8&gt;INDEX(T_EMP[TERMINATION DATE],ROW($B14)-ROW($B$8))),"NE",IF(NOT(ISERROR(MATCH(N$8,L_HOLS,0))),"H",IF(INDEX(L_WKNDVAL,WEEKDAY(N$8,1))=1,"WKND",INDEX(T_LEAVE[LEAVE CODE],SUMPRODUCT(--(T_LEAVE[NAME]=$B14),--(T_LEAVE[DATE]&lt;=N$8),--(T_LEAVE[DATE]&gt;=N$8),ROW(T_LEAVE[LEAVE CODE]))-ROW(T_LEAVE[#Headers]))))))),"")</f>
        <v/>
      </c>
      <c r="O14" s="75" t="str">
        <f>IFERROR(IF(O$8="","NA",IF(O$8&lt;INDEX(T_EMP[START DATE],ROW($B14)-ROW($B$8)),"NE",IF(AND(INDEX(T_EMP[TERMINATION DATE],ROW($B14)-ROW($B$8))&gt;0,O$8&gt;INDEX(T_EMP[TERMINATION DATE],ROW($B14)-ROW($B$8))),"NE",IF(NOT(ISERROR(MATCH(O$8,L_HOLS,0))),"H",IF(INDEX(L_WKNDVAL,WEEKDAY(O$8,1))=1,"WKND",INDEX(T_LEAVE[LEAVE CODE],SUMPRODUCT(--(T_LEAVE[NAME]=$B14),--(T_LEAVE[DATE]&lt;=O$8),--(T_LEAVE[DATE]&gt;=O$8),ROW(T_LEAVE[LEAVE CODE]))-ROW(T_LEAVE[#Headers]))))))),"")</f>
        <v/>
      </c>
      <c r="P14" s="75" t="str">
        <f>IFERROR(IF(P$8="","NA",IF(P$8&lt;INDEX(T_EMP[START DATE],ROW($B14)-ROW($B$8)),"NE",IF(AND(INDEX(T_EMP[TERMINATION DATE],ROW($B14)-ROW($B$8))&gt;0,P$8&gt;INDEX(T_EMP[TERMINATION DATE],ROW($B14)-ROW($B$8))),"NE",IF(NOT(ISERROR(MATCH(P$8,L_HOLS,0))),"H",IF(INDEX(L_WKNDVAL,WEEKDAY(P$8,1))=1,"WKND",INDEX(T_LEAVE[LEAVE CODE],SUMPRODUCT(--(T_LEAVE[NAME]=$B14),--(T_LEAVE[DATE]&lt;=P$8),--(T_LEAVE[DATE]&gt;=P$8),ROW(T_LEAVE[LEAVE CODE]))-ROW(T_LEAVE[#Headers]))))))),"")</f>
        <v>H</v>
      </c>
      <c r="Q14" s="75" t="str">
        <f>IFERROR(IF(Q$8="","NA",IF(Q$8&lt;INDEX(T_EMP[START DATE],ROW($B14)-ROW($B$8)),"NE",IF(AND(INDEX(T_EMP[TERMINATION DATE],ROW($B14)-ROW($B$8))&gt;0,Q$8&gt;INDEX(T_EMP[TERMINATION DATE],ROW($B14)-ROW($B$8))),"NE",IF(NOT(ISERROR(MATCH(Q$8,L_HOLS,0))),"H",IF(INDEX(L_WKNDVAL,WEEKDAY(Q$8,1))=1,"WKND",INDEX(T_LEAVE[LEAVE CODE],SUMPRODUCT(--(T_LEAVE[NAME]=$B14),--(T_LEAVE[DATE]&lt;=Q$8),--(T_LEAVE[DATE]&gt;=Q$8),ROW(T_LEAVE[LEAVE CODE]))-ROW(T_LEAVE[#Headers]))))))),"")</f>
        <v/>
      </c>
      <c r="R14" s="75" t="str">
        <f>IFERROR(IF(R$8="","NA",IF(R$8&lt;INDEX(T_EMP[START DATE],ROW($B14)-ROW($B$8)),"NE",IF(AND(INDEX(T_EMP[TERMINATION DATE],ROW($B14)-ROW($B$8))&gt;0,R$8&gt;INDEX(T_EMP[TERMINATION DATE],ROW($B14)-ROW($B$8))),"NE",IF(NOT(ISERROR(MATCH(R$8,L_HOLS,0))),"H",IF(INDEX(L_WKNDVAL,WEEKDAY(R$8,1))=1,"WKND",INDEX(T_LEAVE[LEAVE CODE],SUMPRODUCT(--(T_LEAVE[NAME]=$B14),--(T_LEAVE[DATE]&lt;=R$8),--(T_LEAVE[DATE]&gt;=R$8),ROW(T_LEAVE[LEAVE CODE]))-ROW(T_LEAVE[#Headers]))))))),"")</f>
        <v/>
      </c>
      <c r="S14" s="75" t="str">
        <f>IFERROR(IF(S$8="","NA",IF(S$8&lt;INDEX(T_EMP[START DATE],ROW($B14)-ROW($B$8)),"NE",IF(AND(INDEX(T_EMP[TERMINATION DATE],ROW($B14)-ROW($B$8))&gt;0,S$8&gt;INDEX(T_EMP[TERMINATION DATE],ROW($B14)-ROW($B$8))),"NE",IF(NOT(ISERROR(MATCH(S$8,L_HOLS,0))),"H",IF(INDEX(L_WKNDVAL,WEEKDAY(S$8,1))=1,"WKND",INDEX(T_LEAVE[LEAVE CODE],SUMPRODUCT(--(T_LEAVE[NAME]=$B14),--(T_LEAVE[DATE]&lt;=S$8),--(T_LEAVE[DATE]&gt;=S$8),ROW(T_LEAVE[LEAVE CODE]))-ROW(T_LEAVE[#Headers]))))))),"")</f>
        <v/>
      </c>
      <c r="T14" s="75" t="str">
        <f>IFERROR(IF(T$8="","NA",IF(T$8&lt;INDEX(T_EMP[START DATE],ROW($B14)-ROW($B$8)),"NE",IF(AND(INDEX(T_EMP[TERMINATION DATE],ROW($B14)-ROW($B$8))&gt;0,T$8&gt;INDEX(T_EMP[TERMINATION DATE],ROW($B14)-ROW($B$8))),"NE",IF(NOT(ISERROR(MATCH(T$8,L_HOLS,0))),"H",IF(INDEX(L_WKNDVAL,WEEKDAY(T$8,1))=1,"WKND",INDEX(T_LEAVE[LEAVE CODE],SUMPRODUCT(--(T_LEAVE[NAME]=$B14),--(T_LEAVE[DATE]&lt;=T$8),--(T_LEAVE[DATE]&gt;=T$8),ROW(T_LEAVE[LEAVE CODE]))-ROW(T_LEAVE[#Headers]))))))),"")</f>
        <v/>
      </c>
      <c r="U14" s="75" t="str">
        <f>IFERROR(IF(U$8="","NA",IF(U$8&lt;INDEX(T_EMP[START DATE],ROW($B14)-ROW($B$8)),"NE",IF(AND(INDEX(T_EMP[TERMINATION DATE],ROW($B14)-ROW($B$8))&gt;0,U$8&gt;INDEX(T_EMP[TERMINATION DATE],ROW($B14)-ROW($B$8))),"NE",IF(NOT(ISERROR(MATCH(U$8,L_HOLS,0))),"H",IF(INDEX(L_WKNDVAL,WEEKDAY(U$8,1))=1,"WKND",INDEX(T_LEAVE[LEAVE CODE],SUMPRODUCT(--(T_LEAVE[NAME]=$B14),--(T_LEAVE[DATE]&lt;=U$8),--(T_LEAVE[DATE]&gt;=U$8),ROW(T_LEAVE[LEAVE CODE]))-ROW(T_LEAVE[#Headers]))))))),"")</f>
        <v/>
      </c>
      <c r="V14" s="75" t="str">
        <f>IFERROR(IF(V$8="","NA",IF(V$8&lt;INDEX(T_EMP[START DATE],ROW($B14)-ROW($B$8)),"NE",IF(AND(INDEX(T_EMP[TERMINATION DATE],ROW($B14)-ROW($B$8))&gt;0,V$8&gt;INDEX(T_EMP[TERMINATION DATE],ROW($B14)-ROW($B$8))),"NE",IF(NOT(ISERROR(MATCH(V$8,L_HOLS,0))),"H",IF(INDEX(L_WKNDVAL,WEEKDAY(V$8,1))=1,"WKND",INDEX(T_LEAVE[LEAVE CODE],SUMPRODUCT(--(T_LEAVE[NAME]=$B14),--(T_LEAVE[DATE]&lt;=V$8),--(T_LEAVE[DATE]&gt;=V$8),ROW(T_LEAVE[LEAVE CODE]))-ROW(T_LEAVE[#Headers]))))))),"")</f>
        <v/>
      </c>
      <c r="W14" s="75" t="str">
        <f>IFERROR(IF(W$8="","NA",IF(W$8&lt;INDEX(T_EMP[START DATE],ROW($B14)-ROW($B$8)),"NE",IF(AND(INDEX(T_EMP[TERMINATION DATE],ROW($B14)-ROW($B$8))&gt;0,W$8&gt;INDEX(T_EMP[TERMINATION DATE],ROW($B14)-ROW($B$8))),"NE",IF(NOT(ISERROR(MATCH(W$8,L_HOLS,0))),"H",IF(INDEX(L_WKNDVAL,WEEKDAY(W$8,1))=1,"WKND",INDEX(T_LEAVE[LEAVE CODE],SUMPRODUCT(--(T_LEAVE[NAME]=$B14),--(T_LEAVE[DATE]&lt;=W$8),--(T_LEAVE[DATE]&gt;=W$8),ROW(T_LEAVE[LEAVE CODE]))-ROW(T_LEAVE[#Headers]))))))),"")</f>
        <v/>
      </c>
      <c r="X14" s="75" t="str">
        <f>IFERROR(IF(X$8="","NA",IF(X$8&lt;INDEX(T_EMP[START DATE],ROW($B14)-ROW($B$8)),"NE",IF(AND(INDEX(T_EMP[TERMINATION DATE],ROW($B14)-ROW($B$8))&gt;0,X$8&gt;INDEX(T_EMP[TERMINATION DATE],ROW($B14)-ROW($B$8))),"NE",IF(NOT(ISERROR(MATCH(X$8,L_HOLS,0))),"H",IF(INDEX(L_WKNDVAL,WEEKDAY(X$8,1))=1,"WKND",INDEX(T_LEAVE[LEAVE CODE],SUMPRODUCT(--(T_LEAVE[NAME]=$B14),--(T_LEAVE[DATE]&lt;=X$8),--(T_LEAVE[DATE]&gt;=X$8),ROW(T_LEAVE[LEAVE CODE]))-ROW(T_LEAVE[#Headers]))))))),"")</f>
        <v/>
      </c>
      <c r="Y14" s="75" t="str">
        <f>IFERROR(IF(Y$8="","NA",IF(Y$8&lt;INDEX(T_EMP[START DATE],ROW($B14)-ROW($B$8)),"NE",IF(AND(INDEX(T_EMP[TERMINATION DATE],ROW($B14)-ROW($B$8))&gt;0,Y$8&gt;INDEX(T_EMP[TERMINATION DATE],ROW($B14)-ROW($B$8))),"NE",IF(NOT(ISERROR(MATCH(Y$8,L_HOLS,0))),"H",IF(INDEX(L_WKNDVAL,WEEKDAY(Y$8,1))=1,"WKND",INDEX(T_LEAVE[LEAVE CODE],SUMPRODUCT(--(T_LEAVE[NAME]=$B14),--(T_LEAVE[DATE]&lt;=Y$8),--(T_LEAVE[DATE]&gt;=Y$8),ROW(T_LEAVE[LEAVE CODE]))-ROW(T_LEAVE[#Headers]))))))),"")</f>
        <v/>
      </c>
      <c r="Z14" s="75" t="str">
        <f>IFERROR(IF(Z$8="","NA",IF(Z$8&lt;INDEX(T_EMP[START DATE],ROW($B14)-ROW($B$8)),"NE",IF(AND(INDEX(T_EMP[TERMINATION DATE],ROW($B14)-ROW($B$8))&gt;0,Z$8&gt;INDEX(T_EMP[TERMINATION DATE],ROW($B14)-ROW($B$8))),"NE",IF(NOT(ISERROR(MATCH(Z$8,L_HOLS,0))),"H",IF(INDEX(L_WKNDVAL,WEEKDAY(Z$8,1))=1,"WKND",INDEX(T_LEAVE[LEAVE CODE],SUMPRODUCT(--(T_LEAVE[NAME]=$B14),--(T_LEAVE[DATE]&lt;=Z$8),--(T_LEAVE[DATE]&gt;=Z$8),ROW(T_LEAVE[LEAVE CODE]))-ROW(T_LEAVE[#Headers]))))))),"")</f>
        <v/>
      </c>
      <c r="AA14" s="75" t="str">
        <f>IFERROR(IF(AA$8="","NA",IF(AA$8&lt;INDEX(T_EMP[START DATE],ROW($B14)-ROW($B$8)),"NE",IF(AND(INDEX(T_EMP[TERMINATION DATE],ROW($B14)-ROW($B$8))&gt;0,AA$8&gt;INDEX(T_EMP[TERMINATION DATE],ROW($B14)-ROW($B$8))),"NE",IF(NOT(ISERROR(MATCH(AA$8,L_HOLS,0))),"H",IF(INDEX(L_WKNDVAL,WEEKDAY(AA$8,1))=1,"WKND",INDEX(T_LEAVE[LEAVE CODE],SUMPRODUCT(--(T_LEAVE[NAME]=$B14),--(T_LEAVE[DATE]&lt;=AA$8),--(T_LEAVE[DATE]&gt;=AA$8),ROW(T_LEAVE[LEAVE CODE]))-ROW(T_LEAVE[#Headers]))))))),"")</f>
        <v/>
      </c>
      <c r="AB14" s="75" t="str">
        <f>IFERROR(IF(AB$8="","NA",IF(AB$8&lt;INDEX(T_EMP[START DATE],ROW($B14)-ROW($B$8)),"NE",IF(AND(INDEX(T_EMP[TERMINATION DATE],ROW($B14)-ROW($B$8))&gt;0,AB$8&gt;INDEX(T_EMP[TERMINATION DATE],ROW($B14)-ROW($B$8))),"NE",IF(NOT(ISERROR(MATCH(AB$8,L_HOLS,0))),"H",IF(INDEX(L_WKNDVAL,WEEKDAY(AB$8,1))=1,"WKND",INDEX(T_LEAVE[LEAVE CODE],SUMPRODUCT(--(T_LEAVE[NAME]=$B14),--(T_LEAVE[DATE]&lt;=AB$8),--(T_LEAVE[DATE]&gt;=AB$8),ROW(T_LEAVE[LEAVE CODE]))-ROW(T_LEAVE[#Headers]))))))),"")</f>
        <v/>
      </c>
      <c r="AC14" s="75" t="str">
        <f>IFERROR(IF(AC$8="","NA",IF(AC$8&lt;INDEX(T_EMP[START DATE],ROW($B14)-ROW($B$8)),"NE",IF(AND(INDEX(T_EMP[TERMINATION DATE],ROW($B14)-ROW($B$8))&gt;0,AC$8&gt;INDEX(T_EMP[TERMINATION DATE],ROW($B14)-ROW($B$8))),"NE",IF(NOT(ISERROR(MATCH(AC$8,L_HOLS,0))),"H",IF(INDEX(L_WKNDVAL,WEEKDAY(AC$8,1))=1,"WKND",INDEX(T_LEAVE[LEAVE CODE],SUMPRODUCT(--(T_LEAVE[NAME]=$B14),--(T_LEAVE[DATE]&lt;=AC$8),--(T_LEAVE[DATE]&gt;=AC$8),ROW(T_LEAVE[LEAVE CODE]))-ROW(T_LEAVE[#Headers]))))))),"")</f>
        <v/>
      </c>
      <c r="AD14" s="75" t="str">
        <f>IFERROR(IF(AD$8="","NA",IF(AD$8&lt;INDEX(T_EMP[START DATE],ROW($B14)-ROW($B$8)),"NE",IF(AND(INDEX(T_EMP[TERMINATION DATE],ROW($B14)-ROW($B$8))&gt;0,AD$8&gt;INDEX(T_EMP[TERMINATION DATE],ROW($B14)-ROW($B$8))),"NE",IF(NOT(ISERROR(MATCH(AD$8,L_HOLS,0))),"H",IF(INDEX(L_WKNDVAL,WEEKDAY(AD$8,1))=1,"WKND",INDEX(T_LEAVE[LEAVE CODE],SUMPRODUCT(--(T_LEAVE[NAME]=$B14),--(T_LEAVE[DATE]&lt;=AD$8),--(T_LEAVE[DATE]&gt;=AD$8),ROW(T_LEAVE[LEAVE CODE]))-ROW(T_LEAVE[#Headers]))))))),"")</f>
        <v/>
      </c>
      <c r="AE14" s="75" t="str">
        <f>IFERROR(IF(AE$8="","NA",IF(AE$8&lt;INDEX(T_EMP[START DATE],ROW($B14)-ROW($B$8)),"NE",IF(AND(INDEX(T_EMP[TERMINATION DATE],ROW($B14)-ROW($B$8))&gt;0,AE$8&gt;INDEX(T_EMP[TERMINATION DATE],ROW($B14)-ROW($B$8))),"NE",IF(NOT(ISERROR(MATCH(AE$8,L_HOLS,0))),"H",IF(INDEX(L_WKNDVAL,WEEKDAY(AE$8,1))=1,"WKND",INDEX(T_LEAVE[LEAVE CODE],SUMPRODUCT(--(T_LEAVE[NAME]=$B14),--(T_LEAVE[DATE]&lt;=AE$8),--(T_LEAVE[DATE]&gt;=AE$8),ROW(T_LEAVE[LEAVE CODE]))-ROW(T_LEAVE[#Headers]))))))),"")</f>
        <v/>
      </c>
      <c r="AF14" s="75" t="str">
        <f>IFERROR(IF(AF$8="","NA",IF(AF$8&lt;INDEX(T_EMP[START DATE],ROW($B14)-ROW($B$8)),"NE",IF(AND(INDEX(T_EMP[TERMINATION DATE],ROW($B14)-ROW($B$8))&gt;0,AF$8&gt;INDEX(T_EMP[TERMINATION DATE],ROW($B14)-ROW($B$8))),"NE",IF(NOT(ISERROR(MATCH(AF$8,L_HOLS,0))),"H",IF(INDEX(L_WKNDVAL,WEEKDAY(AF$8,1))=1,"WKND",INDEX(T_LEAVE[LEAVE CODE],SUMPRODUCT(--(T_LEAVE[NAME]=$B14),--(T_LEAVE[DATE]&lt;=AF$8),--(T_LEAVE[DATE]&gt;=AF$8),ROW(T_LEAVE[LEAVE CODE]))-ROW(T_LEAVE[#Headers]))))))),"")</f>
        <v/>
      </c>
      <c r="AG14" s="75" t="str">
        <f>IFERROR(IF(AG$8="","NA",IF(AG$8&lt;INDEX(T_EMP[START DATE],ROW($B14)-ROW($B$8)),"NE",IF(AND(INDEX(T_EMP[TERMINATION DATE],ROW($B14)-ROW($B$8))&gt;0,AG$8&gt;INDEX(T_EMP[TERMINATION DATE],ROW($B14)-ROW($B$8))),"NE",IF(NOT(ISERROR(MATCH(AG$8,L_HOLS,0))),"H",IF(INDEX(L_WKNDVAL,WEEKDAY(AG$8,1))=1,"WKND",INDEX(T_LEAVE[LEAVE CODE],SUMPRODUCT(--(T_LEAVE[NAME]=$B14),--(T_LEAVE[DATE]&lt;=AG$8),--(T_LEAVE[DATE]&gt;=AG$8),ROW(T_LEAVE[LEAVE CODE]))-ROW(T_LEAVE[#Headers]))))))),"")</f>
        <v/>
      </c>
      <c r="AH14" s="75" t="str">
        <f>IFERROR(IF(AH$8="","NA",IF(AH$8&lt;INDEX(T_EMP[START DATE],ROW($B14)-ROW($B$8)),"NE",IF(AND(INDEX(T_EMP[TERMINATION DATE],ROW($B14)-ROW($B$8))&gt;0,AH$8&gt;INDEX(T_EMP[TERMINATION DATE],ROW($B14)-ROW($B$8))),"NE",IF(NOT(ISERROR(MATCH(AH$8,L_HOLS,0))),"H",IF(INDEX(L_WKNDVAL,WEEKDAY(AH$8,1))=1,"WKND",INDEX(T_LEAVE[LEAVE CODE],SUMPRODUCT(--(T_LEAVE[NAME]=$B14),--(T_LEAVE[DATE]&lt;=AH$8),--(T_LEAVE[DATE]&gt;=AH$8),ROW(T_LEAVE[LEAVE CODE]))-ROW(T_LEAVE[#Headers]))))))),"")</f>
        <v/>
      </c>
      <c r="AJ14" s="88">
        <f>IF(OR($B14="",AJ$8=""),"",COUNTIFS($D14:$AH14,AJ$8)*INDEX(T_LEAVETYPE[DAY VALUE],1))</f>
        <v>0</v>
      </c>
      <c r="AK14" s="88">
        <f>IF(OR($B14="",AK$8=""),"",COUNTIFS($D14:$AH14,AK$8)*INDEX(T_LEAVETYPE[DAY VALUE],2))</f>
        <v>0</v>
      </c>
      <c r="AL14" s="88">
        <f>IF(OR($B14="",AL$8=""),"",COUNTIFS($D14:$AH14,AL$8)*INDEX(T_LEAVETYPE[DAY VALUE],3))</f>
        <v>0</v>
      </c>
      <c r="AM14" s="88">
        <f>IF(OR($B14="",AM$8=""),"",COUNTIFS($D14:$AH14,AM$8)*INDEX(T_LEAVETYPE[DAY VALUE],4))</f>
        <v>0</v>
      </c>
      <c r="AN14" s="88">
        <f>IF(OR($B14="",AN$8=""),"",COUNTIFS($D14:$AH14,AN$8)*INDEX(T_LEAVETYPE[DAY VALUE],5))</f>
        <v>0</v>
      </c>
      <c r="AO14" s="88">
        <f>IF(OR($B14="",AO$8=""),"",COUNTIFS($D14:$AH14,AO$8)*INDEX(T_LEAVETYPE[DAY VALUE],6))</f>
        <v>0</v>
      </c>
      <c r="AP14" s="88">
        <f>IF(OR($B14="",AP$8=""),"",COUNTIFS($D14:$AH14,AP$8)*INDEX(T_LEAVETYPE[DAY VALUE],7))</f>
        <v>0</v>
      </c>
      <c r="AQ14" s="88">
        <f>IF(OR($B14="",AQ$8=""),"",COUNTIFS($D14:$AH14,AQ$8)*INDEX(T_LEAVETYPE[DAY VALUE],8))</f>
        <v>0</v>
      </c>
      <c r="AR14" s="89">
        <f t="shared" si="3"/>
        <v>0</v>
      </c>
    </row>
    <row r="15" spans="1:44" x14ac:dyDescent="0.25">
      <c r="A15" s="90">
        <f t="shared" si="4"/>
        <v>7</v>
      </c>
      <c r="B15" s="74" t="str">
        <f>IFERROR(INDEX(T_EMP[NAME],ROW(B15)-ROW($B$8)),"")</f>
        <v>LEGASPI, ARABELLE</v>
      </c>
      <c r="C15" s="91" t="str">
        <f>IFERROR(INDEX(T_EMP[DEPARTMENT],ROW(B15)-ROW($C$8)),"")</f>
        <v>IB SUPPORT</v>
      </c>
      <c r="D15" s="75" t="str">
        <f>IFERROR(IF(D$8="","NA",IF(D$8&lt;INDEX(T_EMP[START DATE],ROW($B15)-ROW($B$8)),"NE",IF(AND(INDEX(T_EMP[TERMINATION DATE],ROW($B15)-ROW($B$8))&gt;0,D$8&gt;INDEX(T_EMP[TERMINATION DATE],ROW($B15)-ROW($B$8))),"NE",IF(NOT(ISERROR(MATCH(D$8,L_HOLS,0))),"H",IF(INDEX(L_WKNDVAL,WEEKDAY(D$8,1))=1,"WKND",INDEX(T_LEAVE[LEAVE CODE],SUMPRODUCT(--(T_LEAVE[NAME]=$B15),--(T_LEAVE[DATE]&lt;=D$8),--(T_LEAVE[DATE]&gt;=D$8),ROW(T_LEAVE[LEAVE CODE]))-ROW(T_LEAVE[#Headers]))))))),"")</f>
        <v>H</v>
      </c>
      <c r="E15" s="75" t="str">
        <f>IFERROR(IF(E$8="","NA",IF(E$8&lt;INDEX(T_EMP[START DATE],ROW($B15)-ROW($B$8)),"NE",IF(AND(INDEX(T_EMP[TERMINATION DATE],ROW($B15)-ROW($B$8))&gt;0,E$8&gt;INDEX(T_EMP[TERMINATION DATE],ROW($B15)-ROW($B$8))),"NE",IF(NOT(ISERROR(MATCH(E$8,L_HOLS,0))),"H",IF(INDEX(L_WKNDVAL,WEEKDAY(E$8,1))=1,"WKND",INDEX(T_LEAVE[LEAVE CODE],SUMPRODUCT(--(T_LEAVE[NAME]=$B15),--(T_LEAVE[DATE]&lt;=E$8),--(T_LEAVE[DATE]&gt;=E$8),ROW(T_LEAVE[LEAVE CODE]))-ROW(T_LEAVE[#Headers]))))))),"")</f>
        <v/>
      </c>
      <c r="F15" s="75" t="str">
        <f>IFERROR(IF(F$8="","NA",IF(F$8&lt;INDEX(T_EMP[START DATE],ROW($B15)-ROW($B$8)),"NE",IF(AND(INDEX(T_EMP[TERMINATION DATE],ROW($B15)-ROW($B$8))&gt;0,F$8&gt;INDEX(T_EMP[TERMINATION DATE],ROW($B15)-ROW($B$8))),"NE",IF(NOT(ISERROR(MATCH(F$8,L_HOLS,0))),"H",IF(INDEX(L_WKNDVAL,WEEKDAY(F$8,1))=1,"WKND",INDEX(T_LEAVE[LEAVE CODE],SUMPRODUCT(--(T_LEAVE[NAME]=$B15),--(T_LEAVE[DATE]&lt;=F$8),--(T_LEAVE[DATE]&gt;=F$8),ROW(T_LEAVE[LEAVE CODE]))-ROW(T_LEAVE[#Headers]))))))),"")</f>
        <v/>
      </c>
      <c r="G15" s="75" t="str">
        <f>IFERROR(IF(G$8="","NA",IF(G$8&lt;INDEX(T_EMP[START DATE],ROW($B15)-ROW($B$8)),"NE",IF(AND(INDEX(T_EMP[TERMINATION DATE],ROW($B15)-ROW($B$8))&gt;0,G$8&gt;INDEX(T_EMP[TERMINATION DATE],ROW($B15)-ROW($B$8))),"NE",IF(NOT(ISERROR(MATCH(G$8,L_HOLS,0))),"H",IF(INDEX(L_WKNDVAL,WEEKDAY(G$8,1))=1,"WKND",INDEX(T_LEAVE[LEAVE CODE],SUMPRODUCT(--(T_LEAVE[NAME]=$B15),--(T_LEAVE[DATE]&lt;=G$8),--(T_LEAVE[DATE]&gt;=G$8),ROW(T_LEAVE[LEAVE CODE]))-ROW(T_LEAVE[#Headers]))))))),"")</f>
        <v/>
      </c>
      <c r="H15" s="75" t="str">
        <f>IFERROR(IF(H$8="","NA",IF(H$8&lt;INDEX(T_EMP[START DATE],ROW($B15)-ROW($B$8)),"NE",IF(AND(INDEX(T_EMP[TERMINATION DATE],ROW($B15)-ROW($B$8))&gt;0,H$8&gt;INDEX(T_EMP[TERMINATION DATE],ROW($B15)-ROW($B$8))),"NE",IF(NOT(ISERROR(MATCH(H$8,L_HOLS,0))),"H",IF(INDEX(L_WKNDVAL,WEEKDAY(H$8,1))=1,"WKND",INDEX(T_LEAVE[LEAVE CODE],SUMPRODUCT(--(T_LEAVE[NAME]=$B15),--(T_LEAVE[DATE]&lt;=H$8),--(T_LEAVE[DATE]&gt;=H$8),ROW(T_LEAVE[LEAVE CODE]))-ROW(T_LEAVE[#Headers]))))))),"")</f>
        <v/>
      </c>
      <c r="I15" s="75" t="str">
        <f>IFERROR(IF(I$8="","NA",IF(I$8&lt;INDEX(T_EMP[START DATE],ROW($B15)-ROW($B$8)),"NE",IF(AND(INDEX(T_EMP[TERMINATION DATE],ROW($B15)-ROW($B$8))&gt;0,I$8&gt;INDEX(T_EMP[TERMINATION DATE],ROW($B15)-ROW($B$8))),"NE",IF(NOT(ISERROR(MATCH(I$8,L_HOLS,0))),"H",IF(INDEX(L_WKNDVAL,WEEKDAY(I$8,1))=1,"WKND",INDEX(T_LEAVE[LEAVE CODE],SUMPRODUCT(--(T_LEAVE[NAME]=$B15),--(T_LEAVE[DATE]&lt;=I$8),--(T_LEAVE[DATE]&gt;=I$8),ROW(T_LEAVE[LEAVE CODE]))-ROW(T_LEAVE[#Headers]))))))),"")</f>
        <v/>
      </c>
      <c r="J15" s="75" t="str">
        <f>IFERROR(IF(J$8="","NA",IF(J$8&lt;INDEX(T_EMP[START DATE],ROW($B15)-ROW($B$8)),"NE",IF(AND(INDEX(T_EMP[TERMINATION DATE],ROW($B15)-ROW($B$8))&gt;0,J$8&gt;INDEX(T_EMP[TERMINATION DATE],ROW($B15)-ROW($B$8))),"NE",IF(NOT(ISERROR(MATCH(J$8,L_HOLS,0))),"H",IF(INDEX(L_WKNDVAL,WEEKDAY(J$8,1))=1,"WKND",INDEX(T_LEAVE[LEAVE CODE],SUMPRODUCT(--(T_LEAVE[NAME]=$B15),--(T_LEAVE[DATE]&lt;=J$8),--(T_LEAVE[DATE]&gt;=J$8),ROW(T_LEAVE[LEAVE CODE]))-ROW(T_LEAVE[#Headers]))))))),"")</f>
        <v/>
      </c>
      <c r="K15" s="75" t="str">
        <f>IFERROR(IF(K$8="","NA",IF(K$8&lt;INDEX(T_EMP[START DATE],ROW($B15)-ROW($B$8)),"NE",IF(AND(INDEX(T_EMP[TERMINATION DATE],ROW($B15)-ROW($B$8))&gt;0,K$8&gt;INDEX(T_EMP[TERMINATION DATE],ROW($B15)-ROW($B$8))),"NE",IF(NOT(ISERROR(MATCH(K$8,L_HOLS,0))),"H",IF(INDEX(L_WKNDVAL,WEEKDAY(K$8,1))=1,"WKND",INDEX(T_LEAVE[LEAVE CODE],SUMPRODUCT(--(T_LEAVE[NAME]=$B15),--(T_LEAVE[DATE]&lt;=K$8),--(T_LEAVE[DATE]&gt;=K$8),ROW(T_LEAVE[LEAVE CODE]))-ROW(T_LEAVE[#Headers]))))))),"")</f>
        <v/>
      </c>
      <c r="L15" s="75" t="str">
        <f>IFERROR(IF(L$8="","NA",IF(L$8&lt;INDEX(T_EMP[START DATE],ROW($B15)-ROW($B$8)),"NE",IF(AND(INDEX(T_EMP[TERMINATION DATE],ROW($B15)-ROW($B$8))&gt;0,L$8&gt;INDEX(T_EMP[TERMINATION DATE],ROW($B15)-ROW($B$8))),"NE",IF(NOT(ISERROR(MATCH(L$8,L_HOLS,0))),"H",IF(INDEX(L_WKNDVAL,WEEKDAY(L$8,1))=1,"WKND",INDEX(T_LEAVE[LEAVE CODE],SUMPRODUCT(--(T_LEAVE[NAME]=$B15),--(T_LEAVE[DATE]&lt;=L$8),--(T_LEAVE[DATE]&gt;=L$8),ROW(T_LEAVE[LEAVE CODE]))-ROW(T_LEAVE[#Headers]))))))),"")</f>
        <v/>
      </c>
      <c r="M15" s="75" t="str">
        <f>IFERROR(IF(M$8="","NA",IF(M$8&lt;INDEX(T_EMP[START DATE],ROW($B15)-ROW($B$8)),"NE",IF(AND(INDEX(T_EMP[TERMINATION DATE],ROW($B15)-ROW($B$8))&gt;0,M$8&gt;INDEX(T_EMP[TERMINATION DATE],ROW($B15)-ROW($B$8))),"NE",IF(NOT(ISERROR(MATCH(M$8,L_HOLS,0))),"H",IF(INDEX(L_WKNDVAL,WEEKDAY(M$8,1))=1,"WKND",INDEX(T_LEAVE[LEAVE CODE],SUMPRODUCT(--(T_LEAVE[NAME]=$B15),--(T_LEAVE[DATE]&lt;=M$8),--(T_LEAVE[DATE]&gt;=M$8),ROW(T_LEAVE[LEAVE CODE]))-ROW(T_LEAVE[#Headers]))))))),"")</f>
        <v/>
      </c>
      <c r="N15" s="75" t="str">
        <f>IFERROR(IF(N$8="","NA",IF(N$8&lt;INDEX(T_EMP[START DATE],ROW($B15)-ROW($B$8)),"NE",IF(AND(INDEX(T_EMP[TERMINATION DATE],ROW($B15)-ROW($B$8))&gt;0,N$8&gt;INDEX(T_EMP[TERMINATION DATE],ROW($B15)-ROW($B$8))),"NE",IF(NOT(ISERROR(MATCH(N$8,L_HOLS,0))),"H",IF(INDEX(L_WKNDVAL,WEEKDAY(N$8,1))=1,"WKND",INDEX(T_LEAVE[LEAVE CODE],SUMPRODUCT(--(T_LEAVE[NAME]=$B15),--(T_LEAVE[DATE]&lt;=N$8),--(T_LEAVE[DATE]&gt;=N$8),ROW(T_LEAVE[LEAVE CODE]))-ROW(T_LEAVE[#Headers]))))))),"")</f>
        <v/>
      </c>
      <c r="O15" s="75" t="str">
        <f>IFERROR(IF(O$8="","NA",IF(O$8&lt;INDEX(T_EMP[START DATE],ROW($B15)-ROW($B$8)),"NE",IF(AND(INDEX(T_EMP[TERMINATION DATE],ROW($B15)-ROW($B$8))&gt;0,O$8&gt;INDEX(T_EMP[TERMINATION DATE],ROW($B15)-ROW($B$8))),"NE",IF(NOT(ISERROR(MATCH(O$8,L_HOLS,0))),"H",IF(INDEX(L_WKNDVAL,WEEKDAY(O$8,1))=1,"WKND",INDEX(T_LEAVE[LEAVE CODE],SUMPRODUCT(--(T_LEAVE[NAME]=$B15),--(T_LEAVE[DATE]&lt;=O$8),--(T_LEAVE[DATE]&gt;=O$8),ROW(T_LEAVE[LEAVE CODE]))-ROW(T_LEAVE[#Headers]))))))),"")</f>
        <v/>
      </c>
      <c r="P15" s="75" t="str">
        <f>IFERROR(IF(P$8="","NA",IF(P$8&lt;INDEX(T_EMP[START DATE],ROW($B15)-ROW($B$8)),"NE",IF(AND(INDEX(T_EMP[TERMINATION DATE],ROW($B15)-ROW($B$8))&gt;0,P$8&gt;INDEX(T_EMP[TERMINATION DATE],ROW($B15)-ROW($B$8))),"NE",IF(NOT(ISERROR(MATCH(P$8,L_HOLS,0))),"H",IF(INDEX(L_WKNDVAL,WEEKDAY(P$8,1))=1,"WKND",INDEX(T_LEAVE[LEAVE CODE],SUMPRODUCT(--(T_LEAVE[NAME]=$B15),--(T_LEAVE[DATE]&lt;=P$8),--(T_LEAVE[DATE]&gt;=P$8),ROW(T_LEAVE[LEAVE CODE]))-ROW(T_LEAVE[#Headers]))))))),"")</f>
        <v>H</v>
      </c>
      <c r="Q15" s="75" t="str">
        <f>IFERROR(IF(Q$8="","NA",IF(Q$8&lt;INDEX(T_EMP[START DATE],ROW($B15)-ROW($B$8)),"NE",IF(AND(INDEX(T_EMP[TERMINATION DATE],ROW($B15)-ROW($B$8))&gt;0,Q$8&gt;INDEX(T_EMP[TERMINATION DATE],ROW($B15)-ROW($B$8))),"NE",IF(NOT(ISERROR(MATCH(Q$8,L_HOLS,0))),"H",IF(INDEX(L_WKNDVAL,WEEKDAY(Q$8,1))=1,"WKND",INDEX(T_LEAVE[LEAVE CODE],SUMPRODUCT(--(T_LEAVE[NAME]=$B15),--(T_LEAVE[DATE]&lt;=Q$8),--(T_LEAVE[DATE]&gt;=Q$8),ROW(T_LEAVE[LEAVE CODE]))-ROW(T_LEAVE[#Headers]))))))),"")</f>
        <v/>
      </c>
      <c r="R15" s="75" t="str">
        <f>IFERROR(IF(R$8="","NA",IF(R$8&lt;INDEX(T_EMP[START DATE],ROW($B15)-ROW($B$8)),"NE",IF(AND(INDEX(T_EMP[TERMINATION DATE],ROW($B15)-ROW($B$8))&gt;0,R$8&gt;INDEX(T_EMP[TERMINATION DATE],ROW($B15)-ROW($B$8))),"NE",IF(NOT(ISERROR(MATCH(R$8,L_HOLS,0))),"H",IF(INDEX(L_WKNDVAL,WEEKDAY(R$8,1))=1,"WKND",INDEX(T_LEAVE[LEAVE CODE],SUMPRODUCT(--(T_LEAVE[NAME]=$B15),--(T_LEAVE[DATE]&lt;=R$8),--(T_LEAVE[DATE]&gt;=R$8),ROW(T_LEAVE[LEAVE CODE]))-ROW(T_LEAVE[#Headers]))))))),"")</f>
        <v/>
      </c>
      <c r="S15" s="75" t="str">
        <f>IFERROR(IF(S$8="","NA",IF(S$8&lt;INDEX(T_EMP[START DATE],ROW($B15)-ROW($B$8)),"NE",IF(AND(INDEX(T_EMP[TERMINATION DATE],ROW($B15)-ROW($B$8))&gt;0,S$8&gt;INDEX(T_EMP[TERMINATION DATE],ROW($B15)-ROW($B$8))),"NE",IF(NOT(ISERROR(MATCH(S$8,L_HOLS,0))),"H",IF(INDEX(L_WKNDVAL,WEEKDAY(S$8,1))=1,"WKND",INDEX(T_LEAVE[LEAVE CODE],SUMPRODUCT(--(T_LEAVE[NAME]=$B15),--(T_LEAVE[DATE]&lt;=S$8),--(T_LEAVE[DATE]&gt;=S$8),ROW(T_LEAVE[LEAVE CODE]))-ROW(T_LEAVE[#Headers]))))))),"")</f>
        <v/>
      </c>
      <c r="T15" s="75" t="str">
        <f>IFERROR(IF(T$8="","NA",IF(T$8&lt;INDEX(T_EMP[START DATE],ROW($B15)-ROW($B$8)),"NE",IF(AND(INDEX(T_EMP[TERMINATION DATE],ROW($B15)-ROW($B$8))&gt;0,T$8&gt;INDEX(T_EMP[TERMINATION DATE],ROW($B15)-ROW($B$8))),"NE",IF(NOT(ISERROR(MATCH(T$8,L_HOLS,0))),"H",IF(INDEX(L_WKNDVAL,WEEKDAY(T$8,1))=1,"WKND",INDEX(T_LEAVE[LEAVE CODE],SUMPRODUCT(--(T_LEAVE[NAME]=$B15),--(T_LEAVE[DATE]&lt;=T$8),--(T_LEAVE[DATE]&gt;=T$8),ROW(T_LEAVE[LEAVE CODE]))-ROW(T_LEAVE[#Headers]))))))),"")</f>
        <v/>
      </c>
      <c r="U15" s="75" t="str">
        <f>IFERROR(IF(U$8="","NA",IF(U$8&lt;INDEX(T_EMP[START DATE],ROW($B15)-ROW($B$8)),"NE",IF(AND(INDEX(T_EMP[TERMINATION DATE],ROW($B15)-ROW($B$8))&gt;0,U$8&gt;INDEX(T_EMP[TERMINATION DATE],ROW($B15)-ROW($B$8))),"NE",IF(NOT(ISERROR(MATCH(U$8,L_HOLS,0))),"H",IF(INDEX(L_WKNDVAL,WEEKDAY(U$8,1))=1,"WKND",INDEX(T_LEAVE[LEAVE CODE],SUMPRODUCT(--(T_LEAVE[NAME]=$B15),--(T_LEAVE[DATE]&lt;=U$8),--(T_LEAVE[DATE]&gt;=U$8),ROW(T_LEAVE[LEAVE CODE]))-ROW(T_LEAVE[#Headers]))))))),"")</f>
        <v/>
      </c>
      <c r="V15" s="75" t="str">
        <f>IFERROR(IF(V$8="","NA",IF(V$8&lt;INDEX(T_EMP[START DATE],ROW($B15)-ROW($B$8)),"NE",IF(AND(INDEX(T_EMP[TERMINATION DATE],ROW($B15)-ROW($B$8))&gt;0,V$8&gt;INDEX(T_EMP[TERMINATION DATE],ROW($B15)-ROW($B$8))),"NE",IF(NOT(ISERROR(MATCH(V$8,L_HOLS,0))),"H",IF(INDEX(L_WKNDVAL,WEEKDAY(V$8,1))=1,"WKND",INDEX(T_LEAVE[LEAVE CODE],SUMPRODUCT(--(T_LEAVE[NAME]=$B15),--(T_LEAVE[DATE]&lt;=V$8),--(T_LEAVE[DATE]&gt;=V$8),ROW(T_LEAVE[LEAVE CODE]))-ROW(T_LEAVE[#Headers]))))))),"")</f>
        <v/>
      </c>
      <c r="W15" s="75" t="str">
        <f>IFERROR(IF(W$8="","NA",IF(W$8&lt;INDEX(T_EMP[START DATE],ROW($B15)-ROW($B$8)),"NE",IF(AND(INDEX(T_EMP[TERMINATION DATE],ROW($B15)-ROW($B$8))&gt;0,W$8&gt;INDEX(T_EMP[TERMINATION DATE],ROW($B15)-ROW($B$8))),"NE",IF(NOT(ISERROR(MATCH(W$8,L_HOLS,0))),"H",IF(INDEX(L_WKNDVAL,WEEKDAY(W$8,1))=1,"WKND",INDEX(T_LEAVE[LEAVE CODE],SUMPRODUCT(--(T_LEAVE[NAME]=$B15),--(T_LEAVE[DATE]&lt;=W$8),--(T_LEAVE[DATE]&gt;=W$8),ROW(T_LEAVE[LEAVE CODE]))-ROW(T_LEAVE[#Headers]))))))),"")</f>
        <v/>
      </c>
      <c r="X15" s="75" t="str">
        <f>IFERROR(IF(X$8="","NA",IF(X$8&lt;INDEX(T_EMP[START DATE],ROW($B15)-ROW($B$8)),"NE",IF(AND(INDEX(T_EMP[TERMINATION DATE],ROW($B15)-ROW($B$8))&gt;0,X$8&gt;INDEX(T_EMP[TERMINATION DATE],ROW($B15)-ROW($B$8))),"NE",IF(NOT(ISERROR(MATCH(X$8,L_HOLS,0))),"H",IF(INDEX(L_WKNDVAL,WEEKDAY(X$8,1))=1,"WKND",INDEX(T_LEAVE[LEAVE CODE],SUMPRODUCT(--(T_LEAVE[NAME]=$B15),--(T_LEAVE[DATE]&lt;=X$8),--(T_LEAVE[DATE]&gt;=X$8),ROW(T_LEAVE[LEAVE CODE]))-ROW(T_LEAVE[#Headers]))))))),"")</f>
        <v/>
      </c>
      <c r="Y15" s="75" t="str">
        <f>IFERROR(IF(Y$8="","NA",IF(Y$8&lt;INDEX(T_EMP[START DATE],ROW($B15)-ROW($B$8)),"NE",IF(AND(INDEX(T_EMP[TERMINATION DATE],ROW($B15)-ROW($B$8))&gt;0,Y$8&gt;INDEX(T_EMP[TERMINATION DATE],ROW($B15)-ROW($B$8))),"NE",IF(NOT(ISERROR(MATCH(Y$8,L_HOLS,0))),"H",IF(INDEX(L_WKNDVAL,WEEKDAY(Y$8,1))=1,"WKND",INDEX(T_LEAVE[LEAVE CODE],SUMPRODUCT(--(T_LEAVE[NAME]=$B15),--(T_LEAVE[DATE]&lt;=Y$8),--(T_LEAVE[DATE]&gt;=Y$8),ROW(T_LEAVE[LEAVE CODE]))-ROW(T_LEAVE[#Headers]))))))),"")</f>
        <v/>
      </c>
      <c r="Z15" s="75" t="str">
        <f>IFERROR(IF(Z$8="","NA",IF(Z$8&lt;INDEX(T_EMP[START DATE],ROW($B15)-ROW($B$8)),"NE",IF(AND(INDEX(T_EMP[TERMINATION DATE],ROW($B15)-ROW($B$8))&gt;0,Z$8&gt;INDEX(T_EMP[TERMINATION DATE],ROW($B15)-ROW($B$8))),"NE",IF(NOT(ISERROR(MATCH(Z$8,L_HOLS,0))),"H",IF(INDEX(L_WKNDVAL,WEEKDAY(Z$8,1))=1,"WKND",INDEX(T_LEAVE[LEAVE CODE],SUMPRODUCT(--(T_LEAVE[NAME]=$B15),--(T_LEAVE[DATE]&lt;=Z$8),--(T_LEAVE[DATE]&gt;=Z$8),ROW(T_LEAVE[LEAVE CODE]))-ROW(T_LEAVE[#Headers]))))))),"")</f>
        <v/>
      </c>
      <c r="AA15" s="75" t="str">
        <f>IFERROR(IF(AA$8="","NA",IF(AA$8&lt;INDEX(T_EMP[START DATE],ROW($B15)-ROW($B$8)),"NE",IF(AND(INDEX(T_EMP[TERMINATION DATE],ROW($B15)-ROW($B$8))&gt;0,AA$8&gt;INDEX(T_EMP[TERMINATION DATE],ROW($B15)-ROW($B$8))),"NE",IF(NOT(ISERROR(MATCH(AA$8,L_HOLS,0))),"H",IF(INDEX(L_WKNDVAL,WEEKDAY(AA$8,1))=1,"WKND",INDEX(T_LEAVE[LEAVE CODE],SUMPRODUCT(--(T_LEAVE[NAME]=$B15),--(T_LEAVE[DATE]&lt;=AA$8),--(T_LEAVE[DATE]&gt;=AA$8),ROW(T_LEAVE[LEAVE CODE]))-ROW(T_LEAVE[#Headers]))))))),"")</f>
        <v/>
      </c>
      <c r="AB15" s="75" t="str">
        <f>IFERROR(IF(AB$8="","NA",IF(AB$8&lt;INDEX(T_EMP[START DATE],ROW($B15)-ROW($B$8)),"NE",IF(AND(INDEX(T_EMP[TERMINATION DATE],ROW($B15)-ROW($B$8))&gt;0,AB$8&gt;INDEX(T_EMP[TERMINATION DATE],ROW($B15)-ROW($B$8))),"NE",IF(NOT(ISERROR(MATCH(AB$8,L_HOLS,0))),"H",IF(INDEX(L_WKNDVAL,WEEKDAY(AB$8,1))=1,"WKND",INDEX(T_LEAVE[LEAVE CODE],SUMPRODUCT(--(T_LEAVE[NAME]=$B15),--(T_LEAVE[DATE]&lt;=AB$8),--(T_LEAVE[DATE]&gt;=AB$8),ROW(T_LEAVE[LEAVE CODE]))-ROW(T_LEAVE[#Headers]))))))),"")</f>
        <v/>
      </c>
      <c r="AC15" s="75" t="str">
        <f>IFERROR(IF(AC$8="","NA",IF(AC$8&lt;INDEX(T_EMP[START DATE],ROW($B15)-ROW($B$8)),"NE",IF(AND(INDEX(T_EMP[TERMINATION DATE],ROW($B15)-ROW($B$8))&gt;0,AC$8&gt;INDEX(T_EMP[TERMINATION DATE],ROW($B15)-ROW($B$8))),"NE",IF(NOT(ISERROR(MATCH(AC$8,L_HOLS,0))),"H",IF(INDEX(L_WKNDVAL,WEEKDAY(AC$8,1))=1,"WKND",INDEX(T_LEAVE[LEAVE CODE],SUMPRODUCT(--(T_LEAVE[NAME]=$B15),--(T_LEAVE[DATE]&lt;=AC$8),--(T_LEAVE[DATE]&gt;=AC$8),ROW(T_LEAVE[LEAVE CODE]))-ROW(T_LEAVE[#Headers]))))))),"")</f>
        <v/>
      </c>
      <c r="AD15" s="75" t="str">
        <f>IFERROR(IF(AD$8="","NA",IF(AD$8&lt;INDEX(T_EMP[START DATE],ROW($B15)-ROW($B$8)),"NE",IF(AND(INDEX(T_EMP[TERMINATION DATE],ROW($B15)-ROW($B$8))&gt;0,AD$8&gt;INDEX(T_EMP[TERMINATION DATE],ROW($B15)-ROW($B$8))),"NE",IF(NOT(ISERROR(MATCH(AD$8,L_HOLS,0))),"H",IF(INDEX(L_WKNDVAL,WEEKDAY(AD$8,1))=1,"WKND",INDEX(T_LEAVE[LEAVE CODE],SUMPRODUCT(--(T_LEAVE[NAME]=$B15),--(T_LEAVE[DATE]&lt;=AD$8),--(T_LEAVE[DATE]&gt;=AD$8),ROW(T_LEAVE[LEAVE CODE]))-ROW(T_LEAVE[#Headers]))))))),"")</f>
        <v/>
      </c>
      <c r="AE15" s="75" t="str">
        <f>IFERROR(IF(AE$8="","NA",IF(AE$8&lt;INDEX(T_EMP[START DATE],ROW($B15)-ROW($B$8)),"NE",IF(AND(INDEX(T_EMP[TERMINATION DATE],ROW($B15)-ROW($B$8))&gt;0,AE$8&gt;INDEX(T_EMP[TERMINATION DATE],ROW($B15)-ROW($B$8))),"NE",IF(NOT(ISERROR(MATCH(AE$8,L_HOLS,0))),"H",IF(INDEX(L_WKNDVAL,WEEKDAY(AE$8,1))=1,"WKND",INDEX(T_LEAVE[LEAVE CODE],SUMPRODUCT(--(T_LEAVE[NAME]=$B15),--(T_LEAVE[DATE]&lt;=AE$8),--(T_LEAVE[DATE]&gt;=AE$8),ROW(T_LEAVE[LEAVE CODE]))-ROW(T_LEAVE[#Headers]))))))),"")</f>
        <v/>
      </c>
      <c r="AF15" s="75" t="str">
        <f>IFERROR(IF(AF$8="","NA",IF(AF$8&lt;INDEX(T_EMP[START DATE],ROW($B15)-ROW($B$8)),"NE",IF(AND(INDEX(T_EMP[TERMINATION DATE],ROW($B15)-ROW($B$8))&gt;0,AF$8&gt;INDEX(T_EMP[TERMINATION DATE],ROW($B15)-ROW($B$8))),"NE",IF(NOT(ISERROR(MATCH(AF$8,L_HOLS,0))),"H",IF(INDEX(L_WKNDVAL,WEEKDAY(AF$8,1))=1,"WKND",INDEX(T_LEAVE[LEAVE CODE],SUMPRODUCT(--(T_LEAVE[NAME]=$B15),--(T_LEAVE[DATE]&lt;=AF$8),--(T_LEAVE[DATE]&gt;=AF$8),ROW(T_LEAVE[LEAVE CODE]))-ROW(T_LEAVE[#Headers]))))))),"")</f>
        <v/>
      </c>
      <c r="AG15" s="75" t="str">
        <f>IFERROR(IF(AG$8="","NA",IF(AG$8&lt;INDEX(T_EMP[START DATE],ROW($B15)-ROW($B$8)),"NE",IF(AND(INDEX(T_EMP[TERMINATION DATE],ROW($B15)-ROW($B$8))&gt;0,AG$8&gt;INDEX(T_EMP[TERMINATION DATE],ROW($B15)-ROW($B$8))),"NE",IF(NOT(ISERROR(MATCH(AG$8,L_HOLS,0))),"H",IF(INDEX(L_WKNDVAL,WEEKDAY(AG$8,1))=1,"WKND",INDEX(T_LEAVE[LEAVE CODE],SUMPRODUCT(--(T_LEAVE[NAME]=$B15),--(T_LEAVE[DATE]&lt;=AG$8),--(T_LEAVE[DATE]&gt;=AG$8),ROW(T_LEAVE[LEAVE CODE]))-ROW(T_LEAVE[#Headers]))))))),"")</f>
        <v/>
      </c>
      <c r="AH15" s="75" t="str">
        <f>IFERROR(IF(AH$8="","NA",IF(AH$8&lt;INDEX(T_EMP[START DATE],ROW($B15)-ROW($B$8)),"NE",IF(AND(INDEX(T_EMP[TERMINATION DATE],ROW($B15)-ROW($B$8))&gt;0,AH$8&gt;INDEX(T_EMP[TERMINATION DATE],ROW($B15)-ROW($B$8))),"NE",IF(NOT(ISERROR(MATCH(AH$8,L_HOLS,0))),"H",IF(INDEX(L_WKNDVAL,WEEKDAY(AH$8,1))=1,"WKND",INDEX(T_LEAVE[LEAVE CODE],SUMPRODUCT(--(T_LEAVE[NAME]=$B15),--(T_LEAVE[DATE]&lt;=AH$8),--(T_LEAVE[DATE]&gt;=AH$8),ROW(T_LEAVE[LEAVE CODE]))-ROW(T_LEAVE[#Headers]))))))),"")</f>
        <v/>
      </c>
      <c r="AJ15" s="88">
        <f>IF(OR($B15="",AJ$8=""),"",COUNTIFS($D15:$AH15,AJ$8)*INDEX(T_LEAVETYPE[DAY VALUE],1))</f>
        <v>0</v>
      </c>
      <c r="AK15" s="88">
        <f>IF(OR($B15="",AK$8=""),"",COUNTIFS($D15:$AH15,AK$8)*INDEX(T_LEAVETYPE[DAY VALUE],2))</f>
        <v>0</v>
      </c>
      <c r="AL15" s="88">
        <f>IF(OR($B15="",AL$8=""),"",COUNTIFS($D15:$AH15,AL$8)*INDEX(T_LEAVETYPE[DAY VALUE],3))</f>
        <v>0</v>
      </c>
      <c r="AM15" s="88">
        <f>IF(OR($B15="",AM$8=""),"",COUNTIFS($D15:$AH15,AM$8)*INDEX(T_LEAVETYPE[DAY VALUE],4))</f>
        <v>0</v>
      </c>
      <c r="AN15" s="88">
        <f>IF(OR($B15="",AN$8=""),"",COUNTIFS($D15:$AH15,AN$8)*INDEX(T_LEAVETYPE[DAY VALUE],5))</f>
        <v>0</v>
      </c>
      <c r="AO15" s="88">
        <f>IF(OR($B15="",AO$8=""),"",COUNTIFS($D15:$AH15,AO$8)*INDEX(T_LEAVETYPE[DAY VALUE],6))</f>
        <v>0</v>
      </c>
      <c r="AP15" s="88">
        <f>IF(OR($B15="",AP$8=""),"",COUNTIFS($D15:$AH15,AP$8)*INDEX(T_LEAVETYPE[DAY VALUE],7))</f>
        <v>0</v>
      </c>
      <c r="AQ15" s="88">
        <f>IF(OR($B15="",AQ$8=""),"",COUNTIFS($D15:$AH15,AQ$8)*INDEX(T_LEAVETYPE[DAY VALUE],8))</f>
        <v>0</v>
      </c>
      <c r="AR15" s="89">
        <f t="shared" si="3"/>
        <v>0</v>
      </c>
    </row>
    <row r="16" spans="1:44" x14ac:dyDescent="0.25">
      <c r="A16" s="90">
        <f t="shared" si="4"/>
        <v>8</v>
      </c>
      <c r="B16" s="74" t="str">
        <f>IFERROR(INDEX(T_EMP[NAME],ROW(B16)-ROW($B$8)),"")</f>
        <v>CASAS JR., BERNARDO</v>
      </c>
      <c r="C16" s="91" t="str">
        <f>IFERROR(INDEX(T_EMP[DEPARTMENT],ROW(B16)-ROW($C$8)),"")</f>
        <v>IB SUPPORT</v>
      </c>
      <c r="D16" s="75" t="str">
        <f>IFERROR(IF(D$8="","NA",IF(D$8&lt;INDEX(T_EMP[START DATE],ROW($B16)-ROW($B$8)),"NE",IF(AND(INDEX(T_EMP[TERMINATION DATE],ROW($B16)-ROW($B$8))&gt;0,D$8&gt;INDEX(T_EMP[TERMINATION DATE],ROW($B16)-ROW($B$8))),"NE",IF(NOT(ISERROR(MATCH(D$8,L_HOLS,0))),"H",IF(INDEX(L_WKNDVAL,WEEKDAY(D$8,1))=1,"WKND",INDEX(T_LEAVE[LEAVE CODE],SUMPRODUCT(--(T_LEAVE[NAME]=$B16),--(T_LEAVE[DATE]&lt;=D$8),--(T_LEAVE[DATE]&gt;=D$8),ROW(T_LEAVE[LEAVE CODE]))-ROW(T_LEAVE[#Headers]))))))),"")</f>
        <v>H</v>
      </c>
      <c r="E16" s="75" t="str">
        <f>IFERROR(IF(E$8="","NA",IF(E$8&lt;INDEX(T_EMP[START DATE],ROW($B16)-ROW($B$8)),"NE",IF(AND(INDEX(T_EMP[TERMINATION DATE],ROW($B16)-ROW($B$8))&gt;0,E$8&gt;INDEX(T_EMP[TERMINATION DATE],ROW($B16)-ROW($B$8))),"NE",IF(NOT(ISERROR(MATCH(E$8,L_HOLS,0))),"H",IF(INDEX(L_WKNDVAL,WEEKDAY(E$8,1))=1,"WKND",INDEX(T_LEAVE[LEAVE CODE],SUMPRODUCT(--(T_LEAVE[NAME]=$B16),--(T_LEAVE[DATE]&lt;=E$8),--(T_LEAVE[DATE]&gt;=E$8),ROW(T_LEAVE[LEAVE CODE]))-ROW(T_LEAVE[#Headers]))))))),"")</f>
        <v/>
      </c>
      <c r="F16" s="75" t="str">
        <f>IFERROR(IF(F$8="","NA",IF(F$8&lt;INDEX(T_EMP[START DATE],ROW($B16)-ROW($B$8)),"NE",IF(AND(INDEX(T_EMP[TERMINATION DATE],ROW($B16)-ROW($B$8))&gt;0,F$8&gt;INDEX(T_EMP[TERMINATION DATE],ROW($B16)-ROW($B$8))),"NE",IF(NOT(ISERROR(MATCH(F$8,L_HOLS,0))),"H",IF(INDEX(L_WKNDVAL,WEEKDAY(F$8,1))=1,"WKND",INDEX(T_LEAVE[LEAVE CODE],SUMPRODUCT(--(T_LEAVE[NAME]=$B16),--(T_LEAVE[DATE]&lt;=F$8),--(T_LEAVE[DATE]&gt;=F$8),ROW(T_LEAVE[LEAVE CODE]))-ROW(T_LEAVE[#Headers]))))))),"")</f>
        <v/>
      </c>
      <c r="G16" s="75" t="str">
        <f>IFERROR(IF(G$8="","NA",IF(G$8&lt;INDEX(T_EMP[START DATE],ROW($B16)-ROW($B$8)),"NE",IF(AND(INDEX(T_EMP[TERMINATION DATE],ROW($B16)-ROW($B$8))&gt;0,G$8&gt;INDEX(T_EMP[TERMINATION DATE],ROW($B16)-ROW($B$8))),"NE",IF(NOT(ISERROR(MATCH(G$8,L_HOLS,0))),"H",IF(INDEX(L_WKNDVAL,WEEKDAY(G$8,1))=1,"WKND",INDEX(T_LEAVE[LEAVE CODE],SUMPRODUCT(--(T_LEAVE[NAME]=$B16),--(T_LEAVE[DATE]&lt;=G$8),--(T_LEAVE[DATE]&gt;=G$8),ROW(T_LEAVE[LEAVE CODE]))-ROW(T_LEAVE[#Headers]))))))),"")</f>
        <v/>
      </c>
      <c r="H16" s="75" t="str">
        <f>IFERROR(IF(H$8="","NA",IF(H$8&lt;INDEX(T_EMP[START DATE],ROW($B16)-ROW($B$8)),"NE",IF(AND(INDEX(T_EMP[TERMINATION DATE],ROW($B16)-ROW($B$8))&gt;0,H$8&gt;INDEX(T_EMP[TERMINATION DATE],ROW($B16)-ROW($B$8))),"NE",IF(NOT(ISERROR(MATCH(H$8,L_HOLS,0))),"H",IF(INDEX(L_WKNDVAL,WEEKDAY(H$8,1))=1,"WKND",INDEX(T_LEAVE[LEAVE CODE],SUMPRODUCT(--(T_LEAVE[NAME]=$B16),--(T_LEAVE[DATE]&lt;=H$8),--(T_LEAVE[DATE]&gt;=H$8),ROW(T_LEAVE[LEAVE CODE]))-ROW(T_LEAVE[#Headers]))))))),"")</f>
        <v/>
      </c>
      <c r="I16" s="75" t="str">
        <f>IFERROR(IF(I$8="","NA",IF(I$8&lt;INDEX(T_EMP[START DATE],ROW($B16)-ROW($B$8)),"NE",IF(AND(INDEX(T_EMP[TERMINATION DATE],ROW($B16)-ROW($B$8))&gt;0,I$8&gt;INDEX(T_EMP[TERMINATION DATE],ROW($B16)-ROW($B$8))),"NE",IF(NOT(ISERROR(MATCH(I$8,L_HOLS,0))),"H",IF(INDEX(L_WKNDVAL,WEEKDAY(I$8,1))=1,"WKND",INDEX(T_LEAVE[LEAVE CODE],SUMPRODUCT(--(T_LEAVE[NAME]=$B16),--(T_LEAVE[DATE]&lt;=I$8),--(T_LEAVE[DATE]&gt;=I$8),ROW(T_LEAVE[LEAVE CODE]))-ROW(T_LEAVE[#Headers]))))))),"")</f>
        <v/>
      </c>
      <c r="J16" s="75" t="str">
        <f>IFERROR(IF(J$8="","NA",IF(J$8&lt;INDEX(T_EMP[START DATE],ROW($B16)-ROW($B$8)),"NE",IF(AND(INDEX(T_EMP[TERMINATION DATE],ROW($B16)-ROW($B$8))&gt;0,J$8&gt;INDEX(T_EMP[TERMINATION DATE],ROW($B16)-ROW($B$8))),"NE",IF(NOT(ISERROR(MATCH(J$8,L_HOLS,0))),"H",IF(INDEX(L_WKNDVAL,WEEKDAY(J$8,1))=1,"WKND",INDEX(T_LEAVE[LEAVE CODE],SUMPRODUCT(--(T_LEAVE[NAME]=$B16),--(T_LEAVE[DATE]&lt;=J$8),--(T_LEAVE[DATE]&gt;=J$8),ROW(T_LEAVE[LEAVE CODE]))-ROW(T_LEAVE[#Headers]))))))),"")</f>
        <v/>
      </c>
      <c r="K16" s="75" t="str">
        <f>IFERROR(IF(K$8="","NA",IF(K$8&lt;INDEX(T_EMP[START DATE],ROW($B16)-ROW($B$8)),"NE",IF(AND(INDEX(T_EMP[TERMINATION DATE],ROW($B16)-ROW($B$8))&gt;0,K$8&gt;INDEX(T_EMP[TERMINATION DATE],ROW($B16)-ROW($B$8))),"NE",IF(NOT(ISERROR(MATCH(K$8,L_HOLS,0))),"H",IF(INDEX(L_WKNDVAL,WEEKDAY(K$8,1))=1,"WKND",INDEX(T_LEAVE[LEAVE CODE],SUMPRODUCT(--(T_LEAVE[NAME]=$B16),--(T_LEAVE[DATE]&lt;=K$8),--(T_LEAVE[DATE]&gt;=K$8),ROW(T_LEAVE[LEAVE CODE]))-ROW(T_LEAVE[#Headers]))))))),"")</f>
        <v/>
      </c>
      <c r="L16" s="75" t="str">
        <f>IFERROR(IF(L$8="","NA",IF(L$8&lt;INDEX(T_EMP[START DATE],ROW($B16)-ROW($B$8)),"NE",IF(AND(INDEX(T_EMP[TERMINATION DATE],ROW($B16)-ROW($B$8))&gt;0,L$8&gt;INDEX(T_EMP[TERMINATION DATE],ROW($B16)-ROW($B$8))),"NE",IF(NOT(ISERROR(MATCH(L$8,L_HOLS,0))),"H",IF(INDEX(L_WKNDVAL,WEEKDAY(L$8,1))=1,"WKND",INDEX(T_LEAVE[LEAVE CODE],SUMPRODUCT(--(T_LEAVE[NAME]=$B16),--(T_LEAVE[DATE]&lt;=L$8),--(T_LEAVE[DATE]&gt;=L$8),ROW(T_LEAVE[LEAVE CODE]))-ROW(T_LEAVE[#Headers]))))))),"")</f>
        <v/>
      </c>
      <c r="M16" s="75" t="str">
        <f>IFERROR(IF(M$8="","NA",IF(M$8&lt;INDEX(T_EMP[START DATE],ROW($B16)-ROW($B$8)),"NE",IF(AND(INDEX(T_EMP[TERMINATION DATE],ROW($B16)-ROW($B$8))&gt;0,M$8&gt;INDEX(T_EMP[TERMINATION DATE],ROW($B16)-ROW($B$8))),"NE",IF(NOT(ISERROR(MATCH(M$8,L_HOLS,0))),"H",IF(INDEX(L_WKNDVAL,WEEKDAY(M$8,1))=1,"WKND",INDEX(T_LEAVE[LEAVE CODE],SUMPRODUCT(--(T_LEAVE[NAME]=$B16),--(T_LEAVE[DATE]&lt;=M$8),--(T_LEAVE[DATE]&gt;=M$8),ROW(T_LEAVE[LEAVE CODE]))-ROW(T_LEAVE[#Headers]))))))),"")</f>
        <v/>
      </c>
      <c r="N16" s="75" t="str">
        <f>IFERROR(IF(N$8="","NA",IF(N$8&lt;INDEX(T_EMP[START DATE],ROW($B16)-ROW($B$8)),"NE",IF(AND(INDEX(T_EMP[TERMINATION DATE],ROW($B16)-ROW($B$8))&gt;0,N$8&gt;INDEX(T_EMP[TERMINATION DATE],ROW($B16)-ROW($B$8))),"NE",IF(NOT(ISERROR(MATCH(N$8,L_HOLS,0))),"H",IF(INDEX(L_WKNDVAL,WEEKDAY(N$8,1))=1,"WKND",INDEX(T_LEAVE[LEAVE CODE],SUMPRODUCT(--(T_LEAVE[NAME]=$B16),--(T_LEAVE[DATE]&lt;=N$8),--(T_LEAVE[DATE]&gt;=N$8),ROW(T_LEAVE[LEAVE CODE]))-ROW(T_LEAVE[#Headers]))))))),"")</f>
        <v/>
      </c>
      <c r="O16" s="75" t="str">
        <f>IFERROR(IF(O$8="","NA",IF(O$8&lt;INDEX(T_EMP[START DATE],ROW($B16)-ROW($B$8)),"NE",IF(AND(INDEX(T_EMP[TERMINATION DATE],ROW($B16)-ROW($B$8))&gt;0,O$8&gt;INDEX(T_EMP[TERMINATION DATE],ROW($B16)-ROW($B$8))),"NE",IF(NOT(ISERROR(MATCH(O$8,L_HOLS,0))),"H",IF(INDEX(L_WKNDVAL,WEEKDAY(O$8,1))=1,"WKND",INDEX(T_LEAVE[LEAVE CODE],SUMPRODUCT(--(T_LEAVE[NAME]=$B16),--(T_LEAVE[DATE]&lt;=O$8),--(T_LEAVE[DATE]&gt;=O$8),ROW(T_LEAVE[LEAVE CODE]))-ROW(T_LEAVE[#Headers]))))))),"")</f>
        <v/>
      </c>
      <c r="P16" s="75" t="str">
        <f>IFERROR(IF(P$8="","NA",IF(P$8&lt;INDEX(T_EMP[START DATE],ROW($B16)-ROW($B$8)),"NE",IF(AND(INDEX(T_EMP[TERMINATION DATE],ROW($B16)-ROW($B$8))&gt;0,P$8&gt;INDEX(T_EMP[TERMINATION DATE],ROW($B16)-ROW($B$8))),"NE",IF(NOT(ISERROR(MATCH(P$8,L_HOLS,0))),"H",IF(INDEX(L_WKNDVAL,WEEKDAY(P$8,1))=1,"WKND",INDEX(T_LEAVE[LEAVE CODE],SUMPRODUCT(--(T_LEAVE[NAME]=$B16),--(T_LEAVE[DATE]&lt;=P$8),--(T_LEAVE[DATE]&gt;=P$8),ROW(T_LEAVE[LEAVE CODE]))-ROW(T_LEAVE[#Headers]))))))),"")</f>
        <v>H</v>
      </c>
      <c r="Q16" s="75" t="str">
        <f>IFERROR(IF(Q$8="","NA",IF(Q$8&lt;INDEX(T_EMP[START DATE],ROW($B16)-ROW($B$8)),"NE",IF(AND(INDEX(T_EMP[TERMINATION DATE],ROW($B16)-ROW($B$8))&gt;0,Q$8&gt;INDEX(T_EMP[TERMINATION DATE],ROW($B16)-ROW($B$8))),"NE",IF(NOT(ISERROR(MATCH(Q$8,L_HOLS,0))),"H",IF(INDEX(L_WKNDVAL,WEEKDAY(Q$8,1))=1,"WKND",INDEX(T_LEAVE[LEAVE CODE],SUMPRODUCT(--(T_LEAVE[NAME]=$B16),--(T_LEAVE[DATE]&lt;=Q$8),--(T_LEAVE[DATE]&gt;=Q$8),ROW(T_LEAVE[LEAVE CODE]))-ROW(T_LEAVE[#Headers]))))))),"")</f>
        <v/>
      </c>
      <c r="R16" s="75" t="str">
        <f>IFERROR(IF(R$8="","NA",IF(R$8&lt;INDEX(T_EMP[START DATE],ROW($B16)-ROW($B$8)),"NE",IF(AND(INDEX(T_EMP[TERMINATION DATE],ROW($B16)-ROW($B$8))&gt;0,R$8&gt;INDEX(T_EMP[TERMINATION DATE],ROW($B16)-ROW($B$8))),"NE",IF(NOT(ISERROR(MATCH(R$8,L_HOLS,0))),"H",IF(INDEX(L_WKNDVAL,WEEKDAY(R$8,1))=1,"WKND",INDEX(T_LEAVE[LEAVE CODE],SUMPRODUCT(--(T_LEAVE[NAME]=$B16),--(T_LEAVE[DATE]&lt;=R$8),--(T_LEAVE[DATE]&gt;=R$8),ROW(T_LEAVE[LEAVE CODE]))-ROW(T_LEAVE[#Headers]))))))),"")</f>
        <v/>
      </c>
      <c r="S16" s="75" t="str">
        <f>IFERROR(IF(S$8="","NA",IF(S$8&lt;INDEX(T_EMP[START DATE],ROW($B16)-ROW($B$8)),"NE",IF(AND(INDEX(T_EMP[TERMINATION DATE],ROW($B16)-ROW($B$8))&gt;0,S$8&gt;INDEX(T_EMP[TERMINATION DATE],ROW($B16)-ROW($B$8))),"NE",IF(NOT(ISERROR(MATCH(S$8,L_HOLS,0))),"H",IF(INDEX(L_WKNDVAL,WEEKDAY(S$8,1))=1,"WKND",INDEX(T_LEAVE[LEAVE CODE],SUMPRODUCT(--(T_LEAVE[NAME]=$B16),--(T_LEAVE[DATE]&lt;=S$8),--(T_LEAVE[DATE]&gt;=S$8),ROW(T_LEAVE[LEAVE CODE]))-ROW(T_LEAVE[#Headers]))))))),"")</f>
        <v/>
      </c>
      <c r="T16" s="75" t="str">
        <f>IFERROR(IF(T$8="","NA",IF(T$8&lt;INDEX(T_EMP[START DATE],ROW($B16)-ROW($B$8)),"NE",IF(AND(INDEX(T_EMP[TERMINATION DATE],ROW($B16)-ROW($B$8))&gt;0,T$8&gt;INDEX(T_EMP[TERMINATION DATE],ROW($B16)-ROW($B$8))),"NE",IF(NOT(ISERROR(MATCH(T$8,L_HOLS,0))),"H",IF(INDEX(L_WKNDVAL,WEEKDAY(T$8,1))=1,"WKND",INDEX(T_LEAVE[LEAVE CODE],SUMPRODUCT(--(T_LEAVE[NAME]=$B16),--(T_LEAVE[DATE]&lt;=T$8),--(T_LEAVE[DATE]&gt;=T$8),ROW(T_LEAVE[LEAVE CODE]))-ROW(T_LEAVE[#Headers]))))))),"")</f>
        <v/>
      </c>
      <c r="U16" s="75" t="str">
        <f>IFERROR(IF(U$8="","NA",IF(U$8&lt;INDEX(T_EMP[START DATE],ROW($B16)-ROW($B$8)),"NE",IF(AND(INDEX(T_EMP[TERMINATION DATE],ROW($B16)-ROW($B$8))&gt;0,U$8&gt;INDEX(T_EMP[TERMINATION DATE],ROW($B16)-ROW($B$8))),"NE",IF(NOT(ISERROR(MATCH(U$8,L_HOLS,0))),"H",IF(INDEX(L_WKNDVAL,WEEKDAY(U$8,1))=1,"WKND",INDEX(T_LEAVE[LEAVE CODE],SUMPRODUCT(--(T_LEAVE[NAME]=$B16),--(T_LEAVE[DATE]&lt;=U$8),--(T_LEAVE[DATE]&gt;=U$8),ROW(T_LEAVE[LEAVE CODE]))-ROW(T_LEAVE[#Headers]))))))),"")</f>
        <v/>
      </c>
      <c r="V16" s="75" t="str">
        <f>IFERROR(IF(V$8="","NA",IF(V$8&lt;INDEX(T_EMP[START DATE],ROW($B16)-ROW($B$8)),"NE",IF(AND(INDEX(T_EMP[TERMINATION DATE],ROW($B16)-ROW($B$8))&gt;0,V$8&gt;INDEX(T_EMP[TERMINATION DATE],ROW($B16)-ROW($B$8))),"NE",IF(NOT(ISERROR(MATCH(V$8,L_HOLS,0))),"H",IF(INDEX(L_WKNDVAL,WEEKDAY(V$8,1))=1,"WKND",INDEX(T_LEAVE[LEAVE CODE],SUMPRODUCT(--(T_LEAVE[NAME]=$B16),--(T_LEAVE[DATE]&lt;=V$8),--(T_LEAVE[DATE]&gt;=V$8),ROW(T_LEAVE[LEAVE CODE]))-ROW(T_LEAVE[#Headers]))))))),"")</f>
        <v/>
      </c>
      <c r="W16" s="75" t="str">
        <f>IFERROR(IF(W$8="","NA",IF(W$8&lt;INDEX(T_EMP[START DATE],ROW($B16)-ROW($B$8)),"NE",IF(AND(INDEX(T_EMP[TERMINATION DATE],ROW($B16)-ROW($B$8))&gt;0,W$8&gt;INDEX(T_EMP[TERMINATION DATE],ROW($B16)-ROW($B$8))),"NE",IF(NOT(ISERROR(MATCH(W$8,L_HOLS,0))),"H",IF(INDEX(L_WKNDVAL,WEEKDAY(W$8,1))=1,"WKND",INDEX(T_LEAVE[LEAVE CODE],SUMPRODUCT(--(T_LEAVE[NAME]=$B16),--(T_LEAVE[DATE]&lt;=W$8),--(T_LEAVE[DATE]&gt;=W$8),ROW(T_LEAVE[LEAVE CODE]))-ROW(T_LEAVE[#Headers]))))))),"")</f>
        <v/>
      </c>
      <c r="X16" s="75" t="str">
        <f>IFERROR(IF(X$8="","NA",IF(X$8&lt;INDEX(T_EMP[START DATE],ROW($B16)-ROW($B$8)),"NE",IF(AND(INDEX(T_EMP[TERMINATION DATE],ROW($B16)-ROW($B$8))&gt;0,X$8&gt;INDEX(T_EMP[TERMINATION DATE],ROW($B16)-ROW($B$8))),"NE",IF(NOT(ISERROR(MATCH(X$8,L_HOLS,0))),"H",IF(INDEX(L_WKNDVAL,WEEKDAY(X$8,1))=1,"WKND",INDEX(T_LEAVE[LEAVE CODE],SUMPRODUCT(--(T_LEAVE[NAME]=$B16),--(T_LEAVE[DATE]&lt;=X$8),--(T_LEAVE[DATE]&gt;=X$8),ROW(T_LEAVE[LEAVE CODE]))-ROW(T_LEAVE[#Headers]))))))),"")</f>
        <v/>
      </c>
      <c r="Y16" s="75" t="str">
        <f>IFERROR(IF(Y$8="","NA",IF(Y$8&lt;INDEX(T_EMP[START DATE],ROW($B16)-ROW($B$8)),"NE",IF(AND(INDEX(T_EMP[TERMINATION DATE],ROW($B16)-ROW($B$8))&gt;0,Y$8&gt;INDEX(T_EMP[TERMINATION DATE],ROW($B16)-ROW($B$8))),"NE",IF(NOT(ISERROR(MATCH(Y$8,L_HOLS,0))),"H",IF(INDEX(L_WKNDVAL,WEEKDAY(Y$8,1))=1,"WKND",INDEX(T_LEAVE[LEAVE CODE],SUMPRODUCT(--(T_LEAVE[NAME]=$B16),--(T_LEAVE[DATE]&lt;=Y$8),--(T_LEAVE[DATE]&gt;=Y$8),ROW(T_LEAVE[LEAVE CODE]))-ROW(T_LEAVE[#Headers]))))))),"")</f>
        <v/>
      </c>
      <c r="Z16" s="75" t="str">
        <f>IFERROR(IF(Z$8="","NA",IF(Z$8&lt;INDEX(T_EMP[START DATE],ROW($B16)-ROW($B$8)),"NE",IF(AND(INDEX(T_EMP[TERMINATION DATE],ROW($B16)-ROW($B$8))&gt;0,Z$8&gt;INDEX(T_EMP[TERMINATION DATE],ROW($B16)-ROW($B$8))),"NE",IF(NOT(ISERROR(MATCH(Z$8,L_HOLS,0))),"H",IF(INDEX(L_WKNDVAL,WEEKDAY(Z$8,1))=1,"WKND",INDEX(T_LEAVE[LEAVE CODE],SUMPRODUCT(--(T_LEAVE[NAME]=$B16),--(T_LEAVE[DATE]&lt;=Z$8),--(T_LEAVE[DATE]&gt;=Z$8),ROW(T_LEAVE[LEAVE CODE]))-ROW(T_LEAVE[#Headers]))))))),"")</f>
        <v/>
      </c>
      <c r="AA16" s="75" t="str">
        <f>IFERROR(IF(AA$8="","NA",IF(AA$8&lt;INDEX(T_EMP[START DATE],ROW($B16)-ROW($B$8)),"NE",IF(AND(INDEX(T_EMP[TERMINATION DATE],ROW($B16)-ROW($B$8))&gt;0,AA$8&gt;INDEX(T_EMP[TERMINATION DATE],ROW($B16)-ROW($B$8))),"NE",IF(NOT(ISERROR(MATCH(AA$8,L_HOLS,0))),"H",IF(INDEX(L_WKNDVAL,WEEKDAY(AA$8,1))=1,"WKND",INDEX(T_LEAVE[LEAVE CODE],SUMPRODUCT(--(T_LEAVE[NAME]=$B16),--(T_LEAVE[DATE]&lt;=AA$8),--(T_LEAVE[DATE]&gt;=AA$8),ROW(T_LEAVE[LEAVE CODE]))-ROW(T_LEAVE[#Headers]))))))),"")</f>
        <v/>
      </c>
      <c r="AB16" s="75" t="str">
        <f>IFERROR(IF(AB$8="","NA",IF(AB$8&lt;INDEX(T_EMP[START DATE],ROW($B16)-ROW($B$8)),"NE",IF(AND(INDEX(T_EMP[TERMINATION DATE],ROW($B16)-ROW($B$8))&gt;0,AB$8&gt;INDEX(T_EMP[TERMINATION DATE],ROW($B16)-ROW($B$8))),"NE",IF(NOT(ISERROR(MATCH(AB$8,L_HOLS,0))),"H",IF(INDEX(L_WKNDVAL,WEEKDAY(AB$8,1))=1,"WKND",INDEX(T_LEAVE[LEAVE CODE],SUMPRODUCT(--(T_LEAVE[NAME]=$B16),--(T_LEAVE[DATE]&lt;=AB$8),--(T_LEAVE[DATE]&gt;=AB$8),ROW(T_LEAVE[LEAVE CODE]))-ROW(T_LEAVE[#Headers]))))))),"")</f>
        <v/>
      </c>
      <c r="AC16" s="75" t="str">
        <f>IFERROR(IF(AC$8="","NA",IF(AC$8&lt;INDEX(T_EMP[START DATE],ROW($B16)-ROW($B$8)),"NE",IF(AND(INDEX(T_EMP[TERMINATION DATE],ROW($B16)-ROW($B$8))&gt;0,AC$8&gt;INDEX(T_EMP[TERMINATION DATE],ROW($B16)-ROW($B$8))),"NE",IF(NOT(ISERROR(MATCH(AC$8,L_HOLS,0))),"H",IF(INDEX(L_WKNDVAL,WEEKDAY(AC$8,1))=1,"WKND",INDEX(T_LEAVE[LEAVE CODE],SUMPRODUCT(--(T_LEAVE[NAME]=$B16),--(T_LEAVE[DATE]&lt;=AC$8),--(T_LEAVE[DATE]&gt;=AC$8),ROW(T_LEAVE[LEAVE CODE]))-ROW(T_LEAVE[#Headers]))))))),"")</f>
        <v/>
      </c>
      <c r="AD16" s="75" t="str">
        <f>IFERROR(IF(AD$8="","NA",IF(AD$8&lt;INDEX(T_EMP[START DATE],ROW($B16)-ROW($B$8)),"NE",IF(AND(INDEX(T_EMP[TERMINATION DATE],ROW($B16)-ROW($B$8))&gt;0,AD$8&gt;INDEX(T_EMP[TERMINATION DATE],ROW($B16)-ROW($B$8))),"NE",IF(NOT(ISERROR(MATCH(AD$8,L_HOLS,0))),"H",IF(INDEX(L_WKNDVAL,WEEKDAY(AD$8,1))=1,"WKND",INDEX(T_LEAVE[LEAVE CODE],SUMPRODUCT(--(T_LEAVE[NAME]=$B16),--(T_LEAVE[DATE]&lt;=AD$8),--(T_LEAVE[DATE]&gt;=AD$8),ROW(T_LEAVE[LEAVE CODE]))-ROW(T_LEAVE[#Headers]))))))),"")</f>
        <v/>
      </c>
      <c r="AE16" s="75" t="str">
        <f>IFERROR(IF(AE$8="","NA",IF(AE$8&lt;INDEX(T_EMP[START DATE],ROW($B16)-ROW($B$8)),"NE",IF(AND(INDEX(T_EMP[TERMINATION DATE],ROW($B16)-ROW($B$8))&gt;0,AE$8&gt;INDEX(T_EMP[TERMINATION DATE],ROW($B16)-ROW($B$8))),"NE",IF(NOT(ISERROR(MATCH(AE$8,L_HOLS,0))),"H",IF(INDEX(L_WKNDVAL,WEEKDAY(AE$8,1))=1,"WKND",INDEX(T_LEAVE[LEAVE CODE],SUMPRODUCT(--(T_LEAVE[NAME]=$B16),--(T_LEAVE[DATE]&lt;=AE$8),--(T_LEAVE[DATE]&gt;=AE$8),ROW(T_LEAVE[LEAVE CODE]))-ROW(T_LEAVE[#Headers]))))))),"")</f>
        <v/>
      </c>
      <c r="AF16" s="75" t="str">
        <f>IFERROR(IF(AF$8="","NA",IF(AF$8&lt;INDEX(T_EMP[START DATE],ROW($B16)-ROW($B$8)),"NE",IF(AND(INDEX(T_EMP[TERMINATION DATE],ROW($B16)-ROW($B$8))&gt;0,AF$8&gt;INDEX(T_EMP[TERMINATION DATE],ROW($B16)-ROW($B$8))),"NE",IF(NOT(ISERROR(MATCH(AF$8,L_HOLS,0))),"H",IF(INDEX(L_WKNDVAL,WEEKDAY(AF$8,1))=1,"WKND",INDEX(T_LEAVE[LEAVE CODE],SUMPRODUCT(--(T_LEAVE[NAME]=$B16),--(T_LEAVE[DATE]&lt;=AF$8),--(T_LEAVE[DATE]&gt;=AF$8),ROW(T_LEAVE[LEAVE CODE]))-ROW(T_LEAVE[#Headers]))))))),"")</f>
        <v/>
      </c>
      <c r="AG16" s="75" t="str">
        <f>IFERROR(IF(AG$8="","NA",IF(AG$8&lt;INDEX(T_EMP[START DATE],ROW($B16)-ROW($B$8)),"NE",IF(AND(INDEX(T_EMP[TERMINATION DATE],ROW($B16)-ROW($B$8))&gt;0,AG$8&gt;INDEX(T_EMP[TERMINATION DATE],ROW($B16)-ROW($B$8))),"NE",IF(NOT(ISERROR(MATCH(AG$8,L_HOLS,0))),"H",IF(INDEX(L_WKNDVAL,WEEKDAY(AG$8,1))=1,"WKND",INDEX(T_LEAVE[LEAVE CODE],SUMPRODUCT(--(T_LEAVE[NAME]=$B16),--(T_LEAVE[DATE]&lt;=AG$8),--(T_LEAVE[DATE]&gt;=AG$8),ROW(T_LEAVE[LEAVE CODE]))-ROW(T_LEAVE[#Headers]))))))),"")</f>
        <v/>
      </c>
      <c r="AH16" s="75" t="str">
        <f>IFERROR(IF(AH$8="","NA",IF(AH$8&lt;INDEX(T_EMP[START DATE],ROW($B16)-ROW($B$8)),"NE",IF(AND(INDEX(T_EMP[TERMINATION DATE],ROW($B16)-ROW($B$8))&gt;0,AH$8&gt;INDEX(T_EMP[TERMINATION DATE],ROW($B16)-ROW($B$8))),"NE",IF(NOT(ISERROR(MATCH(AH$8,L_HOLS,0))),"H",IF(INDEX(L_WKNDVAL,WEEKDAY(AH$8,1))=1,"WKND",INDEX(T_LEAVE[LEAVE CODE],SUMPRODUCT(--(T_LEAVE[NAME]=$B16),--(T_LEAVE[DATE]&lt;=AH$8),--(T_LEAVE[DATE]&gt;=AH$8),ROW(T_LEAVE[LEAVE CODE]))-ROW(T_LEAVE[#Headers]))))))),"")</f>
        <v/>
      </c>
      <c r="AJ16" s="88">
        <f>IF(OR($B16="",AJ$8=""),"",COUNTIFS($D16:$AH16,AJ$8)*INDEX(T_LEAVETYPE[DAY VALUE],1))</f>
        <v>0</v>
      </c>
      <c r="AK16" s="88">
        <f>IF(OR($B16="",AK$8=""),"",COUNTIFS($D16:$AH16,AK$8)*INDEX(T_LEAVETYPE[DAY VALUE],2))</f>
        <v>0</v>
      </c>
      <c r="AL16" s="88">
        <f>IF(OR($B16="",AL$8=""),"",COUNTIFS($D16:$AH16,AL$8)*INDEX(T_LEAVETYPE[DAY VALUE],3))</f>
        <v>0</v>
      </c>
      <c r="AM16" s="88">
        <f>IF(OR($B16="",AM$8=""),"",COUNTIFS($D16:$AH16,AM$8)*INDEX(T_LEAVETYPE[DAY VALUE],4))</f>
        <v>0</v>
      </c>
      <c r="AN16" s="88">
        <f>IF(OR($B16="",AN$8=""),"",COUNTIFS($D16:$AH16,AN$8)*INDEX(T_LEAVETYPE[DAY VALUE],5))</f>
        <v>0</v>
      </c>
      <c r="AO16" s="88">
        <f>IF(OR($B16="",AO$8=""),"",COUNTIFS($D16:$AH16,AO$8)*INDEX(T_LEAVETYPE[DAY VALUE],6))</f>
        <v>0</v>
      </c>
      <c r="AP16" s="88">
        <f>IF(OR($B16="",AP$8=""),"",COUNTIFS($D16:$AH16,AP$8)*INDEX(T_LEAVETYPE[DAY VALUE],7))</f>
        <v>0</v>
      </c>
      <c r="AQ16" s="88">
        <f>IF(OR($B16="",AQ$8=""),"",COUNTIFS($D16:$AH16,AQ$8)*INDEX(T_LEAVETYPE[DAY VALUE],8))</f>
        <v>0</v>
      </c>
      <c r="AR16" s="89">
        <f t="shared" si="3"/>
        <v>0</v>
      </c>
    </row>
    <row r="17" spans="1:44" x14ac:dyDescent="0.25">
      <c r="A17" s="90">
        <f t="shared" si="4"/>
        <v>9</v>
      </c>
      <c r="B17" s="74" t="str">
        <f>IFERROR(INDEX(T_EMP[NAME],ROW(B17)-ROW($B$8)),"")</f>
        <v>VIADO, DANAH LORRAINE</v>
      </c>
      <c r="C17" s="91" t="str">
        <f>IFERROR(INDEX(T_EMP[DEPARTMENT],ROW(B17)-ROW($C$8)),"")</f>
        <v>IB SUPPORT</v>
      </c>
      <c r="D17" s="75" t="str">
        <f>IFERROR(IF(D$8="","NA",IF(D$8&lt;INDEX(T_EMP[START DATE],ROW($B17)-ROW($B$8)),"NE",IF(AND(INDEX(T_EMP[TERMINATION DATE],ROW($B17)-ROW($B$8))&gt;0,D$8&gt;INDEX(T_EMP[TERMINATION DATE],ROW($B17)-ROW($B$8))),"NE",IF(NOT(ISERROR(MATCH(D$8,L_HOLS,0))),"H",IF(INDEX(L_WKNDVAL,WEEKDAY(D$8,1))=1,"WKND",INDEX(T_LEAVE[LEAVE CODE],SUMPRODUCT(--(T_LEAVE[NAME]=$B17),--(T_LEAVE[DATE]&lt;=D$8),--(T_LEAVE[DATE]&gt;=D$8),ROW(T_LEAVE[LEAVE CODE]))-ROW(T_LEAVE[#Headers]))))))),"")</f>
        <v>H</v>
      </c>
      <c r="E17" s="75" t="str">
        <f>IFERROR(IF(E$8="","NA",IF(E$8&lt;INDEX(T_EMP[START DATE],ROW($B17)-ROW($B$8)),"NE",IF(AND(INDEX(T_EMP[TERMINATION DATE],ROW($B17)-ROW($B$8))&gt;0,E$8&gt;INDEX(T_EMP[TERMINATION DATE],ROW($B17)-ROW($B$8))),"NE",IF(NOT(ISERROR(MATCH(E$8,L_HOLS,0))),"H",IF(INDEX(L_WKNDVAL,WEEKDAY(E$8,1))=1,"WKND",INDEX(T_LEAVE[LEAVE CODE],SUMPRODUCT(--(T_LEAVE[NAME]=$B17),--(T_LEAVE[DATE]&lt;=E$8),--(T_LEAVE[DATE]&gt;=E$8),ROW(T_LEAVE[LEAVE CODE]))-ROW(T_LEAVE[#Headers]))))))),"")</f>
        <v/>
      </c>
      <c r="F17" s="75" t="str">
        <f>IFERROR(IF(F$8="","NA",IF(F$8&lt;INDEX(T_EMP[START DATE],ROW($B17)-ROW($B$8)),"NE",IF(AND(INDEX(T_EMP[TERMINATION DATE],ROW($B17)-ROW($B$8))&gt;0,F$8&gt;INDEX(T_EMP[TERMINATION DATE],ROW($B17)-ROW($B$8))),"NE",IF(NOT(ISERROR(MATCH(F$8,L_HOLS,0))),"H",IF(INDEX(L_WKNDVAL,WEEKDAY(F$8,1))=1,"WKND",INDEX(T_LEAVE[LEAVE CODE],SUMPRODUCT(--(T_LEAVE[NAME]=$B17),--(T_LEAVE[DATE]&lt;=F$8),--(T_LEAVE[DATE]&gt;=F$8),ROW(T_LEAVE[LEAVE CODE]))-ROW(T_LEAVE[#Headers]))))))),"")</f>
        <v/>
      </c>
      <c r="G17" s="75" t="str">
        <f>IFERROR(IF(G$8="","NA",IF(G$8&lt;INDEX(T_EMP[START DATE],ROW($B17)-ROW($B$8)),"NE",IF(AND(INDEX(T_EMP[TERMINATION DATE],ROW($B17)-ROW($B$8))&gt;0,G$8&gt;INDEX(T_EMP[TERMINATION DATE],ROW($B17)-ROW($B$8))),"NE",IF(NOT(ISERROR(MATCH(G$8,L_HOLS,0))),"H",IF(INDEX(L_WKNDVAL,WEEKDAY(G$8,1))=1,"WKND",INDEX(T_LEAVE[LEAVE CODE],SUMPRODUCT(--(T_LEAVE[NAME]=$B17),--(T_LEAVE[DATE]&lt;=G$8),--(T_LEAVE[DATE]&gt;=G$8),ROW(T_LEAVE[LEAVE CODE]))-ROW(T_LEAVE[#Headers]))))))),"")</f>
        <v/>
      </c>
      <c r="H17" s="75" t="str">
        <f>IFERROR(IF(H$8="","NA",IF(H$8&lt;INDEX(T_EMP[START DATE],ROW($B17)-ROW($B$8)),"NE",IF(AND(INDEX(T_EMP[TERMINATION DATE],ROW($B17)-ROW($B$8))&gt;0,H$8&gt;INDEX(T_EMP[TERMINATION DATE],ROW($B17)-ROW($B$8))),"NE",IF(NOT(ISERROR(MATCH(H$8,L_HOLS,0))),"H",IF(INDEX(L_WKNDVAL,WEEKDAY(H$8,1))=1,"WKND",INDEX(T_LEAVE[LEAVE CODE],SUMPRODUCT(--(T_LEAVE[NAME]=$B17),--(T_LEAVE[DATE]&lt;=H$8),--(T_LEAVE[DATE]&gt;=H$8),ROW(T_LEAVE[LEAVE CODE]))-ROW(T_LEAVE[#Headers]))))))),"")</f>
        <v/>
      </c>
      <c r="I17" s="75" t="str">
        <f>IFERROR(IF(I$8="","NA",IF(I$8&lt;INDEX(T_EMP[START DATE],ROW($B17)-ROW($B$8)),"NE",IF(AND(INDEX(T_EMP[TERMINATION DATE],ROW($B17)-ROW($B$8))&gt;0,I$8&gt;INDEX(T_EMP[TERMINATION DATE],ROW($B17)-ROW($B$8))),"NE",IF(NOT(ISERROR(MATCH(I$8,L_HOLS,0))),"H",IF(INDEX(L_WKNDVAL,WEEKDAY(I$8,1))=1,"WKND",INDEX(T_LEAVE[LEAVE CODE],SUMPRODUCT(--(T_LEAVE[NAME]=$B17),--(T_LEAVE[DATE]&lt;=I$8),--(T_LEAVE[DATE]&gt;=I$8),ROW(T_LEAVE[LEAVE CODE]))-ROW(T_LEAVE[#Headers]))))))),"")</f>
        <v/>
      </c>
      <c r="J17" s="75" t="str">
        <f>IFERROR(IF(J$8="","NA",IF(J$8&lt;INDEX(T_EMP[START DATE],ROW($B17)-ROW($B$8)),"NE",IF(AND(INDEX(T_EMP[TERMINATION DATE],ROW($B17)-ROW($B$8))&gt;0,J$8&gt;INDEX(T_EMP[TERMINATION DATE],ROW($B17)-ROW($B$8))),"NE",IF(NOT(ISERROR(MATCH(J$8,L_HOLS,0))),"H",IF(INDEX(L_WKNDVAL,WEEKDAY(J$8,1))=1,"WKND",INDEX(T_LEAVE[LEAVE CODE],SUMPRODUCT(--(T_LEAVE[NAME]=$B17),--(T_LEAVE[DATE]&lt;=J$8),--(T_LEAVE[DATE]&gt;=J$8),ROW(T_LEAVE[LEAVE CODE]))-ROW(T_LEAVE[#Headers]))))))),"")</f>
        <v/>
      </c>
      <c r="K17" s="75" t="str">
        <f>IFERROR(IF(K$8="","NA",IF(K$8&lt;INDEX(T_EMP[START DATE],ROW($B17)-ROW($B$8)),"NE",IF(AND(INDEX(T_EMP[TERMINATION DATE],ROW($B17)-ROW($B$8))&gt;0,K$8&gt;INDEX(T_EMP[TERMINATION DATE],ROW($B17)-ROW($B$8))),"NE",IF(NOT(ISERROR(MATCH(K$8,L_HOLS,0))),"H",IF(INDEX(L_WKNDVAL,WEEKDAY(K$8,1))=1,"WKND",INDEX(T_LEAVE[LEAVE CODE],SUMPRODUCT(--(T_LEAVE[NAME]=$B17),--(T_LEAVE[DATE]&lt;=K$8),--(T_LEAVE[DATE]&gt;=K$8),ROW(T_LEAVE[LEAVE CODE]))-ROW(T_LEAVE[#Headers]))))))),"")</f>
        <v/>
      </c>
      <c r="L17" s="75" t="str">
        <f>IFERROR(IF(L$8="","NA",IF(L$8&lt;INDEX(T_EMP[START DATE],ROW($B17)-ROW($B$8)),"NE",IF(AND(INDEX(T_EMP[TERMINATION DATE],ROW($B17)-ROW($B$8))&gt;0,L$8&gt;INDEX(T_EMP[TERMINATION DATE],ROW($B17)-ROW($B$8))),"NE",IF(NOT(ISERROR(MATCH(L$8,L_HOLS,0))),"H",IF(INDEX(L_WKNDVAL,WEEKDAY(L$8,1))=1,"WKND",INDEX(T_LEAVE[LEAVE CODE],SUMPRODUCT(--(T_LEAVE[NAME]=$B17),--(T_LEAVE[DATE]&lt;=L$8),--(T_LEAVE[DATE]&gt;=L$8),ROW(T_LEAVE[LEAVE CODE]))-ROW(T_LEAVE[#Headers]))))))),"")</f>
        <v/>
      </c>
      <c r="M17" s="75" t="str">
        <f>IFERROR(IF(M$8="","NA",IF(M$8&lt;INDEX(T_EMP[START DATE],ROW($B17)-ROW($B$8)),"NE",IF(AND(INDEX(T_EMP[TERMINATION DATE],ROW($B17)-ROW($B$8))&gt;0,M$8&gt;INDEX(T_EMP[TERMINATION DATE],ROW($B17)-ROW($B$8))),"NE",IF(NOT(ISERROR(MATCH(M$8,L_HOLS,0))),"H",IF(INDEX(L_WKNDVAL,WEEKDAY(M$8,1))=1,"WKND",INDEX(T_LEAVE[LEAVE CODE],SUMPRODUCT(--(T_LEAVE[NAME]=$B17),--(T_LEAVE[DATE]&lt;=M$8),--(T_LEAVE[DATE]&gt;=M$8),ROW(T_LEAVE[LEAVE CODE]))-ROW(T_LEAVE[#Headers]))))))),"")</f>
        <v/>
      </c>
      <c r="N17" s="75" t="str">
        <f>IFERROR(IF(N$8="","NA",IF(N$8&lt;INDEX(T_EMP[START DATE],ROW($B17)-ROW($B$8)),"NE",IF(AND(INDEX(T_EMP[TERMINATION DATE],ROW($B17)-ROW($B$8))&gt;0,N$8&gt;INDEX(T_EMP[TERMINATION DATE],ROW($B17)-ROW($B$8))),"NE",IF(NOT(ISERROR(MATCH(N$8,L_HOLS,0))),"H",IF(INDEX(L_WKNDVAL,WEEKDAY(N$8,1))=1,"WKND",INDEX(T_LEAVE[LEAVE CODE],SUMPRODUCT(--(T_LEAVE[NAME]=$B17),--(T_LEAVE[DATE]&lt;=N$8),--(T_LEAVE[DATE]&gt;=N$8),ROW(T_LEAVE[LEAVE CODE]))-ROW(T_LEAVE[#Headers]))))))),"")</f>
        <v/>
      </c>
      <c r="O17" s="75" t="str">
        <f>IFERROR(IF(O$8="","NA",IF(O$8&lt;INDEX(T_EMP[START DATE],ROW($B17)-ROW($B$8)),"NE",IF(AND(INDEX(T_EMP[TERMINATION DATE],ROW($B17)-ROW($B$8))&gt;0,O$8&gt;INDEX(T_EMP[TERMINATION DATE],ROW($B17)-ROW($B$8))),"NE",IF(NOT(ISERROR(MATCH(O$8,L_HOLS,0))),"H",IF(INDEX(L_WKNDVAL,WEEKDAY(O$8,1))=1,"WKND",INDEX(T_LEAVE[LEAVE CODE],SUMPRODUCT(--(T_LEAVE[NAME]=$B17),--(T_LEAVE[DATE]&lt;=O$8),--(T_LEAVE[DATE]&gt;=O$8),ROW(T_LEAVE[LEAVE CODE]))-ROW(T_LEAVE[#Headers]))))))),"")</f>
        <v/>
      </c>
      <c r="P17" s="75" t="str">
        <f>IFERROR(IF(P$8="","NA",IF(P$8&lt;INDEX(T_EMP[START DATE],ROW($B17)-ROW($B$8)),"NE",IF(AND(INDEX(T_EMP[TERMINATION DATE],ROW($B17)-ROW($B$8))&gt;0,P$8&gt;INDEX(T_EMP[TERMINATION DATE],ROW($B17)-ROW($B$8))),"NE",IF(NOT(ISERROR(MATCH(P$8,L_HOLS,0))),"H",IF(INDEX(L_WKNDVAL,WEEKDAY(P$8,1))=1,"WKND",INDEX(T_LEAVE[LEAVE CODE],SUMPRODUCT(--(T_LEAVE[NAME]=$B17),--(T_LEAVE[DATE]&lt;=P$8),--(T_LEAVE[DATE]&gt;=P$8),ROW(T_LEAVE[LEAVE CODE]))-ROW(T_LEAVE[#Headers]))))))),"")</f>
        <v>H</v>
      </c>
      <c r="Q17" s="75" t="str">
        <f>IFERROR(IF(Q$8="","NA",IF(Q$8&lt;INDEX(T_EMP[START DATE],ROW($B17)-ROW($B$8)),"NE",IF(AND(INDEX(T_EMP[TERMINATION DATE],ROW($B17)-ROW($B$8))&gt;0,Q$8&gt;INDEX(T_EMP[TERMINATION DATE],ROW($B17)-ROW($B$8))),"NE",IF(NOT(ISERROR(MATCH(Q$8,L_HOLS,0))),"H",IF(INDEX(L_WKNDVAL,WEEKDAY(Q$8,1))=1,"WKND",INDEX(T_LEAVE[LEAVE CODE],SUMPRODUCT(--(T_LEAVE[NAME]=$B17),--(T_LEAVE[DATE]&lt;=Q$8),--(T_LEAVE[DATE]&gt;=Q$8),ROW(T_LEAVE[LEAVE CODE]))-ROW(T_LEAVE[#Headers]))))))),"")</f>
        <v/>
      </c>
      <c r="R17" s="75" t="str">
        <f>IFERROR(IF(R$8="","NA",IF(R$8&lt;INDEX(T_EMP[START DATE],ROW($B17)-ROW($B$8)),"NE",IF(AND(INDEX(T_EMP[TERMINATION DATE],ROW($B17)-ROW($B$8))&gt;0,R$8&gt;INDEX(T_EMP[TERMINATION DATE],ROW($B17)-ROW($B$8))),"NE",IF(NOT(ISERROR(MATCH(R$8,L_HOLS,0))),"H",IF(INDEX(L_WKNDVAL,WEEKDAY(R$8,1))=1,"WKND",INDEX(T_LEAVE[LEAVE CODE],SUMPRODUCT(--(T_LEAVE[NAME]=$B17),--(T_LEAVE[DATE]&lt;=R$8),--(T_LEAVE[DATE]&gt;=R$8),ROW(T_LEAVE[LEAVE CODE]))-ROW(T_LEAVE[#Headers]))))))),"")</f>
        <v/>
      </c>
      <c r="S17" s="75" t="str">
        <f>IFERROR(IF(S$8="","NA",IF(S$8&lt;INDEX(T_EMP[START DATE],ROW($B17)-ROW($B$8)),"NE",IF(AND(INDEX(T_EMP[TERMINATION DATE],ROW($B17)-ROW($B$8))&gt;0,S$8&gt;INDEX(T_EMP[TERMINATION DATE],ROW($B17)-ROW($B$8))),"NE",IF(NOT(ISERROR(MATCH(S$8,L_HOLS,0))),"H",IF(INDEX(L_WKNDVAL,WEEKDAY(S$8,1))=1,"WKND",INDEX(T_LEAVE[LEAVE CODE],SUMPRODUCT(--(T_LEAVE[NAME]=$B17),--(T_LEAVE[DATE]&lt;=S$8),--(T_LEAVE[DATE]&gt;=S$8),ROW(T_LEAVE[LEAVE CODE]))-ROW(T_LEAVE[#Headers]))))))),"")</f>
        <v/>
      </c>
      <c r="T17" s="75" t="str">
        <f>IFERROR(IF(T$8="","NA",IF(T$8&lt;INDEX(T_EMP[START DATE],ROW($B17)-ROW($B$8)),"NE",IF(AND(INDEX(T_EMP[TERMINATION DATE],ROW($B17)-ROW($B$8))&gt;0,T$8&gt;INDEX(T_EMP[TERMINATION DATE],ROW($B17)-ROW($B$8))),"NE",IF(NOT(ISERROR(MATCH(T$8,L_HOLS,0))),"H",IF(INDEX(L_WKNDVAL,WEEKDAY(T$8,1))=1,"WKND",INDEX(T_LEAVE[LEAVE CODE],SUMPRODUCT(--(T_LEAVE[NAME]=$B17),--(T_LEAVE[DATE]&lt;=T$8),--(T_LEAVE[DATE]&gt;=T$8),ROW(T_LEAVE[LEAVE CODE]))-ROW(T_LEAVE[#Headers]))))))),"")</f>
        <v/>
      </c>
      <c r="U17" s="75" t="str">
        <f>IFERROR(IF(U$8="","NA",IF(U$8&lt;INDEX(T_EMP[START DATE],ROW($B17)-ROW($B$8)),"NE",IF(AND(INDEX(T_EMP[TERMINATION DATE],ROW($B17)-ROW($B$8))&gt;0,U$8&gt;INDEX(T_EMP[TERMINATION DATE],ROW($B17)-ROW($B$8))),"NE",IF(NOT(ISERROR(MATCH(U$8,L_HOLS,0))),"H",IF(INDEX(L_WKNDVAL,WEEKDAY(U$8,1))=1,"WKND",INDEX(T_LEAVE[LEAVE CODE],SUMPRODUCT(--(T_LEAVE[NAME]=$B17),--(T_LEAVE[DATE]&lt;=U$8),--(T_LEAVE[DATE]&gt;=U$8),ROW(T_LEAVE[LEAVE CODE]))-ROW(T_LEAVE[#Headers]))))))),"")</f>
        <v/>
      </c>
      <c r="V17" s="75" t="str">
        <f>IFERROR(IF(V$8="","NA",IF(V$8&lt;INDEX(T_EMP[START DATE],ROW($B17)-ROW($B$8)),"NE",IF(AND(INDEX(T_EMP[TERMINATION DATE],ROW($B17)-ROW($B$8))&gt;0,V$8&gt;INDEX(T_EMP[TERMINATION DATE],ROW($B17)-ROW($B$8))),"NE",IF(NOT(ISERROR(MATCH(V$8,L_HOLS,0))),"H",IF(INDEX(L_WKNDVAL,WEEKDAY(V$8,1))=1,"WKND",INDEX(T_LEAVE[LEAVE CODE],SUMPRODUCT(--(T_LEAVE[NAME]=$B17),--(T_LEAVE[DATE]&lt;=V$8),--(T_LEAVE[DATE]&gt;=V$8),ROW(T_LEAVE[LEAVE CODE]))-ROW(T_LEAVE[#Headers]))))))),"")</f>
        <v/>
      </c>
      <c r="W17" s="75" t="str">
        <f>IFERROR(IF(W$8="","NA",IF(W$8&lt;INDEX(T_EMP[START DATE],ROW($B17)-ROW($B$8)),"NE",IF(AND(INDEX(T_EMP[TERMINATION DATE],ROW($B17)-ROW($B$8))&gt;0,W$8&gt;INDEX(T_EMP[TERMINATION DATE],ROW($B17)-ROW($B$8))),"NE",IF(NOT(ISERROR(MATCH(W$8,L_HOLS,0))),"H",IF(INDEX(L_WKNDVAL,WEEKDAY(W$8,1))=1,"WKND",INDEX(T_LEAVE[LEAVE CODE],SUMPRODUCT(--(T_LEAVE[NAME]=$B17),--(T_LEAVE[DATE]&lt;=W$8),--(T_LEAVE[DATE]&gt;=W$8),ROW(T_LEAVE[LEAVE CODE]))-ROW(T_LEAVE[#Headers]))))))),"")</f>
        <v/>
      </c>
      <c r="X17" s="75" t="str">
        <f>IFERROR(IF(X$8="","NA",IF(X$8&lt;INDEX(T_EMP[START DATE],ROW($B17)-ROW($B$8)),"NE",IF(AND(INDEX(T_EMP[TERMINATION DATE],ROW($B17)-ROW($B$8))&gt;0,X$8&gt;INDEX(T_EMP[TERMINATION DATE],ROW($B17)-ROW($B$8))),"NE",IF(NOT(ISERROR(MATCH(X$8,L_HOLS,0))),"H",IF(INDEX(L_WKNDVAL,WEEKDAY(X$8,1))=1,"WKND",INDEX(T_LEAVE[LEAVE CODE],SUMPRODUCT(--(T_LEAVE[NAME]=$B17),--(T_LEAVE[DATE]&lt;=X$8),--(T_LEAVE[DATE]&gt;=X$8),ROW(T_LEAVE[LEAVE CODE]))-ROW(T_LEAVE[#Headers]))))))),"")</f>
        <v/>
      </c>
      <c r="Y17" s="75" t="str">
        <f>IFERROR(IF(Y$8="","NA",IF(Y$8&lt;INDEX(T_EMP[START DATE],ROW($B17)-ROW($B$8)),"NE",IF(AND(INDEX(T_EMP[TERMINATION DATE],ROW($B17)-ROW($B$8))&gt;0,Y$8&gt;INDEX(T_EMP[TERMINATION DATE],ROW($B17)-ROW($B$8))),"NE",IF(NOT(ISERROR(MATCH(Y$8,L_HOLS,0))),"H",IF(INDEX(L_WKNDVAL,WEEKDAY(Y$8,1))=1,"WKND",INDEX(T_LEAVE[LEAVE CODE],SUMPRODUCT(--(T_LEAVE[NAME]=$B17),--(T_LEAVE[DATE]&lt;=Y$8),--(T_LEAVE[DATE]&gt;=Y$8),ROW(T_LEAVE[LEAVE CODE]))-ROW(T_LEAVE[#Headers]))))))),"")</f>
        <v/>
      </c>
      <c r="Z17" s="75" t="str">
        <f>IFERROR(IF(Z$8="","NA",IF(Z$8&lt;INDEX(T_EMP[START DATE],ROW($B17)-ROW($B$8)),"NE",IF(AND(INDEX(T_EMP[TERMINATION DATE],ROW($B17)-ROW($B$8))&gt;0,Z$8&gt;INDEX(T_EMP[TERMINATION DATE],ROW($B17)-ROW($B$8))),"NE",IF(NOT(ISERROR(MATCH(Z$8,L_HOLS,0))),"H",IF(INDEX(L_WKNDVAL,WEEKDAY(Z$8,1))=1,"WKND",INDEX(T_LEAVE[LEAVE CODE],SUMPRODUCT(--(T_LEAVE[NAME]=$B17),--(T_LEAVE[DATE]&lt;=Z$8),--(T_LEAVE[DATE]&gt;=Z$8),ROW(T_LEAVE[LEAVE CODE]))-ROW(T_LEAVE[#Headers]))))))),"")</f>
        <v/>
      </c>
      <c r="AA17" s="75" t="str">
        <f>IFERROR(IF(AA$8="","NA",IF(AA$8&lt;INDEX(T_EMP[START DATE],ROW($B17)-ROW($B$8)),"NE",IF(AND(INDEX(T_EMP[TERMINATION DATE],ROW($B17)-ROW($B$8))&gt;0,AA$8&gt;INDEX(T_EMP[TERMINATION DATE],ROW($B17)-ROW($B$8))),"NE",IF(NOT(ISERROR(MATCH(AA$8,L_HOLS,0))),"H",IF(INDEX(L_WKNDVAL,WEEKDAY(AA$8,1))=1,"WKND",INDEX(T_LEAVE[LEAVE CODE],SUMPRODUCT(--(T_LEAVE[NAME]=$B17),--(T_LEAVE[DATE]&lt;=AA$8),--(T_LEAVE[DATE]&gt;=AA$8),ROW(T_LEAVE[LEAVE CODE]))-ROW(T_LEAVE[#Headers]))))))),"")</f>
        <v/>
      </c>
      <c r="AB17" s="75" t="str">
        <f>IFERROR(IF(AB$8="","NA",IF(AB$8&lt;INDEX(T_EMP[START DATE],ROW($B17)-ROW($B$8)),"NE",IF(AND(INDEX(T_EMP[TERMINATION DATE],ROW($B17)-ROW($B$8))&gt;0,AB$8&gt;INDEX(T_EMP[TERMINATION DATE],ROW($B17)-ROW($B$8))),"NE",IF(NOT(ISERROR(MATCH(AB$8,L_HOLS,0))),"H",IF(INDEX(L_WKNDVAL,WEEKDAY(AB$8,1))=1,"WKND",INDEX(T_LEAVE[LEAVE CODE],SUMPRODUCT(--(T_LEAVE[NAME]=$B17),--(T_LEAVE[DATE]&lt;=AB$8),--(T_LEAVE[DATE]&gt;=AB$8),ROW(T_LEAVE[LEAVE CODE]))-ROW(T_LEAVE[#Headers]))))))),"")</f>
        <v/>
      </c>
      <c r="AC17" s="75" t="str">
        <f>IFERROR(IF(AC$8="","NA",IF(AC$8&lt;INDEX(T_EMP[START DATE],ROW($B17)-ROW($B$8)),"NE",IF(AND(INDEX(T_EMP[TERMINATION DATE],ROW($B17)-ROW($B$8))&gt;0,AC$8&gt;INDEX(T_EMP[TERMINATION DATE],ROW($B17)-ROW($B$8))),"NE",IF(NOT(ISERROR(MATCH(AC$8,L_HOLS,0))),"H",IF(INDEX(L_WKNDVAL,WEEKDAY(AC$8,1))=1,"WKND",INDEX(T_LEAVE[LEAVE CODE],SUMPRODUCT(--(T_LEAVE[NAME]=$B17),--(T_LEAVE[DATE]&lt;=AC$8),--(T_LEAVE[DATE]&gt;=AC$8),ROW(T_LEAVE[LEAVE CODE]))-ROW(T_LEAVE[#Headers]))))))),"")</f>
        <v/>
      </c>
      <c r="AD17" s="75" t="str">
        <f>IFERROR(IF(AD$8="","NA",IF(AD$8&lt;INDEX(T_EMP[START DATE],ROW($B17)-ROW($B$8)),"NE",IF(AND(INDEX(T_EMP[TERMINATION DATE],ROW($B17)-ROW($B$8))&gt;0,AD$8&gt;INDEX(T_EMP[TERMINATION DATE],ROW($B17)-ROW($B$8))),"NE",IF(NOT(ISERROR(MATCH(AD$8,L_HOLS,0))),"H",IF(INDEX(L_WKNDVAL,WEEKDAY(AD$8,1))=1,"WKND",INDEX(T_LEAVE[LEAVE CODE],SUMPRODUCT(--(T_LEAVE[NAME]=$B17),--(T_LEAVE[DATE]&lt;=AD$8),--(T_LEAVE[DATE]&gt;=AD$8),ROW(T_LEAVE[LEAVE CODE]))-ROW(T_LEAVE[#Headers]))))))),"")</f>
        <v/>
      </c>
      <c r="AE17" s="75" t="str">
        <f>IFERROR(IF(AE$8="","NA",IF(AE$8&lt;INDEX(T_EMP[START DATE],ROW($B17)-ROW($B$8)),"NE",IF(AND(INDEX(T_EMP[TERMINATION DATE],ROW($B17)-ROW($B$8))&gt;0,AE$8&gt;INDEX(T_EMP[TERMINATION DATE],ROW($B17)-ROW($B$8))),"NE",IF(NOT(ISERROR(MATCH(AE$8,L_HOLS,0))),"H",IF(INDEX(L_WKNDVAL,WEEKDAY(AE$8,1))=1,"WKND",INDEX(T_LEAVE[LEAVE CODE],SUMPRODUCT(--(T_LEAVE[NAME]=$B17),--(T_LEAVE[DATE]&lt;=AE$8),--(T_LEAVE[DATE]&gt;=AE$8),ROW(T_LEAVE[LEAVE CODE]))-ROW(T_LEAVE[#Headers]))))))),"")</f>
        <v/>
      </c>
      <c r="AF17" s="75" t="str">
        <f>IFERROR(IF(AF$8="","NA",IF(AF$8&lt;INDEX(T_EMP[START DATE],ROW($B17)-ROW($B$8)),"NE",IF(AND(INDEX(T_EMP[TERMINATION DATE],ROW($B17)-ROW($B$8))&gt;0,AF$8&gt;INDEX(T_EMP[TERMINATION DATE],ROW($B17)-ROW($B$8))),"NE",IF(NOT(ISERROR(MATCH(AF$8,L_HOLS,0))),"H",IF(INDEX(L_WKNDVAL,WEEKDAY(AF$8,1))=1,"WKND",INDEX(T_LEAVE[LEAVE CODE],SUMPRODUCT(--(T_LEAVE[NAME]=$B17),--(T_LEAVE[DATE]&lt;=AF$8),--(T_LEAVE[DATE]&gt;=AF$8),ROW(T_LEAVE[LEAVE CODE]))-ROW(T_LEAVE[#Headers]))))))),"")</f>
        <v/>
      </c>
      <c r="AG17" s="75" t="str">
        <f>IFERROR(IF(AG$8="","NA",IF(AG$8&lt;INDEX(T_EMP[START DATE],ROW($B17)-ROW($B$8)),"NE",IF(AND(INDEX(T_EMP[TERMINATION DATE],ROW($B17)-ROW($B$8))&gt;0,AG$8&gt;INDEX(T_EMP[TERMINATION DATE],ROW($B17)-ROW($B$8))),"NE",IF(NOT(ISERROR(MATCH(AG$8,L_HOLS,0))),"H",IF(INDEX(L_WKNDVAL,WEEKDAY(AG$8,1))=1,"WKND",INDEX(T_LEAVE[LEAVE CODE],SUMPRODUCT(--(T_LEAVE[NAME]=$B17),--(T_LEAVE[DATE]&lt;=AG$8),--(T_LEAVE[DATE]&gt;=AG$8),ROW(T_LEAVE[LEAVE CODE]))-ROW(T_LEAVE[#Headers]))))))),"")</f>
        <v/>
      </c>
      <c r="AH17" s="75" t="str">
        <f>IFERROR(IF(AH$8="","NA",IF(AH$8&lt;INDEX(T_EMP[START DATE],ROW($B17)-ROW($B$8)),"NE",IF(AND(INDEX(T_EMP[TERMINATION DATE],ROW($B17)-ROW($B$8))&gt;0,AH$8&gt;INDEX(T_EMP[TERMINATION DATE],ROW($B17)-ROW($B$8))),"NE",IF(NOT(ISERROR(MATCH(AH$8,L_HOLS,0))),"H",IF(INDEX(L_WKNDVAL,WEEKDAY(AH$8,1))=1,"WKND",INDEX(T_LEAVE[LEAVE CODE],SUMPRODUCT(--(T_LEAVE[NAME]=$B17),--(T_LEAVE[DATE]&lt;=AH$8),--(T_LEAVE[DATE]&gt;=AH$8),ROW(T_LEAVE[LEAVE CODE]))-ROW(T_LEAVE[#Headers]))))))),"")</f>
        <v/>
      </c>
      <c r="AJ17" s="88">
        <f>IF(OR($B17="",AJ$8=""),"",COUNTIFS($D17:$AH17,AJ$8)*INDEX(T_LEAVETYPE[DAY VALUE],1))</f>
        <v>0</v>
      </c>
      <c r="AK17" s="88">
        <f>IF(OR($B17="",AK$8=""),"",COUNTIFS($D17:$AH17,AK$8)*INDEX(T_LEAVETYPE[DAY VALUE],2))</f>
        <v>0</v>
      </c>
      <c r="AL17" s="88">
        <f>IF(OR($B17="",AL$8=""),"",COUNTIFS($D17:$AH17,AL$8)*INDEX(T_LEAVETYPE[DAY VALUE],3))</f>
        <v>0</v>
      </c>
      <c r="AM17" s="88">
        <f>IF(OR($B17="",AM$8=""),"",COUNTIFS($D17:$AH17,AM$8)*INDEX(T_LEAVETYPE[DAY VALUE],4))</f>
        <v>0</v>
      </c>
      <c r="AN17" s="88">
        <f>IF(OR($B17="",AN$8=""),"",COUNTIFS($D17:$AH17,AN$8)*INDEX(T_LEAVETYPE[DAY VALUE],5))</f>
        <v>0</v>
      </c>
      <c r="AO17" s="88">
        <f>IF(OR($B17="",AO$8=""),"",COUNTIFS($D17:$AH17,AO$8)*INDEX(T_LEAVETYPE[DAY VALUE],6))</f>
        <v>0</v>
      </c>
      <c r="AP17" s="88">
        <f>IF(OR($B17="",AP$8=""),"",COUNTIFS($D17:$AH17,AP$8)*INDEX(T_LEAVETYPE[DAY VALUE],7))</f>
        <v>0</v>
      </c>
      <c r="AQ17" s="88">
        <f>IF(OR($B17="",AQ$8=""),"",COUNTIFS($D17:$AH17,AQ$8)*INDEX(T_LEAVETYPE[DAY VALUE],8))</f>
        <v>0</v>
      </c>
      <c r="AR17" s="89">
        <f t="shared" si="3"/>
        <v>0</v>
      </c>
    </row>
    <row r="18" spans="1:44" x14ac:dyDescent="0.25">
      <c r="A18" s="90">
        <f t="shared" si="4"/>
        <v>10</v>
      </c>
      <c r="B18" s="74" t="str">
        <f>IFERROR(INDEX(T_EMP[NAME],ROW(B18)-ROW($B$8)),"")</f>
        <v>MARINAS, ELMERA</v>
      </c>
      <c r="C18" s="91" t="str">
        <f>IFERROR(INDEX(T_EMP[DEPARTMENT],ROW(B18)-ROW($C$8)),"")</f>
        <v>IB SUPPORT</v>
      </c>
      <c r="D18" s="75" t="str">
        <f>IFERROR(IF(D$8="","NA",IF(D$8&lt;INDEX(T_EMP[START DATE],ROW($B18)-ROW($B$8)),"NE",IF(AND(INDEX(T_EMP[TERMINATION DATE],ROW($B18)-ROW($B$8))&gt;0,D$8&gt;INDEX(T_EMP[TERMINATION DATE],ROW($B18)-ROW($B$8))),"NE",IF(NOT(ISERROR(MATCH(D$8,L_HOLS,0))),"H",IF(INDEX(L_WKNDVAL,WEEKDAY(D$8,1))=1,"WKND",INDEX(T_LEAVE[LEAVE CODE],SUMPRODUCT(--(T_LEAVE[NAME]=$B18),--(T_LEAVE[DATE]&lt;=D$8),--(T_LEAVE[DATE]&gt;=D$8),ROW(T_LEAVE[LEAVE CODE]))-ROW(T_LEAVE[#Headers]))))))),"")</f>
        <v>H</v>
      </c>
      <c r="E18" s="75" t="str">
        <f>IFERROR(IF(E$8="","NA",IF(E$8&lt;INDEX(T_EMP[START DATE],ROW($B18)-ROW($B$8)),"NE",IF(AND(INDEX(T_EMP[TERMINATION DATE],ROW($B18)-ROW($B$8))&gt;0,E$8&gt;INDEX(T_EMP[TERMINATION DATE],ROW($B18)-ROW($B$8))),"NE",IF(NOT(ISERROR(MATCH(E$8,L_HOLS,0))),"H",IF(INDEX(L_WKNDVAL,WEEKDAY(E$8,1))=1,"WKND",INDEX(T_LEAVE[LEAVE CODE],SUMPRODUCT(--(T_LEAVE[NAME]=$B18),--(T_LEAVE[DATE]&lt;=E$8),--(T_LEAVE[DATE]&gt;=E$8),ROW(T_LEAVE[LEAVE CODE]))-ROW(T_LEAVE[#Headers]))))))),"")</f>
        <v/>
      </c>
      <c r="F18" s="75" t="str">
        <f>IFERROR(IF(F$8="","NA",IF(F$8&lt;INDEX(T_EMP[START DATE],ROW($B18)-ROW($B$8)),"NE",IF(AND(INDEX(T_EMP[TERMINATION DATE],ROW($B18)-ROW($B$8))&gt;0,F$8&gt;INDEX(T_EMP[TERMINATION DATE],ROW($B18)-ROW($B$8))),"NE",IF(NOT(ISERROR(MATCH(F$8,L_HOLS,0))),"H",IF(INDEX(L_WKNDVAL,WEEKDAY(F$8,1))=1,"WKND",INDEX(T_LEAVE[LEAVE CODE],SUMPRODUCT(--(T_LEAVE[NAME]=$B18),--(T_LEAVE[DATE]&lt;=F$8),--(T_LEAVE[DATE]&gt;=F$8),ROW(T_LEAVE[LEAVE CODE]))-ROW(T_LEAVE[#Headers]))))))),"")</f>
        <v/>
      </c>
      <c r="G18" s="75" t="str">
        <f>IFERROR(IF(G$8="","NA",IF(G$8&lt;INDEX(T_EMP[START DATE],ROW($B18)-ROW($B$8)),"NE",IF(AND(INDEX(T_EMP[TERMINATION DATE],ROW($B18)-ROW($B$8))&gt;0,G$8&gt;INDEX(T_EMP[TERMINATION DATE],ROW($B18)-ROW($B$8))),"NE",IF(NOT(ISERROR(MATCH(G$8,L_HOLS,0))),"H",IF(INDEX(L_WKNDVAL,WEEKDAY(G$8,1))=1,"WKND",INDEX(T_LEAVE[LEAVE CODE],SUMPRODUCT(--(T_LEAVE[NAME]=$B18),--(T_LEAVE[DATE]&lt;=G$8),--(T_LEAVE[DATE]&gt;=G$8),ROW(T_LEAVE[LEAVE CODE]))-ROW(T_LEAVE[#Headers]))))))),"")</f>
        <v/>
      </c>
      <c r="H18" s="75" t="str">
        <f>IFERROR(IF(H$8="","NA",IF(H$8&lt;INDEX(T_EMP[START DATE],ROW($B18)-ROW($B$8)),"NE",IF(AND(INDEX(T_EMP[TERMINATION DATE],ROW($B18)-ROW($B$8))&gt;0,H$8&gt;INDEX(T_EMP[TERMINATION DATE],ROW($B18)-ROW($B$8))),"NE",IF(NOT(ISERROR(MATCH(H$8,L_HOLS,0))),"H",IF(INDEX(L_WKNDVAL,WEEKDAY(H$8,1))=1,"WKND",INDEX(T_LEAVE[LEAVE CODE],SUMPRODUCT(--(T_LEAVE[NAME]=$B18),--(T_LEAVE[DATE]&lt;=H$8),--(T_LEAVE[DATE]&gt;=H$8),ROW(T_LEAVE[LEAVE CODE]))-ROW(T_LEAVE[#Headers]))))))),"")</f>
        <v/>
      </c>
      <c r="I18" s="75" t="str">
        <f>IFERROR(IF(I$8="","NA",IF(I$8&lt;INDEX(T_EMP[START DATE],ROW($B18)-ROW($B$8)),"NE",IF(AND(INDEX(T_EMP[TERMINATION DATE],ROW($B18)-ROW($B$8))&gt;0,I$8&gt;INDEX(T_EMP[TERMINATION DATE],ROW($B18)-ROW($B$8))),"NE",IF(NOT(ISERROR(MATCH(I$8,L_HOLS,0))),"H",IF(INDEX(L_WKNDVAL,WEEKDAY(I$8,1))=1,"WKND",INDEX(T_LEAVE[LEAVE CODE],SUMPRODUCT(--(T_LEAVE[NAME]=$B18),--(T_LEAVE[DATE]&lt;=I$8),--(T_LEAVE[DATE]&gt;=I$8),ROW(T_LEAVE[LEAVE CODE]))-ROW(T_LEAVE[#Headers]))))))),"")</f>
        <v/>
      </c>
      <c r="J18" s="75" t="str">
        <f>IFERROR(IF(J$8="","NA",IF(J$8&lt;INDEX(T_EMP[START DATE],ROW($B18)-ROW($B$8)),"NE",IF(AND(INDEX(T_EMP[TERMINATION DATE],ROW($B18)-ROW($B$8))&gt;0,J$8&gt;INDEX(T_EMP[TERMINATION DATE],ROW($B18)-ROW($B$8))),"NE",IF(NOT(ISERROR(MATCH(J$8,L_HOLS,0))),"H",IF(INDEX(L_WKNDVAL,WEEKDAY(J$8,1))=1,"WKND",INDEX(T_LEAVE[LEAVE CODE],SUMPRODUCT(--(T_LEAVE[NAME]=$B18),--(T_LEAVE[DATE]&lt;=J$8),--(T_LEAVE[DATE]&gt;=J$8),ROW(T_LEAVE[LEAVE CODE]))-ROW(T_LEAVE[#Headers]))))))),"")</f>
        <v/>
      </c>
      <c r="K18" s="75" t="str">
        <f>IFERROR(IF(K$8="","NA",IF(K$8&lt;INDEX(T_EMP[START DATE],ROW($B18)-ROW($B$8)),"NE",IF(AND(INDEX(T_EMP[TERMINATION DATE],ROW($B18)-ROW($B$8))&gt;0,K$8&gt;INDEX(T_EMP[TERMINATION DATE],ROW($B18)-ROW($B$8))),"NE",IF(NOT(ISERROR(MATCH(K$8,L_HOLS,0))),"H",IF(INDEX(L_WKNDVAL,WEEKDAY(K$8,1))=1,"WKND",INDEX(T_LEAVE[LEAVE CODE],SUMPRODUCT(--(T_LEAVE[NAME]=$B18),--(T_LEAVE[DATE]&lt;=K$8),--(T_LEAVE[DATE]&gt;=K$8),ROW(T_LEAVE[LEAVE CODE]))-ROW(T_LEAVE[#Headers]))))))),"")</f>
        <v/>
      </c>
      <c r="L18" s="75" t="str">
        <f>IFERROR(IF(L$8="","NA",IF(L$8&lt;INDEX(T_EMP[START DATE],ROW($B18)-ROW($B$8)),"NE",IF(AND(INDEX(T_EMP[TERMINATION DATE],ROW($B18)-ROW($B$8))&gt;0,L$8&gt;INDEX(T_EMP[TERMINATION DATE],ROW($B18)-ROW($B$8))),"NE",IF(NOT(ISERROR(MATCH(L$8,L_HOLS,0))),"H",IF(INDEX(L_WKNDVAL,WEEKDAY(L$8,1))=1,"WKND",INDEX(T_LEAVE[LEAVE CODE],SUMPRODUCT(--(T_LEAVE[NAME]=$B18),--(T_LEAVE[DATE]&lt;=L$8),--(T_LEAVE[DATE]&gt;=L$8),ROW(T_LEAVE[LEAVE CODE]))-ROW(T_LEAVE[#Headers]))))))),"")</f>
        <v/>
      </c>
      <c r="M18" s="75" t="str">
        <f>IFERROR(IF(M$8="","NA",IF(M$8&lt;INDEX(T_EMP[START DATE],ROW($B18)-ROW($B$8)),"NE",IF(AND(INDEX(T_EMP[TERMINATION DATE],ROW($B18)-ROW($B$8))&gt;0,M$8&gt;INDEX(T_EMP[TERMINATION DATE],ROW($B18)-ROW($B$8))),"NE",IF(NOT(ISERROR(MATCH(M$8,L_HOLS,0))),"H",IF(INDEX(L_WKNDVAL,WEEKDAY(M$8,1))=1,"WKND",INDEX(T_LEAVE[LEAVE CODE],SUMPRODUCT(--(T_LEAVE[NAME]=$B18),--(T_LEAVE[DATE]&lt;=M$8),--(T_LEAVE[DATE]&gt;=M$8),ROW(T_LEAVE[LEAVE CODE]))-ROW(T_LEAVE[#Headers]))))))),"")</f>
        <v/>
      </c>
      <c r="N18" s="75" t="str">
        <f>IFERROR(IF(N$8="","NA",IF(N$8&lt;INDEX(T_EMP[START DATE],ROW($B18)-ROW($B$8)),"NE",IF(AND(INDEX(T_EMP[TERMINATION DATE],ROW($B18)-ROW($B$8))&gt;0,N$8&gt;INDEX(T_EMP[TERMINATION DATE],ROW($B18)-ROW($B$8))),"NE",IF(NOT(ISERROR(MATCH(N$8,L_HOLS,0))),"H",IF(INDEX(L_WKNDVAL,WEEKDAY(N$8,1))=1,"WKND",INDEX(T_LEAVE[LEAVE CODE],SUMPRODUCT(--(T_LEAVE[NAME]=$B18),--(T_LEAVE[DATE]&lt;=N$8),--(T_LEAVE[DATE]&gt;=N$8),ROW(T_LEAVE[LEAVE CODE]))-ROW(T_LEAVE[#Headers]))))))),"")</f>
        <v/>
      </c>
      <c r="O18" s="75" t="str">
        <f>IFERROR(IF(O$8="","NA",IF(O$8&lt;INDEX(T_EMP[START DATE],ROW($B18)-ROW($B$8)),"NE",IF(AND(INDEX(T_EMP[TERMINATION DATE],ROW($B18)-ROW($B$8))&gt;0,O$8&gt;INDEX(T_EMP[TERMINATION DATE],ROW($B18)-ROW($B$8))),"NE",IF(NOT(ISERROR(MATCH(O$8,L_HOLS,0))),"H",IF(INDEX(L_WKNDVAL,WEEKDAY(O$8,1))=1,"WKND",INDEX(T_LEAVE[LEAVE CODE],SUMPRODUCT(--(T_LEAVE[NAME]=$B18),--(T_LEAVE[DATE]&lt;=O$8),--(T_LEAVE[DATE]&gt;=O$8),ROW(T_LEAVE[LEAVE CODE]))-ROW(T_LEAVE[#Headers]))))))),"")</f>
        <v/>
      </c>
      <c r="P18" s="75" t="str">
        <f>IFERROR(IF(P$8="","NA",IF(P$8&lt;INDEX(T_EMP[START DATE],ROW($B18)-ROW($B$8)),"NE",IF(AND(INDEX(T_EMP[TERMINATION DATE],ROW($B18)-ROW($B$8))&gt;0,P$8&gt;INDEX(T_EMP[TERMINATION DATE],ROW($B18)-ROW($B$8))),"NE",IF(NOT(ISERROR(MATCH(P$8,L_HOLS,0))),"H",IF(INDEX(L_WKNDVAL,WEEKDAY(P$8,1))=1,"WKND",INDEX(T_LEAVE[LEAVE CODE],SUMPRODUCT(--(T_LEAVE[NAME]=$B18),--(T_LEAVE[DATE]&lt;=P$8),--(T_LEAVE[DATE]&gt;=P$8),ROW(T_LEAVE[LEAVE CODE]))-ROW(T_LEAVE[#Headers]))))))),"")</f>
        <v>H</v>
      </c>
      <c r="Q18" s="75" t="str">
        <f>IFERROR(IF(Q$8="","NA",IF(Q$8&lt;INDEX(T_EMP[START DATE],ROW($B18)-ROW($B$8)),"NE",IF(AND(INDEX(T_EMP[TERMINATION DATE],ROW($B18)-ROW($B$8))&gt;0,Q$8&gt;INDEX(T_EMP[TERMINATION DATE],ROW($B18)-ROW($B$8))),"NE",IF(NOT(ISERROR(MATCH(Q$8,L_HOLS,0))),"H",IF(INDEX(L_WKNDVAL,WEEKDAY(Q$8,1))=1,"WKND",INDEX(T_LEAVE[LEAVE CODE],SUMPRODUCT(--(T_LEAVE[NAME]=$B18),--(T_LEAVE[DATE]&lt;=Q$8),--(T_LEAVE[DATE]&gt;=Q$8),ROW(T_LEAVE[LEAVE CODE]))-ROW(T_LEAVE[#Headers]))))))),"")</f>
        <v/>
      </c>
      <c r="R18" s="75" t="str">
        <f>IFERROR(IF(R$8="","NA",IF(R$8&lt;INDEX(T_EMP[START DATE],ROW($B18)-ROW($B$8)),"NE",IF(AND(INDEX(T_EMP[TERMINATION DATE],ROW($B18)-ROW($B$8))&gt;0,R$8&gt;INDEX(T_EMP[TERMINATION DATE],ROW($B18)-ROW($B$8))),"NE",IF(NOT(ISERROR(MATCH(R$8,L_HOLS,0))),"H",IF(INDEX(L_WKNDVAL,WEEKDAY(R$8,1))=1,"WKND",INDEX(T_LEAVE[LEAVE CODE],SUMPRODUCT(--(T_LEAVE[NAME]=$B18),--(T_LEAVE[DATE]&lt;=R$8),--(T_LEAVE[DATE]&gt;=R$8),ROW(T_LEAVE[LEAVE CODE]))-ROW(T_LEAVE[#Headers]))))))),"")</f>
        <v/>
      </c>
      <c r="S18" s="75" t="str">
        <f>IFERROR(IF(S$8="","NA",IF(S$8&lt;INDEX(T_EMP[START DATE],ROW($B18)-ROW($B$8)),"NE",IF(AND(INDEX(T_EMP[TERMINATION DATE],ROW($B18)-ROW($B$8))&gt;0,S$8&gt;INDEX(T_EMP[TERMINATION DATE],ROW($B18)-ROW($B$8))),"NE",IF(NOT(ISERROR(MATCH(S$8,L_HOLS,0))),"H",IF(INDEX(L_WKNDVAL,WEEKDAY(S$8,1))=1,"WKND",INDEX(T_LEAVE[LEAVE CODE],SUMPRODUCT(--(T_LEAVE[NAME]=$B18),--(T_LEAVE[DATE]&lt;=S$8),--(T_LEAVE[DATE]&gt;=S$8),ROW(T_LEAVE[LEAVE CODE]))-ROW(T_LEAVE[#Headers]))))))),"")</f>
        <v/>
      </c>
      <c r="T18" s="75" t="str">
        <f>IFERROR(IF(T$8="","NA",IF(T$8&lt;INDEX(T_EMP[START DATE],ROW($B18)-ROW($B$8)),"NE",IF(AND(INDEX(T_EMP[TERMINATION DATE],ROW($B18)-ROW($B$8))&gt;0,T$8&gt;INDEX(T_EMP[TERMINATION DATE],ROW($B18)-ROW($B$8))),"NE",IF(NOT(ISERROR(MATCH(T$8,L_HOLS,0))),"H",IF(INDEX(L_WKNDVAL,WEEKDAY(T$8,1))=1,"WKND",INDEX(T_LEAVE[LEAVE CODE],SUMPRODUCT(--(T_LEAVE[NAME]=$B18),--(T_LEAVE[DATE]&lt;=T$8),--(T_LEAVE[DATE]&gt;=T$8),ROW(T_LEAVE[LEAVE CODE]))-ROW(T_LEAVE[#Headers]))))))),"")</f>
        <v/>
      </c>
      <c r="U18" s="75" t="str">
        <f>IFERROR(IF(U$8="","NA",IF(U$8&lt;INDEX(T_EMP[START DATE],ROW($B18)-ROW($B$8)),"NE",IF(AND(INDEX(T_EMP[TERMINATION DATE],ROW($B18)-ROW($B$8))&gt;0,U$8&gt;INDEX(T_EMP[TERMINATION DATE],ROW($B18)-ROW($B$8))),"NE",IF(NOT(ISERROR(MATCH(U$8,L_HOLS,0))),"H",IF(INDEX(L_WKNDVAL,WEEKDAY(U$8,1))=1,"WKND",INDEX(T_LEAVE[LEAVE CODE],SUMPRODUCT(--(T_LEAVE[NAME]=$B18),--(T_LEAVE[DATE]&lt;=U$8),--(T_LEAVE[DATE]&gt;=U$8),ROW(T_LEAVE[LEAVE CODE]))-ROW(T_LEAVE[#Headers]))))))),"")</f>
        <v/>
      </c>
      <c r="V18" s="75" t="str">
        <f>IFERROR(IF(V$8="","NA",IF(V$8&lt;INDEX(T_EMP[START DATE],ROW($B18)-ROW($B$8)),"NE",IF(AND(INDEX(T_EMP[TERMINATION DATE],ROW($B18)-ROW($B$8))&gt;0,V$8&gt;INDEX(T_EMP[TERMINATION DATE],ROW($B18)-ROW($B$8))),"NE",IF(NOT(ISERROR(MATCH(V$8,L_HOLS,0))),"H",IF(INDEX(L_WKNDVAL,WEEKDAY(V$8,1))=1,"WKND",INDEX(T_LEAVE[LEAVE CODE],SUMPRODUCT(--(T_LEAVE[NAME]=$B18),--(T_LEAVE[DATE]&lt;=V$8),--(T_LEAVE[DATE]&gt;=V$8),ROW(T_LEAVE[LEAVE CODE]))-ROW(T_LEAVE[#Headers]))))))),"")</f>
        <v/>
      </c>
      <c r="W18" s="75" t="str">
        <f>IFERROR(IF(W$8="","NA",IF(W$8&lt;INDEX(T_EMP[START DATE],ROW($B18)-ROW($B$8)),"NE",IF(AND(INDEX(T_EMP[TERMINATION DATE],ROW($B18)-ROW($B$8))&gt;0,W$8&gt;INDEX(T_EMP[TERMINATION DATE],ROW($B18)-ROW($B$8))),"NE",IF(NOT(ISERROR(MATCH(W$8,L_HOLS,0))),"H",IF(INDEX(L_WKNDVAL,WEEKDAY(W$8,1))=1,"WKND",INDEX(T_LEAVE[LEAVE CODE],SUMPRODUCT(--(T_LEAVE[NAME]=$B18),--(T_LEAVE[DATE]&lt;=W$8),--(T_LEAVE[DATE]&gt;=W$8),ROW(T_LEAVE[LEAVE CODE]))-ROW(T_LEAVE[#Headers]))))))),"")</f>
        <v/>
      </c>
      <c r="X18" s="75" t="str">
        <f>IFERROR(IF(X$8="","NA",IF(X$8&lt;INDEX(T_EMP[START DATE],ROW($B18)-ROW($B$8)),"NE",IF(AND(INDEX(T_EMP[TERMINATION DATE],ROW($B18)-ROW($B$8))&gt;0,X$8&gt;INDEX(T_EMP[TERMINATION DATE],ROW($B18)-ROW($B$8))),"NE",IF(NOT(ISERROR(MATCH(X$8,L_HOLS,0))),"H",IF(INDEX(L_WKNDVAL,WEEKDAY(X$8,1))=1,"WKND",INDEX(T_LEAVE[LEAVE CODE],SUMPRODUCT(--(T_LEAVE[NAME]=$B18),--(T_LEAVE[DATE]&lt;=X$8),--(T_LEAVE[DATE]&gt;=X$8),ROW(T_LEAVE[LEAVE CODE]))-ROW(T_LEAVE[#Headers]))))))),"")</f>
        <v/>
      </c>
      <c r="Y18" s="75" t="str">
        <f>IFERROR(IF(Y$8="","NA",IF(Y$8&lt;INDEX(T_EMP[START DATE],ROW($B18)-ROW($B$8)),"NE",IF(AND(INDEX(T_EMP[TERMINATION DATE],ROW($B18)-ROW($B$8))&gt;0,Y$8&gt;INDEX(T_EMP[TERMINATION DATE],ROW($B18)-ROW($B$8))),"NE",IF(NOT(ISERROR(MATCH(Y$8,L_HOLS,0))),"H",IF(INDEX(L_WKNDVAL,WEEKDAY(Y$8,1))=1,"WKND",INDEX(T_LEAVE[LEAVE CODE],SUMPRODUCT(--(T_LEAVE[NAME]=$B18),--(T_LEAVE[DATE]&lt;=Y$8),--(T_LEAVE[DATE]&gt;=Y$8),ROW(T_LEAVE[LEAVE CODE]))-ROW(T_LEAVE[#Headers]))))))),"")</f>
        <v/>
      </c>
      <c r="Z18" s="75" t="str">
        <f>IFERROR(IF(Z$8="","NA",IF(Z$8&lt;INDEX(T_EMP[START DATE],ROW($B18)-ROW($B$8)),"NE",IF(AND(INDEX(T_EMP[TERMINATION DATE],ROW($B18)-ROW($B$8))&gt;0,Z$8&gt;INDEX(T_EMP[TERMINATION DATE],ROW($B18)-ROW($B$8))),"NE",IF(NOT(ISERROR(MATCH(Z$8,L_HOLS,0))),"H",IF(INDEX(L_WKNDVAL,WEEKDAY(Z$8,1))=1,"WKND",INDEX(T_LEAVE[LEAVE CODE],SUMPRODUCT(--(T_LEAVE[NAME]=$B18),--(T_LEAVE[DATE]&lt;=Z$8),--(T_LEAVE[DATE]&gt;=Z$8),ROW(T_LEAVE[LEAVE CODE]))-ROW(T_LEAVE[#Headers]))))))),"")</f>
        <v/>
      </c>
      <c r="AA18" s="75" t="str">
        <f>IFERROR(IF(AA$8="","NA",IF(AA$8&lt;INDEX(T_EMP[START DATE],ROW($B18)-ROW($B$8)),"NE",IF(AND(INDEX(T_EMP[TERMINATION DATE],ROW($B18)-ROW($B$8))&gt;0,AA$8&gt;INDEX(T_EMP[TERMINATION DATE],ROW($B18)-ROW($B$8))),"NE",IF(NOT(ISERROR(MATCH(AA$8,L_HOLS,0))),"H",IF(INDEX(L_WKNDVAL,WEEKDAY(AA$8,1))=1,"WKND",INDEX(T_LEAVE[LEAVE CODE],SUMPRODUCT(--(T_LEAVE[NAME]=$B18),--(T_LEAVE[DATE]&lt;=AA$8),--(T_LEAVE[DATE]&gt;=AA$8),ROW(T_LEAVE[LEAVE CODE]))-ROW(T_LEAVE[#Headers]))))))),"")</f>
        <v/>
      </c>
      <c r="AB18" s="75" t="str">
        <f>IFERROR(IF(AB$8="","NA",IF(AB$8&lt;INDEX(T_EMP[START DATE],ROW($B18)-ROW($B$8)),"NE",IF(AND(INDEX(T_EMP[TERMINATION DATE],ROW($B18)-ROW($B$8))&gt;0,AB$8&gt;INDEX(T_EMP[TERMINATION DATE],ROW($B18)-ROW($B$8))),"NE",IF(NOT(ISERROR(MATCH(AB$8,L_HOLS,0))),"H",IF(INDEX(L_WKNDVAL,WEEKDAY(AB$8,1))=1,"WKND",INDEX(T_LEAVE[LEAVE CODE],SUMPRODUCT(--(T_LEAVE[NAME]=$B18),--(T_LEAVE[DATE]&lt;=AB$8),--(T_LEAVE[DATE]&gt;=AB$8),ROW(T_LEAVE[LEAVE CODE]))-ROW(T_LEAVE[#Headers]))))))),"")</f>
        <v/>
      </c>
      <c r="AC18" s="75" t="str">
        <f>IFERROR(IF(AC$8="","NA",IF(AC$8&lt;INDEX(T_EMP[START DATE],ROW($B18)-ROW($B$8)),"NE",IF(AND(INDEX(T_EMP[TERMINATION DATE],ROW($B18)-ROW($B$8))&gt;0,AC$8&gt;INDEX(T_EMP[TERMINATION DATE],ROW($B18)-ROW($B$8))),"NE",IF(NOT(ISERROR(MATCH(AC$8,L_HOLS,0))),"H",IF(INDEX(L_WKNDVAL,WEEKDAY(AC$8,1))=1,"WKND",INDEX(T_LEAVE[LEAVE CODE],SUMPRODUCT(--(T_LEAVE[NAME]=$B18),--(T_LEAVE[DATE]&lt;=AC$8),--(T_LEAVE[DATE]&gt;=AC$8),ROW(T_LEAVE[LEAVE CODE]))-ROW(T_LEAVE[#Headers]))))))),"")</f>
        <v/>
      </c>
      <c r="AD18" s="75" t="str">
        <f>IFERROR(IF(AD$8="","NA",IF(AD$8&lt;INDEX(T_EMP[START DATE],ROW($B18)-ROW($B$8)),"NE",IF(AND(INDEX(T_EMP[TERMINATION DATE],ROW($B18)-ROW($B$8))&gt;0,AD$8&gt;INDEX(T_EMP[TERMINATION DATE],ROW($B18)-ROW($B$8))),"NE",IF(NOT(ISERROR(MATCH(AD$8,L_HOLS,0))),"H",IF(INDEX(L_WKNDVAL,WEEKDAY(AD$8,1))=1,"WKND",INDEX(T_LEAVE[LEAVE CODE],SUMPRODUCT(--(T_LEAVE[NAME]=$B18),--(T_LEAVE[DATE]&lt;=AD$8),--(T_LEAVE[DATE]&gt;=AD$8),ROW(T_LEAVE[LEAVE CODE]))-ROW(T_LEAVE[#Headers]))))))),"")</f>
        <v/>
      </c>
      <c r="AE18" s="75" t="str">
        <f>IFERROR(IF(AE$8="","NA",IF(AE$8&lt;INDEX(T_EMP[START DATE],ROW($B18)-ROW($B$8)),"NE",IF(AND(INDEX(T_EMP[TERMINATION DATE],ROW($B18)-ROW($B$8))&gt;0,AE$8&gt;INDEX(T_EMP[TERMINATION DATE],ROW($B18)-ROW($B$8))),"NE",IF(NOT(ISERROR(MATCH(AE$8,L_HOLS,0))),"H",IF(INDEX(L_WKNDVAL,WEEKDAY(AE$8,1))=1,"WKND",INDEX(T_LEAVE[LEAVE CODE],SUMPRODUCT(--(T_LEAVE[NAME]=$B18),--(T_LEAVE[DATE]&lt;=AE$8),--(T_LEAVE[DATE]&gt;=AE$8),ROW(T_LEAVE[LEAVE CODE]))-ROW(T_LEAVE[#Headers]))))))),"")</f>
        <v/>
      </c>
      <c r="AF18" s="75" t="str">
        <f>IFERROR(IF(AF$8="","NA",IF(AF$8&lt;INDEX(T_EMP[START DATE],ROW($B18)-ROW($B$8)),"NE",IF(AND(INDEX(T_EMP[TERMINATION DATE],ROW($B18)-ROW($B$8))&gt;0,AF$8&gt;INDEX(T_EMP[TERMINATION DATE],ROW($B18)-ROW($B$8))),"NE",IF(NOT(ISERROR(MATCH(AF$8,L_HOLS,0))),"H",IF(INDEX(L_WKNDVAL,WEEKDAY(AF$8,1))=1,"WKND",INDEX(T_LEAVE[LEAVE CODE],SUMPRODUCT(--(T_LEAVE[NAME]=$B18),--(T_LEAVE[DATE]&lt;=AF$8),--(T_LEAVE[DATE]&gt;=AF$8),ROW(T_LEAVE[LEAVE CODE]))-ROW(T_LEAVE[#Headers]))))))),"")</f>
        <v/>
      </c>
      <c r="AG18" s="75" t="str">
        <f>IFERROR(IF(AG$8="","NA",IF(AG$8&lt;INDEX(T_EMP[START DATE],ROW($B18)-ROW($B$8)),"NE",IF(AND(INDEX(T_EMP[TERMINATION DATE],ROW($B18)-ROW($B$8))&gt;0,AG$8&gt;INDEX(T_EMP[TERMINATION DATE],ROW($B18)-ROW($B$8))),"NE",IF(NOT(ISERROR(MATCH(AG$8,L_HOLS,0))),"H",IF(INDEX(L_WKNDVAL,WEEKDAY(AG$8,1))=1,"WKND",INDEX(T_LEAVE[LEAVE CODE],SUMPRODUCT(--(T_LEAVE[NAME]=$B18),--(T_LEAVE[DATE]&lt;=AG$8),--(T_LEAVE[DATE]&gt;=AG$8),ROW(T_LEAVE[LEAVE CODE]))-ROW(T_LEAVE[#Headers]))))))),"")</f>
        <v/>
      </c>
      <c r="AH18" s="75" t="str">
        <f>IFERROR(IF(AH$8="","NA",IF(AH$8&lt;INDEX(T_EMP[START DATE],ROW($B18)-ROW($B$8)),"NE",IF(AND(INDEX(T_EMP[TERMINATION DATE],ROW($B18)-ROW($B$8))&gt;0,AH$8&gt;INDEX(T_EMP[TERMINATION DATE],ROW($B18)-ROW($B$8))),"NE",IF(NOT(ISERROR(MATCH(AH$8,L_HOLS,0))),"H",IF(INDEX(L_WKNDVAL,WEEKDAY(AH$8,1))=1,"WKND",INDEX(T_LEAVE[LEAVE CODE],SUMPRODUCT(--(T_LEAVE[NAME]=$B18),--(T_LEAVE[DATE]&lt;=AH$8),--(T_LEAVE[DATE]&gt;=AH$8),ROW(T_LEAVE[LEAVE CODE]))-ROW(T_LEAVE[#Headers]))))))),"")</f>
        <v/>
      </c>
      <c r="AJ18" s="88">
        <f>IF(OR($B18="",AJ$8=""),"",COUNTIFS($D18:$AH18,AJ$8)*INDEX(T_LEAVETYPE[DAY VALUE],1))</f>
        <v>0</v>
      </c>
      <c r="AK18" s="88">
        <f>IF(OR($B18="",AK$8=""),"",COUNTIFS($D18:$AH18,AK$8)*INDEX(T_LEAVETYPE[DAY VALUE],2))</f>
        <v>0</v>
      </c>
      <c r="AL18" s="88">
        <f>IF(OR($B18="",AL$8=""),"",COUNTIFS($D18:$AH18,AL$8)*INDEX(T_LEAVETYPE[DAY VALUE],3))</f>
        <v>0</v>
      </c>
      <c r="AM18" s="88">
        <f>IF(OR($B18="",AM$8=""),"",COUNTIFS($D18:$AH18,AM$8)*INDEX(T_LEAVETYPE[DAY VALUE],4))</f>
        <v>0</v>
      </c>
      <c r="AN18" s="88">
        <f>IF(OR($B18="",AN$8=""),"",COUNTIFS($D18:$AH18,AN$8)*INDEX(T_LEAVETYPE[DAY VALUE],5))</f>
        <v>0</v>
      </c>
      <c r="AO18" s="88">
        <f>IF(OR($B18="",AO$8=""),"",COUNTIFS($D18:$AH18,AO$8)*INDEX(T_LEAVETYPE[DAY VALUE],6))</f>
        <v>0</v>
      </c>
      <c r="AP18" s="88">
        <f>IF(OR($B18="",AP$8=""),"",COUNTIFS($D18:$AH18,AP$8)*INDEX(T_LEAVETYPE[DAY VALUE],7))</f>
        <v>0</v>
      </c>
      <c r="AQ18" s="88">
        <f>IF(OR($B18="",AQ$8=""),"",COUNTIFS($D18:$AH18,AQ$8)*INDEX(T_LEAVETYPE[DAY VALUE],8))</f>
        <v>0</v>
      </c>
      <c r="AR18" s="89">
        <f t="shared" si="3"/>
        <v>0</v>
      </c>
    </row>
    <row r="19" spans="1:44" x14ac:dyDescent="0.25">
      <c r="A19" s="90">
        <f t="shared" si="4"/>
        <v>11</v>
      </c>
      <c r="B19" s="74" t="str">
        <f>IFERROR(INDEX(T_EMP[NAME],ROW(B19)-ROW($B$8)),"")</f>
        <v>VILLANUEVA, EUGENIO II</v>
      </c>
      <c r="C19" s="91" t="str">
        <f>IFERROR(INDEX(T_EMP[DEPARTMENT],ROW(B19)-ROW($C$8)),"")</f>
        <v>IB SUPPORT</v>
      </c>
      <c r="D19" s="75" t="str">
        <f>IFERROR(IF(D$8="","NA",IF(D$8&lt;INDEX(T_EMP[START DATE],ROW($B19)-ROW($B$8)),"NE",IF(AND(INDEX(T_EMP[TERMINATION DATE],ROW($B19)-ROW($B$8))&gt;0,D$8&gt;INDEX(T_EMP[TERMINATION DATE],ROW($B19)-ROW($B$8))),"NE",IF(NOT(ISERROR(MATCH(D$8,L_HOLS,0))),"H",IF(INDEX(L_WKNDVAL,WEEKDAY(D$8,1))=1,"WKND",INDEX(T_LEAVE[LEAVE CODE],SUMPRODUCT(--(T_LEAVE[NAME]=$B19),--(T_LEAVE[DATE]&lt;=D$8),--(T_LEAVE[DATE]&gt;=D$8),ROW(T_LEAVE[LEAVE CODE]))-ROW(T_LEAVE[#Headers]))))))),"")</f>
        <v>H</v>
      </c>
      <c r="E19" s="75" t="str">
        <f>IFERROR(IF(E$8="","NA",IF(E$8&lt;INDEX(T_EMP[START DATE],ROW($B19)-ROW($B$8)),"NE",IF(AND(INDEX(T_EMP[TERMINATION DATE],ROW($B19)-ROW($B$8))&gt;0,E$8&gt;INDEX(T_EMP[TERMINATION DATE],ROW($B19)-ROW($B$8))),"NE",IF(NOT(ISERROR(MATCH(E$8,L_HOLS,0))),"H",IF(INDEX(L_WKNDVAL,WEEKDAY(E$8,1))=1,"WKND",INDEX(T_LEAVE[LEAVE CODE],SUMPRODUCT(--(T_LEAVE[NAME]=$B19),--(T_LEAVE[DATE]&lt;=E$8),--(T_LEAVE[DATE]&gt;=E$8),ROW(T_LEAVE[LEAVE CODE]))-ROW(T_LEAVE[#Headers]))))))),"")</f>
        <v/>
      </c>
      <c r="F19" s="75" t="str">
        <f>IFERROR(IF(F$8="","NA",IF(F$8&lt;INDEX(T_EMP[START DATE],ROW($B19)-ROW($B$8)),"NE",IF(AND(INDEX(T_EMP[TERMINATION DATE],ROW($B19)-ROW($B$8))&gt;0,F$8&gt;INDEX(T_EMP[TERMINATION DATE],ROW($B19)-ROW($B$8))),"NE",IF(NOT(ISERROR(MATCH(F$8,L_HOLS,0))),"H",IF(INDEX(L_WKNDVAL,WEEKDAY(F$8,1))=1,"WKND",INDEX(T_LEAVE[LEAVE CODE],SUMPRODUCT(--(T_LEAVE[NAME]=$B19),--(T_LEAVE[DATE]&lt;=F$8),--(T_LEAVE[DATE]&gt;=F$8),ROW(T_LEAVE[LEAVE CODE]))-ROW(T_LEAVE[#Headers]))))))),"")</f>
        <v/>
      </c>
      <c r="G19" s="75" t="str">
        <f>IFERROR(IF(G$8="","NA",IF(G$8&lt;INDEX(T_EMP[START DATE],ROW($B19)-ROW($B$8)),"NE",IF(AND(INDEX(T_EMP[TERMINATION DATE],ROW($B19)-ROW($B$8))&gt;0,G$8&gt;INDEX(T_EMP[TERMINATION DATE],ROW($B19)-ROW($B$8))),"NE",IF(NOT(ISERROR(MATCH(G$8,L_HOLS,0))),"H",IF(INDEX(L_WKNDVAL,WEEKDAY(G$8,1))=1,"WKND",INDEX(T_LEAVE[LEAVE CODE],SUMPRODUCT(--(T_LEAVE[NAME]=$B19),--(T_LEAVE[DATE]&lt;=G$8),--(T_LEAVE[DATE]&gt;=G$8),ROW(T_LEAVE[LEAVE CODE]))-ROW(T_LEAVE[#Headers]))))))),"")</f>
        <v/>
      </c>
      <c r="H19" s="75" t="str">
        <f>IFERROR(IF(H$8="","NA",IF(H$8&lt;INDEX(T_EMP[START DATE],ROW($B19)-ROW($B$8)),"NE",IF(AND(INDEX(T_EMP[TERMINATION DATE],ROW($B19)-ROW($B$8))&gt;0,H$8&gt;INDEX(T_EMP[TERMINATION DATE],ROW($B19)-ROW($B$8))),"NE",IF(NOT(ISERROR(MATCH(H$8,L_HOLS,0))),"H",IF(INDEX(L_WKNDVAL,WEEKDAY(H$8,1))=1,"WKND",INDEX(T_LEAVE[LEAVE CODE],SUMPRODUCT(--(T_LEAVE[NAME]=$B19),--(T_LEAVE[DATE]&lt;=H$8),--(T_LEAVE[DATE]&gt;=H$8),ROW(T_LEAVE[LEAVE CODE]))-ROW(T_LEAVE[#Headers]))))))),"")</f>
        <v/>
      </c>
      <c r="I19" s="75" t="str">
        <f>IFERROR(IF(I$8="","NA",IF(I$8&lt;INDEX(T_EMP[START DATE],ROW($B19)-ROW($B$8)),"NE",IF(AND(INDEX(T_EMP[TERMINATION DATE],ROW($B19)-ROW($B$8))&gt;0,I$8&gt;INDEX(T_EMP[TERMINATION DATE],ROW($B19)-ROW($B$8))),"NE",IF(NOT(ISERROR(MATCH(I$8,L_HOLS,0))),"H",IF(INDEX(L_WKNDVAL,WEEKDAY(I$8,1))=1,"WKND",INDEX(T_LEAVE[LEAVE CODE],SUMPRODUCT(--(T_LEAVE[NAME]=$B19),--(T_LEAVE[DATE]&lt;=I$8),--(T_LEAVE[DATE]&gt;=I$8),ROW(T_LEAVE[LEAVE CODE]))-ROW(T_LEAVE[#Headers]))))))),"")</f>
        <v/>
      </c>
      <c r="J19" s="75" t="str">
        <f>IFERROR(IF(J$8="","NA",IF(J$8&lt;INDEX(T_EMP[START DATE],ROW($B19)-ROW($B$8)),"NE",IF(AND(INDEX(T_EMP[TERMINATION DATE],ROW($B19)-ROW($B$8))&gt;0,J$8&gt;INDEX(T_EMP[TERMINATION DATE],ROW($B19)-ROW($B$8))),"NE",IF(NOT(ISERROR(MATCH(J$8,L_HOLS,0))),"H",IF(INDEX(L_WKNDVAL,WEEKDAY(J$8,1))=1,"WKND",INDEX(T_LEAVE[LEAVE CODE],SUMPRODUCT(--(T_LEAVE[NAME]=$B19),--(T_LEAVE[DATE]&lt;=J$8),--(T_LEAVE[DATE]&gt;=J$8),ROW(T_LEAVE[LEAVE CODE]))-ROW(T_LEAVE[#Headers]))))))),"")</f>
        <v/>
      </c>
      <c r="K19" s="75" t="str">
        <f>IFERROR(IF(K$8="","NA",IF(K$8&lt;INDEX(T_EMP[START DATE],ROW($B19)-ROW($B$8)),"NE",IF(AND(INDEX(T_EMP[TERMINATION DATE],ROW($B19)-ROW($B$8))&gt;0,K$8&gt;INDEX(T_EMP[TERMINATION DATE],ROW($B19)-ROW($B$8))),"NE",IF(NOT(ISERROR(MATCH(K$8,L_HOLS,0))),"H",IF(INDEX(L_WKNDVAL,WEEKDAY(K$8,1))=1,"WKND",INDEX(T_LEAVE[LEAVE CODE],SUMPRODUCT(--(T_LEAVE[NAME]=$B19),--(T_LEAVE[DATE]&lt;=K$8),--(T_LEAVE[DATE]&gt;=K$8),ROW(T_LEAVE[LEAVE CODE]))-ROW(T_LEAVE[#Headers]))))))),"")</f>
        <v/>
      </c>
      <c r="L19" s="75" t="str">
        <f>IFERROR(IF(L$8="","NA",IF(L$8&lt;INDEX(T_EMP[START DATE],ROW($B19)-ROW($B$8)),"NE",IF(AND(INDEX(T_EMP[TERMINATION DATE],ROW($B19)-ROW($B$8))&gt;0,L$8&gt;INDEX(T_EMP[TERMINATION DATE],ROW($B19)-ROW($B$8))),"NE",IF(NOT(ISERROR(MATCH(L$8,L_HOLS,0))),"H",IF(INDEX(L_WKNDVAL,WEEKDAY(L$8,1))=1,"WKND",INDEX(T_LEAVE[LEAVE CODE],SUMPRODUCT(--(T_LEAVE[NAME]=$B19),--(T_LEAVE[DATE]&lt;=L$8),--(T_LEAVE[DATE]&gt;=L$8),ROW(T_LEAVE[LEAVE CODE]))-ROW(T_LEAVE[#Headers]))))))),"")</f>
        <v/>
      </c>
      <c r="M19" s="75" t="str">
        <f>IFERROR(IF(M$8="","NA",IF(M$8&lt;INDEX(T_EMP[START DATE],ROW($B19)-ROW($B$8)),"NE",IF(AND(INDEX(T_EMP[TERMINATION DATE],ROW($B19)-ROW($B$8))&gt;0,M$8&gt;INDEX(T_EMP[TERMINATION DATE],ROW($B19)-ROW($B$8))),"NE",IF(NOT(ISERROR(MATCH(M$8,L_HOLS,0))),"H",IF(INDEX(L_WKNDVAL,WEEKDAY(M$8,1))=1,"WKND",INDEX(T_LEAVE[LEAVE CODE],SUMPRODUCT(--(T_LEAVE[NAME]=$B19),--(T_LEAVE[DATE]&lt;=M$8),--(T_LEAVE[DATE]&gt;=M$8),ROW(T_LEAVE[LEAVE CODE]))-ROW(T_LEAVE[#Headers]))))))),"")</f>
        <v/>
      </c>
      <c r="N19" s="75" t="str">
        <f>IFERROR(IF(N$8="","NA",IF(N$8&lt;INDEX(T_EMP[START DATE],ROW($B19)-ROW($B$8)),"NE",IF(AND(INDEX(T_EMP[TERMINATION DATE],ROW($B19)-ROW($B$8))&gt;0,N$8&gt;INDEX(T_EMP[TERMINATION DATE],ROW($B19)-ROW($B$8))),"NE",IF(NOT(ISERROR(MATCH(N$8,L_HOLS,0))),"H",IF(INDEX(L_WKNDVAL,WEEKDAY(N$8,1))=1,"WKND",INDEX(T_LEAVE[LEAVE CODE],SUMPRODUCT(--(T_LEAVE[NAME]=$B19),--(T_LEAVE[DATE]&lt;=N$8),--(T_LEAVE[DATE]&gt;=N$8),ROW(T_LEAVE[LEAVE CODE]))-ROW(T_LEAVE[#Headers]))))))),"")</f>
        <v/>
      </c>
      <c r="O19" s="75" t="str">
        <f>IFERROR(IF(O$8="","NA",IF(O$8&lt;INDEX(T_EMP[START DATE],ROW($B19)-ROW($B$8)),"NE",IF(AND(INDEX(T_EMP[TERMINATION DATE],ROW($B19)-ROW($B$8))&gt;0,O$8&gt;INDEX(T_EMP[TERMINATION DATE],ROW($B19)-ROW($B$8))),"NE",IF(NOT(ISERROR(MATCH(O$8,L_HOLS,0))),"H",IF(INDEX(L_WKNDVAL,WEEKDAY(O$8,1))=1,"WKND",INDEX(T_LEAVE[LEAVE CODE],SUMPRODUCT(--(T_LEAVE[NAME]=$B19),--(T_LEAVE[DATE]&lt;=O$8),--(T_LEAVE[DATE]&gt;=O$8),ROW(T_LEAVE[LEAVE CODE]))-ROW(T_LEAVE[#Headers]))))))),"")</f>
        <v/>
      </c>
      <c r="P19" s="75" t="str">
        <f>IFERROR(IF(P$8="","NA",IF(P$8&lt;INDEX(T_EMP[START DATE],ROW($B19)-ROW($B$8)),"NE",IF(AND(INDEX(T_EMP[TERMINATION DATE],ROW($B19)-ROW($B$8))&gt;0,P$8&gt;INDEX(T_EMP[TERMINATION DATE],ROW($B19)-ROW($B$8))),"NE",IF(NOT(ISERROR(MATCH(P$8,L_HOLS,0))),"H",IF(INDEX(L_WKNDVAL,WEEKDAY(P$8,1))=1,"WKND",INDEX(T_LEAVE[LEAVE CODE],SUMPRODUCT(--(T_LEAVE[NAME]=$B19),--(T_LEAVE[DATE]&lt;=P$8),--(T_LEAVE[DATE]&gt;=P$8),ROW(T_LEAVE[LEAVE CODE]))-ROW(T_LEAVE[#Headers]))))))),"")</f>
        <v>H</v>
      </c>
      <c r="Q19" s="75" t="str">
        <f>IFERROR(IF(Q$8="","NA",IF(Q$8&lt;INDEX(T_EMP[START DATE],ROW($B19)-ROW($B$8)),"NE",IF(AND(INDEX(T_EMP[TERMINATION DATE],ROW($B19)-ROW($B$8))&gt;0,Q$8&gt;INDEX(T_EMP[TERMINATION DATE],ROW($B19)-ROW($B$8))),"NE",IF(NOT(ISERROR(MATCH(Q$8,L_HOLS,0))),"H",IF(INDEX(L_WKNDVAL,WEEKDAY(Q$8,1))=1,"WKND",INDEX(T_LEAVE[LEAVE CODE],SUMPRODUCT(--(T_LEAVE[NAME]=$B19),--(T_LEAVE[DATE]&lt;=Q$8),--(T_LEAVE[DATE]&gt;=Q$8),ROW(T_LEAVE[LEAVE CODE]))-ROW(T_LEAVE[#Headers]))))))),"")</f>
        <v/>
      </c>
      <c r="R19" s="75" t="str">
        <f>IFERROR(IF(R$8="","NA",IF(R$8&lt;INDEX(T_EMP[START DATE],ROW($B19)-ROW($B$8)),"NE",IF(AND(INDEX(T_EMP[TERMINATION DATE],ROW($B19)-ROW($B$8))&gt;0,R$8&gt;INDEX(T_EMP[TERMINATION DATE],ROW($B19)-ROW($B$8))),"NE",IF(NOT(ISERROR(MATCH(R$8,L_HOLS,0))),"H",IF(INDEX(L_WKNDVAL,WEEKDAY(R$8,1))=1,"WKND",INDEX(T_LEAVE[LEAVE CODE],SUMPRODUCT(--(T_LEAVE[NAME]=$B19),--(T_LEAVE[DATE]&lt;=R$8),--(T_LEAVE[DATE]&gt;=R$8),ROW(T_LEAVE[LEAVE CODE]))-ROW(T_LEAVE[#Headers]))))))),"")</f>
        <v/>
      </c>
      <c r="S19" s="75" t="str">
        <f>IFERROR(IF(S$8="","NA",IF(S$8&lt;INDEX(T_EMP[START DATE],ROW($B19)-ROW($B$8)),"NE",IF(AND(INDEX(T_EMP[TERMINATION DATE],ROW($B19)-ROW($B$8))&gt;0,S$8&gt;INDEX(T_EMP[TERMINATION DATE],ROW($B19)-ROW($B$8))),"NE",IF(NOT(ISERROR(MATCH(S$8,L_HOLS,0))),"H",IF(INDEX(L_WKNDVAL,WEEKDAY(S$8,1))=1,"WKND",INDEX(T_LEAVE[LEAVE CODE],SUMPRODUCT(--(T_LEAVE[NAME]=$B19),--(T_LEAVE[DATE]&lt;=S$8),--(T_LEAVE[DATE]&gt;=S$8),ROW(T_LEAVE[LEAVE CODE]))-ROW(T_LEAVE[#Headers]))))))),"")</f>
        <v/>
      </c>
      <c r="T19" s="75" t="str">
        <f>IFERROR(IF(T$8="","NA",IF(T$8&lt;INDEX(T_EMP[START DATE],ROW($B19)-ROW($B$8)),"NE",IF(AND(INDEX(T_EMP[TERMINATION DATE],ROW($B19)-ROW($B$8))&gt;0,T$8&gt;INDEX(T_EMP[TERMINATION DATE],ROW($B19)-ROW($B$8))),"NE",IF(NOT(ISERROR(MATCH(T$8,L_HOLS,0))),"H",IF(INDEX(L_WKNDVAL,WEEKDAY(T$8,1))=1,"WKND",INDEX(T_LEAVE[LEAVE CODE],SUMPRODUCT(--(T_LEAVE[NAME]=$B19),--(T_LEAVE[DATE]&lt;=T$8),--(T_LEAVE[DATE]&gt;=T$8),ROW(T_LEAVE[LEAVE CODE]))-ROW(T_LEAVE[#Headers]))))))),"")</f>
        <v/>
      </c>
      <c r="U19" s="75" t="str">
        <f>IFERROR(IF(U$8="","NA",IF(U$8&lt;INDEX(T_EMP[START DATE],ROW($B19)-ROW($B$8)),"NE",IF(AND(INDEX(T_EMP[TERMINATION DATE],ROW($B19)-ROW($B$8))&gt;0,U$8&gt;INDEX(T_EMP[TERMINATION DATE],ROW($B19)-ROW($B$8))),"NE",IF(NOT(ISERROR(MATCH(U$8,L_HOLS,0))),"H",IF(INDEX(L_WKNDVAL,WEEKDAY(U$8,1))=1,"WKND",INDEX(T_LEAVE[LEAVE CODE],SUMPRODUCT(--(T_LEAVE[NAME]=$B19),--(T_LEAVE[DATE]&lt;=U$8),--(T_LEAVE[DATE]&gt;=U$8),ROW(T_LEAVE[LEAVE CODE]))-ROW(T_LEAVE[#Headers]))))))),"")</f>
        <v/>
      </c>
      <c r="V19" s="75" t="str">
        <f>IFERROR(IF(V$8="","NA",IF(V$8&lt;INDEX(T_EMP[START DATE],ROW($B19)-ROW($B$8)),"NE",IF(AND(INDEX(T_EMP[TERMINATION DATE],ROW($B19)-ROW($B$8))&gt;0,V$8&gt;INDEX(T_EMP[TERMINATION DATE],ROW($B19)-ROW($B$8))),"NE",IF(NOT(ISERROR(MATCH(V$8,L_HOLS,0))),"H",IF(INDEX(L_WKNDVAL,WEEKDAY(V$8,1))=1,"WKND",INDEX(T_LEAVE[LEAVE CODE],SUMPRODUCT(--(T_LEAVE[NAME]=$B19),--(T_LEAVE[DATE]&lt;=V$8),--(T_LEAVE[DATE]&gt;=V$8),ROW(T_LEAVE[LEAVE CODE]))-ROW(T_LEAVE[#Headers]))))))),"")</f>
        <v/>
      </c>
      <c r="W19" s="75" t="str">
        <f>IFERROR(IF(W$8="","NA",IF(W$8&lt;INDEX(T_EMP[START DATE],ROW($B19)-ROW($B$8)),"NE",IF(AND(INDEX(T_EMP[TERMINATION DATE],ROW($B19)-ROW($B$8))&gt;0,W$8&gt;INDEX(T_EMP[TERMINATION DATE],ROW($B19)-ROW($B$8))),"NE",IF(NOT(ISERROR(MATCH(W$8,L_HOLS,0))),"H",IF(INDEX(L_WKNDVAL,WEEKDAY(W$8,1))=1,"WKND",INDEX(T_LEAVE[LEAVE CODE],SUMPRODUCT(--(T_LEAVE[NAME]=$B19),--(T_LEAVE[DATE]&lt;=W$8),--(T_LEAVE[DATE]&gt;=W$8),ROW(T_LEAVE[LEAVE CODE]))-ROW(T_LEAVE[#Headers]))))))),"")</f>
        <v/>
      </c>
      <c r="X19" s="75" t="str">
        <f>IFERROR(IF(X$8="","NA",IF(X$8&lt;INDEX(T_EMP[START DATE],ROW($B19)-ROW($B$8)),"NE",IF(AND(INDEX(T_EMP[TERMINATION DATE],ROW($B19)-ROW($B$8))&gt;0,X$8&gt;INDEX(T_EMP[TERMINATION DATE],ROW($B19)-ROW($B$8))),"NE",IF(NOT(ISERROR(MATCH(X$8,L_HOLS,0))),"H",IF(INDEX(L_WKNDVAL,WEEKDAY(X$8,1))=1,"WKND",INDEX(T_LEAVE[LEAVE CODE],SUMPRODUCT(--(T_LEAVE[NAME]=$B19),--(T_LEAVE[DATE]&lt;=X$8),--(T_LEAVE[DATE]&gt;=X$8),ROW(T_LEAVE[LEAVE CODE]))-ROW(T_LEAVE[#Headers]))))))),"")</f>
        <v/>
      </c>
      <c r="Y19" s="75" t="str">
        <f>IFERROR(IF(Y$8="","NA",IF(Y$8&lt;INDEX(T_EMP[START DATE],ROW($B19)-ROW($B$8)),"NE",IF(AND(INDEX(T_EMP[TERMINATION DATE],ROW($B19)-ROW($B$8))&gt;0,Y$8&gt;INDEX(T_EMP[TERMINATION DATE],ROW($B19)-ROW($B$8))),"NE",IF(NOT(ISERROR(MATCH(Y$8,L_HOLS,0))),"H",IF(INDEX(L_WKNDVAL,WEEKDAY(Y$8,1))=1,"WKND",INDEX(T_LEAVE[LEAVE CODE],SUMPRODUCT(--(T_LEAVE[NAME]=$B19),--(T_LEAVE[DATE]&lt;=Y$8),--(T_LEAVE[DATE]&gt;=Y$8),ROW(T_LEAVE[LEAVE CODE]))-ROW(T_LEAVE[#Headers]))))))),"")</f>
        <v/>
      </c>
      <c r="Z19" s="75" t="str">
        <f>IFERROR(IF(Z$8="","NA",IF(Z$8&lt;INDEX(T_EMP[START DATE],ROW($B19)-ROW($B$8)),"NE",IF(AND(INDEX(T_EMP[TERMINATION DATE],ROW($B19)-ROW($B$8))&gt;0,Z$8&gt;INDEX(T_EMP[TERMINATION DATE],ROW($B19)-ROW($B$8))),"NE",IF(NOT(ISERROR(MATCH(Z$8,L_HOLS,0))),"H",IF(INDEX(L_WKNDVAL,WEEKDAY(Z$8,1))=1,"WKND",INDEX(T_LEAVE[LEAVE CODE],SUMPRODUCT(--(T_LEAVE[NAME]=$B19),--(T_LEAVE[DATE]&lt;=Z$8),--(T_LEAVE[DATE]&gt;=Z$8),ROW(T_LEAVE[LEAVE CODE]))-ROW(T_LEAVE[#Headers]))))))),"")</f>
        <v/>
      </c>
      <c r="AA19" s="75" t="str">
        <f>IFERROR(IF(AA$8="","NA",IF(AA$8&lt;INDEX(T_EMP[START DATE],ROW($B19)-ROW($B$8)),"NE",IF(AND(INDEX(T_EMP[TERMINATION DATE],ROW($B19)-ROW($B$8))&gt;0,AA$8&gt;INDEX(T_EMP[TERMINATION DATE],ROW($B19)-ROW($B$8))),"NE",IF(NOT(ISERROR(MATCH(AA$8,L_HOLS,0))),"H",IF(INDEX(L_WKNDVAL,WEEKDAY(AA$8,1))=1,"WKND",INDEX(T_LEAVE[LEAVE CODE],SUMPRODUCT(--(T_LEAVE[NAME]=$B19),--(T_LEAVE[DATE]&lt;=AA$8),--(T_LEAVE[DATE]&gt;=AA$8),ROW(T_LEAVE[LEAVE CODE]))-ROW(T_LEAVE[#Headers]))))))),"")</f>
        <v/>
      </c>
      <c r="AB19" s="75" t="str">
        <f>IFERROR(IF(AB$8="","NA",IF(AB$8&lt;INDEX(T_EMP[START DATE],ROW($B19)-ROW($B$8)),"NE",IF(AND(INDEX(T_EMP[TERMINATION DATE],ROW($B19)-ROW($B$8))&gt;0,AB$8&gt;INDEX(T_EMP[TERMINATION DATE],ROW($B19)-ROW($B$8))),"NE",IF(NOT(ISERROR(MATCH(AB$8,L_HOLS,0))),"H",IF(INDEX(L_WKNDVAL,WEEKDAY(AB$8,1))=1,"WKND",INDEX(T_LEAVE[LEAVE CODE],SUMPRODUCT(--(T_LEAVE[NAME]=$B19),--(T_LEAVE[DATE]&lt;=AB$8),--(T_LEAVE[DATE]&gt;=AB$8),ROW(T_LEAVE[LEAVE CODE]))-ROW(T_LEAVE[#Headers]))))))),"")</f>
        <v/>
      </c>
      <c r="AC19" s="75" t="str">
        <f>IFERROR(IF(AC$8="","NA",IF(AC$8&lt;INDEX(T_EMP[START DATE],ROW($B19)-ROW($B$8)),"NE",IF(AND(INDEX(T_EMP[TERMINATION DATE],ROW($B19)-ROW($B$8))&gt;0,AC$8&gt;INDEX(T_EMP[TERMINATION DATE],ROW($B19)-ROW($B$8))),"NE",IF(NOT(ISERROR(MATCH(AC$8,L_HOLS,0))),"H",IF(INDEX(L_WKNDVAL,WEEKDAY(AC$8,1))=1,"WKND",INDEX(T_LEAVE[LEAVE CODE],SUMPRODUCT(--(T_LEAVE[NAME]=$B19),--(T_LEAVE[DATE]&lt;=AC$8),--(T_LEAVE[DATE]&gt;=AC$8),ROW(T_LEAVE[LEAVE CODE]))-ROW(T_LEAVE[#Headers]))))))),"")</f>
        <v/>
      </c>
      <c r="AD19" s="75" t="str">
        <f>IFERROR(IF(AD$8="","NA",IF(AD$8&lt;INDEX(T_EMP[START DATE],ROW($B19)-ROW($B$8)),"NE",IF(AND(INDEX(T_EMP[TERMINATION DATE],ROW($B19)-ROW($B$8))&gt;0,AD$8&gt;INDEX(T_EMP[TERMINATION DATE],ROW($B19)-ROW($B$8))),"NE",IF(NOT(ISERROR(MATCH(AD$8,L_HOLS,0))),"H",IF(INDEX(L_WKNDVAL,WEEKDAY(AD$8,1))=1,"WKND",INDEX(T_LEAVE[LEAVE CODE],SUMPRODUCT(--(T_LEAVE[NAME]=$B19),--(T_LEAVE[DATE]&lt;=AD$8),--(T_LEAVE[DATE]&gt;=AD$8),ROW(T_LEAVE[LEAVE CODE]))-ROW(T_LEAVE[#Headers]))))))),"")</f>
        <v/>
      </c>
      <c r="AE19" s="75" t="str">
        <f>IFERROR(IF(AE$8="","NA",IF(AE$8&lt;INDEX(T_EMP[START DATE],ROW($B19)-ROW($B$8)),"NE",IF(AND(INDEX(T_EMP[TERMINATION DATE],ROW($B19)-ROW($B$8))&gt;0,AE$8&gt;INDEX(T_EMP[TERMINATION DATE],ROW($B19)-ROW($B$8))),"NE",IF(NOT(ISERROR(MATCH(AE$8,L_HOLS,0))),"H",IF(INDEX(L_WKNDVAL,WEEKDAY(AE$8,1))=1,"WKND",INDEX(T_LEAVE[LEAVE CODE],SUMPRODUCT(--(T_LEAVE[NAME]=$B19),--(T_LEAVE[DATE]&lt;=AE$8),--(T_LEAVE[DATE]&gt;=AE$8),ROW(T_LEAVE[LEAVE CODE]))-ROW(T_LEAVE[#Headers]))))))),"")</f>
        <v/>
      </c>
      <c r="AF19" s="75" t="str">
        <f>IFERROR(IF(AF$8="","NA",IF(AF$8&lt;INDEX(T_EMP[START DATE],ROW($B19)-ROW($B$8)),"NE",IF(AND(INDEX(T_EMP[TERMINATION DATE],ROW($B19)-ROW($B$8))&gt;0,AF$8&gt;INDEX(T_EMP[TERMINATION DATE],ROW($B19)-ROW($B$8))),"NE",IF(NOT(ISERROR(MATCH(AF$8,L_HOLS,0))),"H",IF(INDEX(L_WKNDVAL,WEEKDAY(AF$8,1))=1,"WKND",INDEX(T_LEAVE[LEAVE CODE],SUMPRODUCT(--(T_LEAVE[NAME]=$B19),--(T_LEAVE[DATE]&lt;=AF$8),--(T_LEAVE[DATE]&gt;=AF$8),ROW(T_LEAVE[LEAVE CODE]))-ROW(T_LEAVE[#Headers]))))))),"")</f>
        <v/>
      </c>
      <c r="AG19" s="75" t="str">
        <f>IFERROR(IF(AG$8="","NA",IF(AG$8&lt;INDEX(T_EMP[START DATE],ROW($B19)-ROW($B$8)),"NE",IF(AND(INDEX(T_EMP[TERMINATION DATE],ROW($B19)-ROW($B$8))&gt;0,AG$8&gt;INDEX(T_EMP[TERMINATION DATE],ROW($B19)-ROW($B$8))),"NE",IF(NOT(ISERROR(MATCH(AG$8,L_HOLS,0))),"H",IF(INDEX(L_WKNDVAL,WEEKDAY(AG$8,1))=1,"WKND",INDEX(T_LEAVE[LEAVE CODE],SUMPRODUCT(--(T_LEAVE[NAME]=$B19),--(T_LEAVE[DATE]&lt;=AG$8),--(T_LEAVE[DATE]&gt;=AG$8),ROW(T_LEAVE[LEAVE CODE]))-ROW(T_LEAVE[#Headers]))))))),"")</f>
        <v/>
      </c>
      <c r="AH19" s="75" t="str">
        <f>IFERROR(IF(AH$8="","NA",IF(AH$8&lt;INDEX(T_EMP[START DATE],ROW($B19)-ROW($B$8)),"NE",IF(AND(INDEX(T_EMP[TERMINATION DATE],ROW($B19)-ROW($B$8))&gt;0,AH$8&gt;INDEX(T_EMP[TERMINATION DATE],ROW($B19)-ROW($B$8))),"NE",IF(NOT(ISERROR(MATCH(AH$8,L_HOLS,0))),"H",IF(INDEX(L_WKNDVAL,WEEKDAY(AH$8,1))=1,"WKND",INDEX(T_LEAVE[LEAVE CODE],SUMPRODUCT(--(T_LEAVE[NAME]=$B19),--(T_LEAVE[DATE]&lt;=AH$8),--(T_LEAVE[DATE]&gt;=AH$8),ROW(T_LEAVE[LEAVE CODE]))-ROW(T_LEAVE[#Headers]))))))),"")</f>
        <v/>
      </c>
      <c r="AJ19" s="88">
        <f>IF(OR($B19="",AJ$8=""),"",COUNTIFS($D19:$AH19,AJ$8)*INDEX(T_LEAVETYPE[DAY VALUE],1))</f>
        <v>0</v>
      </c>
      <c r="AK19" s="88">
        <f>IF(OR($B19="",AK$8=""),"",COUNTIFS($D19:$AH19,AK$8)*INDEX(T_LEAVETYPE[DAY VALUE],2))</f>
        <v>0</v>
      </c>
      <c r="AL19" s="88">
        <f>IF(OR($B19="",AL$8=""),"",COUNTIFS($D19:$AH19,AL$8)*INDEX(T_LEAVETYPE[DAY VALUE],3))</f>
        <v>0</v>
      </c>
      <c r="AM19" s="88">
        <f>IF(OR($B19="",AM$8=""),"",COUNTIFS($D19:$AH19,AM$8)*INDEX(T_LEAVETYPE[DAY VALUE],4))</f>
        <v>0</v>
      </c>
      <c r="AN19" s="88">
        <f>IF(OR($B19="",AN$8=""),"",COUNTIFS($D19:$AH19,AN$8)*INDEX(T_LEAVETYPE[DAY VALUE],5))</f>
        <v>0</v>
      </c>
      <c r="AO19" s="88">
        <f>IF(OR($B19="",AO$8=""),"",COUNTIFS($D19:$AH19,AO$8)*INDEX(T_LEAVETYPE[DAY VALUE],6))</f>
        <v>0</v>
      </c>
      <c r="AP19" s="88">
        <f>IF(OR($B19="",AP$8=""),"",COUNTIFS($D19:$AH19,AP$8)*INDEX(T_LEAVETYPE[DAY VALUE],7))</f>
        <v>0</v>
      </c>
      <c r="AQ19" s="88">
        <f>IF(OR($B19="",AQ$8=""),"",COUNTIFS($D19:$AH19,AQ$8)*INDEX(T_LEAVETYPE[DAY VALUE],8))</f>
        <v>0</v>
      </c>
      <c r="AR19" s="89">
        <f t="shared" si="3"/>
        <v>0</v>
      </c>
    </row>
    <row r="20" spans="1:44" x14ac:dyDescent="0.25">
      <c r="A20" s="90">
        <f t="shared" si="4"/>
        <v>12</v>
      </c>
      <c r="B20" s="74" t="str">
        <f>IFERROR(INDEX(T_EMP[NAME],ROW(B20)-ROW($B$8)),"")</f>
        <v>LAVARIAS, FAMELA JANE</v>
      </c>
      <c r="C20" s="91" t="str">
        <f>IFERROR(INDEX(T_EMP[DEPARTMENT],ROW(B20)-ROW($C$8)),"")</f>
        <v>IB SUPPORT</v>
      </c>
      <c r="D20" s="75" t="str">
        <f>IFERROR(IF(D$8="","NA",IF(D$8&lt;INDEX(T_EMP[START DATE],ROW($B20)-ROW($B$8)),"NE",IF(AND(INDEX(T_EMP[TERMINATION DATE],ROW($B20)-ROW($B$8))&gt;0,D$8&gt;INDEX(T_EMP[TERMINATION DATE],ROW($B20)-ROW($B$8))),"NE",IF(NOT(ISERROR(MATCH(D$8,L_HOLS,0))),"H",IF(INDEX(L_WKNDVAL,WEEKDAY(D$8,1))=1,"WKND",INDEX(T_LEAVE[LEAVE CODE],SUMPRODUCT(--(T_LEAVE[NAME]=$B20),--(T_LEAVE[DATE]&lt;=D$8),--(T_LEAVE[DATE]&gt;=D$8),ROW(T_LEAVE[LEAVE CODE]))-ROW(T_LEAVE[#Headers]))))))),"")</f>
        <v>H</v>
      </c>
      <c r="E20" s="75" t="str">
        <f>IFERROR(IF(E$8="","NA",IF(E$8&lt;INDEX(T_EMP[START DATE],ROW($B20)-ROW($B$8)),"NE",IF(AND(INDEX(T_EMP[TERMINATION DATE],ROW($B20)-ROW($B$8))&gt;0,E$8&gt;INDEX(T_EMP[TERMINATION DATE],ROW($B20)-ROW($B$8))),"NE",IF(NOT(ISERROR(MATCH(E$8,L_HOLS,0))),"H",IF(INDEX(L_WKNDVAL,WEEKDAY(E$8,1))=1,"WKND",INDEX(T_LEAVE[LEAVE CODE],SUMPRODUCT(--(T_LEAVE[NAME]=$B20),--(T_LEAVE[DATE]&lt;=E$8),--(T_LEAVE[DATE]&gt;=E$8),ROW(T_LEAVE[LEAVE CODE]))-ROW(T_LEAVE[#Headers]))))))),"")</f>
        <v/>
      </c>
      <c r="F20" s="75" t="str">
        <f>IFERROR(IF(F$8="","NA",IF(F$8&lt;INDEX(T_EMP[START DATE],ROW($B20)-ROW($B$8)),"NE",IF(AND(INDEX(T_EMP[TERMINATION DATE],ROW($B20)-ROW($B$8))&gt;0,F$8&gt;INDEX(T_EMP[TERMINATION DATE],ROW($B20)-ROW($B$8))),"NE",IF(NOT(ISERROR(MATCH(F$8,L_HOLS,0))),"H",IF(INDEX(L_WKNDVAL,WEEKDAY(F$8,1))=1,"WKND",INDEX(T_LEAVE[LEAVE CODE],SUMPRODUCT(--(T_LEAVE[NAME]=$B20),--(T_LEAVE[DATE]&lt;=F$8),--(T_LEAVE[DATE]&gt;=F$8),ROW(T_LEAVE[LEAVE CODE]))-ROW(T_LEAVE[#Headers]))))))),"")</f>
        <v/>
      </c>
      <c r="G20" s="75" t="str">
        <f>IFERROR(IF(G$8="","NA",IF(G$8&lt;INDEX(T_EMP[START DATE],ROW($B20)-ROW($B$8)),"NE",IF(AND(INDEX(T_EMP[TERMINATION DATE],ROW($B20)-ROW($B$8))&gt;0,G$8&gt;INDEX(T_EMP[TERMINATION DATE],ROW($B20)-ROW($B$8))),"NE",IF(NOT(ISERROR(MATCH(G$8,L_HOLS,0))),"H",IF(INDEX(L_WKNDVAL,WEEKDAY(G$8,1))=1,"WKND",INDEX(T_LEAVE[LEAVE CODE],SUMPRODUCT(--(T_LEAVE[NAME]=$B20),--(T_LEAVE[DATE]&lt;=G$8),--(T_LEAVE[DATE]&gt;=G$8),ROW(T_LEAVE[LEAVE CODE]))-ROW(T_LEAVE[#Headers]))))))),"")</f>
        <v/>
      </c>
      <c r="H20" s="75" t="str">
        <f>IFERROR(IF(H$8="","NA",IF(H$8&lt;INDEX(T_EMP[START DATE],ROW($B20)-ROW($B$8)),"NE",IF(AND(INDEX(T_EMP[TERMINATION DATE],ROW($B20)-ROW($B$8))&gt;0,H$8&gt;INDEX(T_EMP[TERMINATION DATE],ROW($B20)-ROW($B$8))),"NE",IF(NOT(ISERROR(MATCH(H$8,L_HOLS,0))),"H",IF(INDEX(L_WKNDVAL,WEEKDAY(H$8,1))=1,"WKND",INDEX(T_LEAVE[LEAVE CODE],SUMPRODUCT(--(T_LEAVE[NAME]=$B20),--(T_LEAVE[DATE]&lt;=H$8),--(T_LEAVE[DATE]&gt;=H$8),ROW(T_LEAVE[LEAVE CODE]))-ROW(T_LEAVE[#Headers]))))))),"")</f>
        <v/>
      </c>
      <c r="I20" s="75" t="str">
        <f>IFERROR(IF(I$8="","NA",IF(I$8&lt;INDEX(T_EMP[START DATE],ROW($B20)-ROW($B$8)),"NE",IF(AND(INDEX(T_EMP[TERMINATION DATE],ROW($B20)-ROW($B$8))&gt;0,I$8&gt;INDEX(T_EMP[TERMINATION DATE],ROW($B20)-ROW($B$8))),"NE",IF(NOT(ISERROR(MATCH(I$8,L_HOLS,0))),"H",IF(INDEX(L_WKNDVAL,WEEKDAY(I$8,1))=1,"WKND",INDEX(T_LEAVE[LEAVE CODE],SUMPRODUCT(--(T_LEAVE[NAME]=$B20),--(T_LEAVE[DATE]&lt;=I$8),--(T_LEAVE[DATE]&gt;=I$8),ROW(T_LEAVE[LEAVE CODE]))-ROW(T_LEAVE[#Headers]))))))),"")</f>
        <v/>
      </c>
      <c r="J20" s="75" t="str">
        <f>IFERROR(IF(J$8="","NA",IF(J$8&lt;INDEX(T_EMP[START DATE],ROW($B20)-ROW($B$8)),"NE",IF(AND(INDEX(T_EMP[TERMINATION DATE],ROW($B20)-ROW($B$8))&gt;0,J$8&gt;INDEX(T_EMP[TERMINATION DATE],ROW($B20)-ROW($B$8))),"NE",IF(NOT(ISERROR(MATCH(J$8,L_HOLS,0))),"H",IF(INDEX(L_WKNDVAL,WEEKDAY(J$8,1))=1,"WKND",INDEX(T_LEAVE[LEAVE CODE],SUMPRODUCT(--(T_LEAVE[NAME]=$B20),--(T_LEAVE[DATE]&lt;=J$8),--(T_LEAVE[DATE]&gt;=J$8),ROW(T_LEAVE[LEAVE CODE]))-ROW(T_LEAVE[#Headers]))))))),"")</f>
        <v/>
      </c>
      <c r="K20" s="75" t="str">
        <f>IFERROR(IF(K$8="","NA",IF(K$8&lt;INDEX(T_EMP[START DATE],ROW($B20)-ROW($B$8)),"NE",IF(AND(INDEX(T_EMP[TERMINATION DATE],ROW($B20)-ROW($B$8))&gt;0,K$8&gt;INDEX(T_EMP[TERMINATION DATE],ROW($B20)-ROW($B$8))),"NE",IF(NOT(ISERROR(MATCH(K$8,L_HOLS,0))),"H",IF(INDEX(L_WKNDVAL,WEEKDAY(K$8,1))=1,"WKND",INDEX(T_LEAVE[LEAVE CODE],SUMPRODUCT(--(T_LEAVE[NAME]=$B20),--(T_LEAVE[DATE]&lt;=K$8),--(T_LEAVE[DATE]&gt;=K$8),ROW(T_LEAVE[LEAVE CODE]))-ROW(T_LEAVE[#Headers]))))))),"")</f>
        <v/>
      </c>
      <c r="L20" s="75" t="str">
        <f>IFERROR(IF(L$8="","NA",IF(L$8&lt;INDEX(T_EMP[START DATE],ROW($B20)-ROW($B$8)),"NE",IF(AND(INDEX(T_EMP[TERMINATION DATE],ROW($B20)-ROW($B$8))&gt;0,L$8&gt;INDEX(T_EMP[TERMINATION DATE],ROW($B20)-ROW($B$8))),"NE",IF(NOT(ISERROR(MATCH(L$8,L_HOLS,0))),"H",IF(INDEX(L_WKNDVAL,WEEKDAY(L$8,1))=1,"WKND",INDEX(T_LEAVE[LEAVE CODE],SUMPRODUCT(--(T_LEAVE[NAME]=$B20),--(T_LEAVE[DATE]&lt;=L$8),--(T_LEAVE[DATE]&gt;=L$8),ROW(T_LEAVE[LEAVE CODE]))-ROW(T_LEAVE[#Headers]))))))),"")</f>
        <v/>
      </c>
      <c r="M20" s="75" t="str">
        <f>IFERROR(IF(M$8="","NA",IF(M$8&lt;INDEX(T_EMP[START DATE],ROW($B20)-ROW($B$8)),"NE",IF(AND(INDEX(T_EMP[TERMINATION DATE],ROW($B20)-ROW($B$8))&gt;0,M$8&gt;INDEX(T_EMP[TERMINATION DATE],ROW($B20)-ROW($B$8))),"NE",IF(NOT(ISERROR(MATCH(M$8,L_HOLS,0))),"H",IF(INDEX(L_WKNDVAL,WEEKDAY(M$8,1))=1,"WKND",INDEX(T_LEAVE[LEAVE CODE],SUMPRODUCT(--(T_LEAVE[NAME]=$B20),--(T_LEAVE[DATE]&lt;=M$8),--(T_LEAVE[DATE]&gt;=M$8),ROW(T_LEAVE[LEAVE CODE]))-ROW(T_LEAVE[#Headers]))))))),"")</f>
        <v/>
      </c>
      <c r="N20" s="75" t="str">
        <f>IFERROR(IF(N$8="","NA",IF(N$8&lt;INDEX(T_EMP[START DATE],ROW($B20)-ROW($B$8)),"NE",IF(AND(INDEX(T_EMP[TERMINATION DATE],ROW($B20)-ROW($B$8))&gt;0,N$8&gt;INDEX(T_EMP[TERMINATION DATE],ROW($B20)-ROW($B$8))),"NE",IF(NOT(ISERROR(MATCH(N$8,L_HOLS,0))),"H",IF(INDEX(L_WKNDVAL,WEEKDAY(N$8,1))=1,"WKND",INDEX(T_LEAVE[LEAVE CODE],SUMPRODUCT(--(T_LEAVE[NAME]=$B20),--(T_LEAVE[DATE]&lt;=N$8),--(T_LEAVE[DATE]&gt;=N$8),ROW(T_LEAVE[LEAVE CODE]))-ROW(T_LEAVE[#Headers]))))))),"")</f>
        <v/>
      </c>
      <c r="O20" s="75" t="str">
        <f>IFERROR(IF(O$8="","NA",IF(O$8&lt;INDEX(T_EMP[START DATE],ROW($B20)-ROW($B$8)),"NE",IF(AND(INDEX(T_EMP[TERMINATION DATE],ROW($B20)-ROW($B$8))&gt;0,O$8&gt;INDEX(T_EMP[TERMINATION DATE],ROW($B20)-ROW($B$8))),"NE",IF(NOT(ISERROR(MATCH(O$8,L_HOLS,0))),"H",IF(INDEX(L_WKNDVAL,WEEKDAY(O$8,1))=1,"WKND",INDEX(T_LEAVE[LEAVE CODE],SUMPRODUCT(--(T_LEAVE[NAME]=$B20),--(T_LEAVE[DATE]&lt;=O$8),--(T_LEAVE[DATE]&gt;=O$8),ROW(T_LEAVE[LEAVE CODE]))-ROW(T_LEAVE[#Headers]))))))),"")</f>
        <v/>
      </c>
      <c r="P20" s="75" t="str">
        <f>IFERROR(IF(P$8="","NA",IF(P$8&lt;INDEX(T_EMP[START DATE],ROW($B20)-ROW($B$8)),"NE",IF(AND(INDEX(T_EMP[TERMINATION DATE],ROW($B20)-ROW($B$8))&gt;0,P$8&gt;INDEX(T_EMP[TERMINATION DATE],ROW($B20)-ROW($B$8))),"NE",IF(NOT(ISERROR(MATCH(P$8,L_HOLS,0))),"H",IF(INDEX(L_WKNDVAL,WEEKDAY(P$8,1))=1,"WKND",INDEX(T_LEAVE[LEAVE CODE],SUMPRODUCT(--(T_LEAVE[NAME]=$B20),--(T_LEAVE[DATE]&lt;=P$8),--(T_LEAVE[DATE]&gt;=P$8),ROW(T_LEAVE[LEAVE CODE]))-ROW(T_LEAVE[#Headers]))))))),"")</f>
        <v>H</v>
      </c>
      <c r="Q20" s="75" t="str">
        <f>IFERROR(IF(Q$8="","NA",IF(Q$8&lt;INDEX(T_EMP[START DATE],ROW($B20)-ROW($B$8)),"NE",IF(AND(INDEX(T_EMP[TERMINATION DATE],ROW($B20)-ROW($B$8))&gt;0,Q$8&gt;INDEX(T_EMP[TERMINATION DATE],ROW($B20)-ROW($B$8))),"NE",IF(NOT(ISERROR(MATCH(Q$8,L_HOLS,0))),"H",IF(INDEX(L_WKNDVAL,WEEKDAY(Q$8,1))=1,"WKND",INDEX(T_LEAVE[LEAVE CODE],SUMPRODUCT(--(T_LEAVE[NAME]=$B20),--(T_LEAVE[DATE]&lt;=Q$8),--(T_LEAVE[DATE]&gt;=Q$8),ROW(T_LEAVE[LEAVE CODE]))-ROW(T_LEAVE[#Headers]))))))),"")</f>
        <v/>
      </c>
      <c r="R20" s="75" t="str">
        <f>IFERROR(IF(R$8="","NA",IF(R$8&lt;INDEX(T_EMP[START DATE],ROW($B20)-ROW($B$8)),"NE",IF(AND(INDEX(T_EMP[TERMINATION DATE],ROW($B20)-ROW($B$8))&gt;0,R$8&gt;INDEX(T_EMP[TERMINATION DATE],ROW($B20)-ROW($B$8))),"NE",IF(NOT(ISERROR(MATCH(R$8,L_HOLS,0))),"H",IF(INDEX(L_WKNDVAL,WEEKDAY(R$8,1))=1,"WKND",INDEX(T_LEAVE[LEAVE CODE],SUMPRODUCT(--(T_LEAVE[NAME]=$B20),--(T_LEAVE[DATE]&lt;=R$8),--(T_LEAVE[DATE]&gt;=R$8),ROW(T_LEAVE[LEAVE CODE]))-ROW(T_LEAVE[#Headers]))))))),"")</f>
        <v/>
      </c>
      <c r="S20" s="75" t="str">
        <f>IFERROR(IF(S$8="","NA",IF(S$8&lt;INDEX(T_EMP[START DATE],ROW($B20)-ROW($B$8)),"NE",IF(AND(INDEX(T_EMP[TERMINATION DATE],ROW($B20)-ROW($B$8))&gt;0,S$8&gt;INDEX(T_EMP[TERMINATION DATE],ROW($B20)-ROW($B$8))),"NE",IF(NOT(ISERROR(MATCH(S$8,L_HOLS,0))),"H",IF(INDEX(L_WKNDVAL,WEEKDAY(S$8,1))=1,"WKND",INDEX(T_LEAVE[LEAVE CODE],SUMPRODUCT(--(T_LEAVE[NAME]=$B20),--(T_LEAVE[DATE]&lt;=S$8),--(T_LEAVE[DATE]&gt;=S$8),ROW(T_LEAVE[LEAVE CODE]))-ROW(T_LEAVE[#Headers]))))))),"")</f>
        <v/>
      </c>
      <c r="T20" s="75" t="str">
        <f>IFERROR(IF(T$8="","NA",IF(T$8&lt;INDEX(T_EMP[START DATE],ROW($B20)-ROW($B$8)),"NE",IF(AND(INDEX(T_EMP[TERMINATION DATE],ROW($B20)-ROW($B$8))&gt;0,T$8&gt;INDEX(T_EMP[TERMINATION DATE],ROW($B20)-ROW($B$8))),"NE",IF(NOT(ISERROR(MATCH(T$8,L_HOLS,0))),"H",IF(INDEX(L_WKNDVAL,WEEKDAY(T$8,1))=1,"WKND",INDEX(T_LEAVE[LEAVE CODE],SUMPRODUCT(--(T_LEAVE[NAME]=$B20),--(T_LEAVE[DATE]&lt;=T$8),--(T_LEAVE[DATE]&gt;=T$8),ROW(T_LEAVE[LEAVE CODE]))-ROW(T_LEAVE[#Headers]))))))),"")</f>
        <v/>
      </c>
      <c r="U20" s="75" t="str">
        <f>IFERROR(IF(U$8="","NA",IF(U$8&lt;INDEX(T_EMP[START DATE],ROW($B20)-ROW($B$8)),"NE",IF(AND(INDEX(T_EMP[TERMINATION DATE],ROW($B20)-ROW($B$8))&gt;0,U$8&gt;INDEX(T_EMP[TERMINATION DATE],ROW($B20)-ROW($B$8))),"NE",IF(NOT(ISERROR(MATCH(U$8,L_HOLS,0))),"H",IF(INDEX(L_WKNDVAL,WEEKDAY(U$8,1))=1,"WKND",INDEX(T_LEAVE[LEAVE CODE],SUMPRODUCT(--(T_LEAVE[NAME]=$B20),--(T_LEAVE[DATE]&lt;=U$8),--(T_LEAVE[DATE]&gt;=U$8),ROW(T_LEAVE[LEAVE CODE]))-ROW(T_LEAVE[#Headers]))))))),"")</f>
        <v/>
      </c>
      <c r="V20" s="75" t="str">
        <f>IFERROR(IF(V$8="","NA",IF(V$8&lt;INDEX(T_EMP[START DATE],ROW($B20)-ROW($B$8)),"NE",IF(AND(INDEX(T_EMP[TERMINATION DATE],ROW($B20)-ROW($B$8))&gt;0,V$8&gt;INDEX(T_EMP[TERMINATION DATE],ROW($B20)-ROW($B$8))),"NE",IF(NOT(ISERROR(MATCH(V$8,L_HOLS,0))),"H",IF(INDEX(L_WKNDVAL,WEEKDAY(V$8,1))=1,"WKND",INDEX(T_LEAVE[LEAVE CODE],SUMPRODUCT(--(T_LEAVE[NAME]=$B20),--(T_LEAVE[DATE]&lt;=V$8),--(T_LEAVE[DATE]&gt;=V$8),ROW(T_LEAVE[LEAVE CODE]))-ROW(T_LEAVE[#Headers]))))))),"")</f>
        <v/>
      </c>
      <c r="W20" s="75" t="str">
        <f>IFERROR(IF(W$8="","NA",IF(W$8&lt;INDEX(T_EMP[START DATE],ROW($B20)-ROW($B$8)),"NE",IF(AND(INDEX(T_EMP[TERMINATION DATE],ROW($B20)-ROW($B$8))&gt;0,W$8&gt;INDEX(T_EMP[TERMINATION DATE],ROW($B20)-ROW($B$8))),"NE",IF(NOT(ISERROR(MATCH(W$8,L_HOLS,0))),"H",IF(INDEX(L_WKNDVAL,WEEKDAY(W$8,1))=1,"WKND",INDEX(T_LEAVE[LEAVE CODE],SUMPRODUCT(--(T_LEAVE[NAME]=$B20),--(T_LEAVE[DATE]&lt;=W$8),--(T_LEAVE[DATE]&gt;=W$8),ROW(T_LEAVE[LEAVE CODE]))-ROW(T_LEAVE[#Headers]))))))),"")</f>
        <v/>
      </c>
      <c r="X20" s="75" t="str">
        <f>IFERROR(IF(X$8="","NA",IF(X$8&lt;INDEX(T_EMP[START DATE],ROW($B20)-ROW($B$8)),"NE",IF(AND(INDEX(T_EMP[TERMINATION DATE],ROW($B20)-ROW($B$8))&gt;0,X$8&gt;INDEX(T_EMP[TERMINATION DATE],ROW($B20)-ROW($B$8))),"NE",IF(NOT(ISERROR(MATCH(X$8,L_HOLS,0))),"H",IF(INDEX(L_WKNDVAL,WEEKDAY(X$8,1))=1,"WKND",INDEX(T_LEAVE[LEAVE CODE],SUMPRODUCT(--(T_LEAVE[NAME]=$B20),--(T_LEAVE[DATE]&lt;=X$8),--(T_LEAVE[DATE]&gt;=X$8),ROW(T_LEAVE[LEAVE CODE]))-ROW(T_LEAVE[#Headers]))))))),"")</f>
        <v/>
      </c>
      <c r="Y20" s="75" t="str">
        <f>IFERROR(IF(Y$8="","NA",IF(Y$8&lt;INDEX(T_EMP[START DATE],ROW($B20)-ROW($B$8)),"NE",IF(AND(INDEX(T_EMP[TERMINATION DATE],ROW($B20)-ROW($B$8))&gt;0,Y$8&gt;INDEX(T_EMP[TERMINATION DATE],ROW($B20)-ROW($B$8))),"NE",IF(NOT(ISERROR(MATCH(Y$8,L_HOLS,0))),"H",IF(INDEX(L_WKNDVAL,WEEKDAY(Y$8,1))=1,"WKND",INDEX(T_LEAVE[LEAVE CODE],SUMPRODUCT(--(T_LEAVE[NAME]=$B20),--(T_LEAVE[DATE]&lt;=Y$8),--(T_LEAVE[DATE]&gt;=Y$8),ROW(T_LEAVE[LEAVE CODE]))-ROW(T_LEAVE[#Headers]))))))),"")</f>
        <v/>
      </c>
      <c r="Z20" s="75" t="str">
        <f>IFERROR(IF(Z$8="","NA",IF(Z$8&lt;INDEX(T_EMP[START DATE],ROW($B20)-ROW($B$8)),"NE",IF(AND(INDEX(T_EMP[TERMINATION DATE],ROW($B20)-ROW($B$8))&gt;0,Z$8&gt;INDEX(T_EMP[TERMINATION DATE],ROW($B20)-ROW($B$8))),"NE",IF(NOT(ISERROR(MATCH(Z$8,L_HOLS,0))),"H",IF(INDEX(L_WKNDVAL,WEEKDAY(Z$8,1))=1,"WKND",INDEX(T_LEAVE[LEAVE CODE],SUMPRODUCT(--(T_LEAVE[NAME]=$B20),--(T_LEAVE[DATE]&lt;=Z$8),--(T_LEAVE[DATE]&gt;=Z$8),ROW(T_LEAVE[LEAVE CODE]))-ROW(T_LEAVE[#Headers]))))))),"")</f>
        <v/>
      </c>
      <c r="AA20" s="75" t="str">
        <f>IFERROR(IF(AA$8="","NA",IF(AA$8&lt;INDEX(T_EMP[START DATE],ROW($B20)-ROW($B$8)),"NE",IF(AND(INDEX(T_EMP[TERMINATION DATE],ROW($B20)-ROW($B$8))&gt;0,AA$8&gt;INDEX(T_EMP[TERMINATION DATE],ROW($B20)-ROW($B$8))),"NE",IF(NOT(ISERROR(MATCH(AA$8,L_HOLS,0))),"H",IF(INDEX(L_WKNDVAL,WEEKDAY(AA$8,1))=1,"WKND",INDEX(T_LEAVE[LEAVE CODE],SUMPRODUCT(--(T_LEAVE[NAME]=$B20),--(T_LEAVE[DATE]&lt;=AA$8),--(T_LEAVE[DATE]&gt;=AA$8),ROW(T_LEAVE[LEAVE CODE]))-ROW(T_LEAVE[#Headers]))))))),"")</f>
        <v/>
      </c>
      <c r="AB20" s="75" t="str">
        <f>IFERROR(IF(AB$8="","NA",IF(AB$8&lt;INDEX(T_EMP[START DATE],ROW($B20)-ROW($B$8)),"NE",IF(AND(INDEX(T_EMP[TERMINATION DATE],ROW($B20)-ROW($B$8))&gt;0,AB$8&gt;INDEX(T_EMP[TERMINATION DATE],ROW($B20)-ROW($B$8))),"NE",IF(NOT(ISERROR(MATCH(AB$8,L_HOLS,0))),"H",IF(INDEX(L_WKNDVAL,WEEKDAY(AB$8,1))=1,"WKND",INDEX(T_LEAVE[LEAVE CODE],SUMPRODUCT(--(T_LEAVE[NAME]=$B20),--(T_LEAVE[DATE]&lt;=AB$8),--(T_LEAVE[DATE]&gt;=AB$8),ROW(T_LEAVE[LEAVE CODE]))-ROW(T_LEAVE[#Headers]))))))),"")</f>
        <v/>
      </c>
      <c r="AC20" s="75" t="str">
        <f>IFERROR(IF(AC$8="","NA",IF(AC$8&lt;INDEX(T_EMP[START DATE],ROW($B20)-ROW($B$8)),"NE",IF(AND(INDEX(T_EMP[TERMINATION DATE],ROW($B20)-ROW($B$8))&gt;0,AC$8&gt;INDEX(T_EMP[TERMINATION DATE],ROW($B20)-ROW($B$8))),"NE",IF(NOT(ISERROR(MATCH(AC$8,L_HOLS,0))),"H",IF(INDEX(L_WKNDVAL,WEEKDAY(AC$8,1))=1,"WKND",INDEX(T_LEAVE[LEAVE CODE],SUMPRODUCT(--(T_LEAVE[NAME]=$B20),--(T_LEAVE[DATE]&lt;=AC$8),--(T_LEAVE[DATE]&gt;=AC$8),ROW(T_LEAVE[LEAVE CODE]))-ROW(T_LEAVE[#Headers]))))))),"")</f>
        <v/>
      </c>
      <c r="AD20" s="75" t="str">
        <f>IFERROR(IF(AD$8="","NA",IF(AD$8&lt;INDEX(T_EMP[START DATE],ROW($B20)-ROW($B$8)),"NE",IF(AND(INDEX(T_EMP[TERMINATION DATE],ROW($B20)-ROW($B$8))&gt;0,AD$8&gt;INDEX(T_EMP[TERMINATION DATE],ROW($B20)-ROW($B$8))),"NE",IF(NOT(ISERROR(MATCH(AD$8,L_HOLS,0))),"H",IF(INDEX(L_WKNDVAL,WEEKDAY(AD$8,1))=1,"WKND",INDEX(T_LEAVE[LEAVE CODE],SUMPRODUCT(--(T_LEAVE[NAME]=$B20),--(T_LEAVE[DATE]&lt;=AD$8),--(T_LEAVE[DATE]&gt;=AD$8),ROW(T_LEAVE[LEAVE CODE]))-ROW(T_LEAVE[#Headers]))))))),"")</f>
        <v/>
      </c>
      <c r="AE20" s="75" t="str">
        <f>IFERROR(IF(AE$8="","NA",IF(AE$8&lt;INDEX(T_EMP[START DATE],ROW($B20)-ROW($B$8)),"NE",IF(AND(INDEX(T_EMP[TERMINATION DATE],ROW($B20)-ROW($B$8))&gt;0,AE$8&gt;INDEX(T_EMP[TERMINATION DATE],ROW($B20)-ROW($B$8))),"NE",IF(NOT(ISERROR(MATCH(AE$8,L_HOLS,0))),"H",IF(INDEX(L_WKNDVAL,WEEKDAY(AE$8,1))=1,"WKND",INDEX(T_LEAVE[LEAVE CODE],SUMPRODUCT(--(T_LEAVE[NAME]=$B20),--(T_LEAVE[DATE]&lt;=AE$8),--(T_LEAVE[DATE]&gt;=AE$8),ROW(T_LEAVE[LEAVE CODE]))-ROW(T_LEAVE[#Headers]))))))),"")</f>
        <v/>
      </c>
      <c r="AF20" s="75" t="str">
        <f>IFERROR(IF(AF$8="","NA",IF(AF$8&lt;INDEX(T_EMP[START DATE],ROW($B20)-ROW($B$8)),"NE",IF(AND(INDEX(T_EMP[TERMINATION DATE],ROW($B20)-ROW($B$8))&gt;0,AF$8&gt;INDEX(T_EMP[TERMINATION DATE],ROW($B20)-ROW($B$8))),"NE",IF(NOT(ISERROR(MATCH(AF$8,L_HOLS,0))),"H",IF(INDEX(L_WKNDVAL,WEEKDAY(AF$8,1))=1,"WKND",INDEX(T_LEAVE[LEAVE CODE],SUMPRODUCT(--(T_LEAVE[NAME]=$B20),--(T_LEAVE[DATE]&lt;=AF$8),--(T_LEAVE[DATE]&gt;=AF$8),ROW(T_LEAVE[LEAVE CODE]))-ROW(T_LEAVE[#Headers]))))))),"")</f>
        <v/>
      </c>
      <c r="AG20" s="75" t="str">
        <f>IFERROR(IF(AG$8="","NA",IF(AG$8&lt;INDEX(T_EMP[START DATE],ROW($B20)-ROW($B$8)),"NE",IF(AND(INDEX(T_EMP[TERMINATION DATE],ROW($B20)-ROW($B$8))&gt;0,AG$8&gt;INDEX(T_EMP[TERMINATION DATE],ROW($B20)-ROW($B$8))),"NE",IF(NOT(ISERROR(MATCH(AG$8,L_HOLS,0))),"H",IF(INDEX(L_WKNDVAL,WEEKDAY(AG$8,1))=1,"WKND",INDEX(T_LEAVE[LEAVE CODE],SUMPRODUCT(--(T_LEAVE[NAME]=$B20),--(T_LEAVE[DATE]&lt;=AG$8),--(T_LEAVE[DATE]&gt;=AG$8),ROW(T_LEAVE[LEAVE CODE]))-ROW(T_LEAVE[#Headers]))))))),"")</f>
        <v/>
      </c>
      <c r="AH20" s="75" t="str">
        <f>IFERROR(IF(AH$8="","NA",IF(AH$8&lt;INDEX(T_EMP[START DATE],ROW($B20)-ROW($B$8)),"NE",IF(AND(INDEX(T_EMP[TERMINATION DATE],ROW($B20)-ROW($B$8))&gt;0,AH$8&gt;INDEX(T_EMP[TERMINATION DATE],ROW($B20)-ROW($B$8))),"NE",IF(NOT(ISERROR(MATCH(AH$8,L_HOLS,0))),"H",IF(INDEX(L_WKNDVAL,WEEKDAY(AH$8,1))=1,"WKND",INDEX(T_LEAVE[LEAVE CODE],SUMPRODUCT(--(T_LEAVE[NAME]=$B20),--(T_LEAVE[DATE]&lt;=AH$8),--(T_LEAVE[DATE]&gt;=AH$8),ROW(T_LEAVE[LEAVE CODE]))-ROW(T_LEAVE[#Headers]))))))),"")</f>
        <v/>
      </c>
      <c r="AJ20" s="88">
        <f>IF(OR($B20="",AJ$8=""),"",COUNTIFS($D20:$AH20,AJ$8)*INDEX(T_LEAVETYPE[DAY VALUE],1))</f>
        <v>0</v>
      </c>
      <c r="AK20" s="88">
        <f>IF(OR($B20="",AK$8=""),"",COUNTIFS($D20:$AH20,AK$8)*INDEX(T_LEAVETYPE[DAY VALUE],2))</f>
        <v>0</v>
      </c>
      <c r="AL20" s="88">
        <f>IF(OR($B20="",AL$8=""),"",COUNTIFS($D20:$AH20,AL$8)*INDEX(T_LEAVETYPE[DAY VALUE],3))</f>
        <v>0</v>
      </c>
      <c r="AM20" s="88">
        <f>IF(OR($B20="",AM$8=""),"",COUNTIFS($D20:$AH20,AM$8)*INDEX(T_LEAVETYPE[DAY VALUE],4))</f>
        <v>0</v>
      </c>
      <c r="AN20" s="88">
        <f>IF(OR($B20="",AN$8=""),"",COUNTIFS($D20:$AH20,AN$8)*INDEX(T_LEAVETYPE[DAY VALUE],5))</f>
        <v>0</v>
      </c>
      <c r="AO20" s="88">
        <f>IF(OR($B20="",AO$8=""),"",COUNTIFS($D20:$AH20,AO$8)*INDEX(T_LEAVETYPE[DAY VALUE],6))</f>
        <v>0</v>
      </c>
      <c r="AP20" s="88">
        <f>IF(OR($B20="",AP$8=""),"",COUNTIFS($D20:$AH20,AP$8)*INDEX(T_LEAVETYPE[DAY VALUE],7))</f>
        <v>0</v>
      </c>
      <c r="AQ20" s="88">
        <f>IF(OR($B20="",AQ$8=""),"",COUNTIFS($D20:$AH20,AQ$8)*INDEX(T_LEAVETYPE[DAY VALUE],8))</f>
        <v>0</v>
      </c>
      <c r="AR20" s="89">
        <f t="shared" si="3"/>
        <v>0</v>
      </c>
    </row>
    <row r="21" spans="1:44" x14ac:dyDescent="0.25">
      <c r="A21" s="90">
        <f t="shared" si="4"/>
        <v>13</v>
      </c>
      <c r="B21" s="74" t="str">
        <f>IFERROR(INDEX(T_EMP[NAME],ROW(B21)-ROW($B$8)),"")</f>
        <v>WENCESLAO, JOHN GLENN</v>
      </c>
      <c r="C21" s="91" t="str">
        <f>IFERROR(INDEX(T_EMP[DEPARTMENT],ROW(B21)-ROW($C$8)),"")</f>
        <v>IB SUPPORT</v>
      </c>
      <c r="D21" s="75" t="str">
        <f>IFERROR(IF(D$8="","NA",IF(D$8&lt;INDEX(T_EMP[START DATE],ROW($B21)-ROW($B$8)),"NE",IF(AND(INDEX(T_EMP[TERMINATION DATE],ROW($B21)-ROW($B$8))&gt;0,D$8&gt;INDEX(T_EMP[TERMINATION DATE],ROW($B21)-ROW($B$8))),"NE",IF(NOT(ISERROR(MATCH(D$8,L_HOLS,0))),"H",IF(INDEX(L_WKNDVAL,WEEKDAY(D$8,1))=1,"WKND",INDEX(T_LEAVE[LEAVE CODE],SUMPRODUCT(--(T_LEAVE[NAME]=$B21),--(T_LEAVE[DATE]&lt;=D$8),--(T_LEAVE[DATE]&gt;=D$8),ROW(T_LEAVE[LEAVE CODE]))-ROW(T_LEAVE[#Headers]))))))),"")</f>
        <v>H</v>
      </c>
      <c r="E21" s="75" t="str">
        <f>IFERROR(IF(E$8="","NA",IF(E$8&lt;INDEX(T_EMP[START DATE],ROW($B21)-ROW($B$8)),"NE",IF(AND(INDEX(T_EMP[TERMINATION DATE],ROW($B21)-ROW($B$8))&gt;0,E$8&gt;INDEX(T_EMP[TERMINATION DATE],ROW($B21)-ROW($B$8))),"NE",IF(NOT(ISERROR(MATCH(E$8,L_HOLS,0))),"H",IF(INDEX(L_WKNDVAL,WEEKDAY(E$8,1))=1,"WKND",INDEX(T_LEAVE[LEAVE CODE],SUMPRODUCT(--(T_LEAVE[NAME]=$B21),--(T_LEAVE[DATE]&lt;=E$8),--(T_LEAVE[DATE]&gt;=E$8),ROW(T_LEAVE[LEAVE CODE]))-ROW(T_LEAVE[#Headers]))))))),"")</f>
        <v/>
      </c>
      <c r="F21" s="75" t="str">
        <f>IFERROR(IF(F$8="","NA",IF(F$8&lt;INDEX(T_EMP[START DATE],ROW($B21)-ROW($B$8)),"NE",IF(AND(INDEX(T_EMP[TERMINATION DATE],ROW($B21)-ROW($B$8))&gt;0,F$8&gt;INDEX(T_EMP[TERMINATION DATE],ROW($B21)-ROW($B$8))),"NE",IF(NOT(ISERROR(MATCH(F$8,L_HOLS,0))),"H",IF(INDEX(L_WKNDVAL,WEEKDAY(F$8,1))=1,"WKND",INDEX(T_LEAVE[LEAVE CODE],SUMPRODUCT(--(T_LEAVE[NAME]=$B21),--(T_LEAVE[DATE]&lt;=F$8),--(T_LEAVE[DATE]&gt;=F$8),ROW(T_LEAVE[LEAVE CODE]))-ROW(T_LEAVE[#Headers]))))))),"")</f>
        <v/>
      </c>
      <c r="G21" s="75" t="str">
        <f>IFERROR(IF(G$8="","NA",IF(G$8&lt;INDEX(T_EMP[START DATE],ROW($B21)-ROW($B$8)),"NE",IF(AND(INDEX(T_EMP[TERMINATION DATE],ROW($B21)-ROW($B$8))&gt;0,G$8&gt;INDEX(T_EMP[TERMINATION DATE],ROW($B21)-ROW($B$8))),"NE",IF(NOT(ISERROR(MATCH(G$8,L_HOLS,0))),"H",IF(INDEX(L_WKNDVAL,WEEKDAY(G$8,1))=1,"WKND",INDEX(T_LEAVE[LEAVE CODE],SUMPRODUCT(--(T_LEAVE[NAME]=$B21),--(T_LEAVE[DATE]&lt;=G$8),--(T_LEAVE[DATE]&gt;=G$8),ROW(T_LEAVE[LEAVE CODE]))-ROW(T_LEAVE[#Headers]))))))),"")</f>
        <v/>
      </c>
      <c r="H21" s="75" t="str">
        <f>IFERROR(IF(H$8="","NA",IF(H$8&lt;INDEX(T_EMP[START DATE],ROW($B21)-ROW($B$8)),"NE",IF(AND(INDEX(T_EMP[TERMINATION DATE],ROW($B21)-ROW($B$8))&gt;0,H$8&gt;INDEX(T_EMP[TERMINATION DATE],ROW($B21)-ROW($B$8))),"NE",IF(NOT(ISERROR(MATCH(H$8,L_HOLS,0))),"H",IF(INDEX(L_WKNDVAL,WEEKDAY(H$8,1))=1,"WKND",INDEX(T_LEAVE[LEAVE CODE],SUMPRODUCT(--(T_LEAVE[NAME]=$B21),--(T_LEAVE[DATE]&lt;=H$8),--(T_LEAVE[DATE]&gt;=H$8),ROW(T_LEAVE[LEAVE CODE]))-ROW(T_LEAVE[#Headers]))))))),"")</f>
        <v/>
      </c>
      <c r="I21" s="75" t="str">
        <f>IFERROR(IF(I$8="","NA",IF(I$8&lt;INDEX(T_EMP[START DATE],ROW($B21)-ROW($B$8)),"NE",IF(AND(INDEX(T_EMP[TERMINATION DATE],ROW($B21)-ROW($B$8))&gt;0,I$8&gt;INDEX(T_EMP[TERMINATION DATE],ROW($B21)-ROW($B$8))),"NE",IF(NOT(ISERROR(MATCH(I$8,L_HOLS,0))),"H",IF(INDEX(L_WKNDVAL,WEEKDAY(I$8,1))=1,"WKND",INDEX(T_LEAVE[LEAVE CODE],SUMPRODUCT(--(T_LEAVE[NAME]=$B21),--(T_LEAVE[DATE]&lt;=I$8),--(T_LEAVE[DATE]&gt;=I$8),ROW(T_LEAVE[LEAVE CODE]))-ROW(T_LEAVE[#Headers]))))))),"")</f>
        <v/>
      </c>
      <c r="J21" s="75" t="str">
        <f>IFERROR(IF(J$8="","NA",IF(J$8&lt;INDEX(T_EMP[START DATE],ROW($B21)-ROW($B$8)),"NE",IF(AND(INDEX(T_EMP[TERMINATION DATE],ROW($B21)-ROW($B$8))&gt;0,J$8&gt;INDEX(T_EMP[TERMINATION DATE],ROW($B21)-ROW($B$8))),"NE",IF(NOT(ISERROR(MATCH(J$8,L_HOLS,0))),"H",IF(INDEX(L_WKNDVAL,WEEKDAY(J$8,1))=1,"WKND",INDEX(T_LEAVE[LEAVE CODE],SUMPRODUCT(--(T_LEAVE[NAME]=$B21),--(T_LEAVE[DATE]&lt;=J$8),--(T_LEAVE[DATE]&gt;=J$8),ROW(T_LEAVE[LEAVE CODE]))-ROW(T_LEAVE[#Headers]))))))),"")</f>
        <v/>
      </c>
      <c r="K21" s="75" t="str">
        <f>IFERROR(IF(K$8="","NA",IF(K$8&lt;INDEX(T_EMP[START DATE],ROW($B21)-ROW($B$8)),"NE",IF(AND(INDEX(T_EMP[TERMINATION DATE],ROW($B21)-ROW($B$8))&gt;0,K$8&gt;INDEX(T_EMP[TERMINATION DATE],ROW($B21)-ROW($B$8))),"NE",IF(NOT(ISERROR(MATCH(K$8,L_HOLS,0))),"H",IF(INDEX(L_WKNDVAL,WEEKDAY(K$8,1))=1,"WKND",INDEX(T_LEAVE[LEAVE CODE],SUMPRODUCT(--(T_LEAVE[NAME]=$B21),--(T_LEAVE[DATE]&lt;=K$8),--(T_LEAVE[DATE]&gt;=K$8),ROW(T_LEAVE[LEAVE CODE]))-ROW(T_LEAVE[#Headers]))))))),"")</f>
        <v/>
      </c>
      <c r="L21" s="75" t="str">
        <f>IFERROR(IF(L$8="","NA",IF(L$8&lt;INDEX(T_EMP[START DATE],ROW($B21)-ROW($B$8)),"NE",IF(AND(INDEX(T_EMP[TERMINATION DATE],ROW($B21)-ROW($B$8))&gt;0,L$8&gt;INDEX(T_EMP[TERMINATION DATE],ROW($B21)-ROW($B$8))),"NE",IF(NOT(ISERROR(MATCH(L$8,L_HOLS,0))),"H",IF(INDEX(L_WKNDVAL,WEEKDAY(L$8,1))=1,"WKND",INDEX(T_LEAVE[LEAVE CODE],SUMPRODUCT(--(T_LEAVE[NAME]=$B21),--(T_LEAVE[DATE]&lt;=L$8),--(T_LEAVE[DATE]&gt;=L$8),ROW(T_LEAVE[LEAVE CODE]))-ROW(T_LEAVE[#Headers]))))))),"")</f>
        <v/>
      </c>
      <c r="M21" s="75" t="str">
        <f>IFERROR(IF(M$8="","NA",IF(M$8&lt;INDEX(T_EMP[START DATE],ROW($B21)-ROW($B$8)),"NE",IF(AND(INDEX(T_EMP[TERMINATION DATE],ROW($B21)-ROW($B$8))&gt;0,M$8&gt;INDEX(T_EMP[TERMINATION DATE],ROW($B21)-ROW($B$8))),"NE",IF(NOT(ISERROR(MATCH(M$8,L_HOLS,0))),"H",IF(INDEX(L_WKNDVAL,WEEKDAY(M$8,1))=1,"WKND",INDEX(T_LEAVE[LEAVE CODE],SUMPRODUCT(--(T_LEAVE[NAME]=$B21),--(T_LEAVE[DATE]&lt;=M$8),--(T_LEAVE[DATE]&gt;=M$8),ROW(T_LEAVE[LEAVE CODE]))-ROW(T_LEAVE[#Headers]))))))),"")</f>
        <v/>
      </c>
      <c r="N21" s="75" t="str">
        <f>IFERROR(IF(N$8="","NA",IF(N$8&lt;INDEX(T_EMP[START DATE],ROW($B21)-ROW($B$8)),"NE",IF(AND(INDEX(T_EMP[TERMINATION DATE],ROW($B21)-ROW($B$8))&gt;0,N$8&gt;INDEX(T_EMP[TERMINATION DATE],ROW($B21)-ROW($B$8))),"NE",IF(NOT(ISERROR(MATCH(N$8,L_HOLS,0))),"H",IF(INDEX(L_WKNDVAL,WEEKDAY(N$8,1))=1,"WKND",INDEX(T_LEAVE[LEAVE CODE],SUMPRODUCT(--(T_LEAVE[NAME]=$B21),--(T_LEAVE[DATE]&lt;=N$8),--(T_LEAVE[DATE]&gt;=N$8),ROW(T_LEAVE[LEAVE CODE]))-ROW(T_LEAVE[#Headers]))))))),"")</f>
        <v/>
      </c>
      <c r="O21" s="75" t="str">
        <f>IFERROR(IF(O$8="","NA",IF(O$8&lt;INDEX(T_EMP[START DATE],ROW($B21)-ROW($B$8)),"NE",IF(AND(INDEX(T_EMP[TERMINATION DATE],ROW($B21)-ROW($B$8))&gt;0,O$8&gt;INDEX(T_EMP[TERMINATION DATE],ROW($B21)-ROW($B$8))),"NE",IF(NOT(ISERROR(MATCH(O$8,L_HOLS,0))),"H",IF(INDEX(L_WKNDVAL,WEEKDAY(O$8,1))=1,"WKND",INDEX(T_LEAVE[LEAVE CODE],SUMPRODUCT(--(T_LEAVE[NAME]=$B21),--(T_LEAVE[DATE]&lt;=O$8),--(T_LEAVE[DATE]&gt;=O$8),ROW(T_LEAVE[LEAVE CODE]))-ROW(T_LEAVE[#Headers]))))))),"")</f>
        <v/>
      </c>
      <c r="P21" s="75" t="str">
        <f>IFERROR(IF(P$8="","NA",IF(P$8&lt;INDEX(T_EMP[START DATE],ROW($B21)-ROW($B$8)),"NE",IF(AND(INDEX(T_EMP[TERMINATION DATE],ROW($B21)-ROW($B$8))&gt;0,P$8&gt;INDEX(T_EMP[TERMINATION DATE],ROW($B21)-ROW($B$8))),"NE",IF(NOT(ISERROR(MATCH(P$8,L_HOLS,0))),"H",IF(INDEX(L_WKNDVAL,WEEKDAY(P$8,1))=1,"WKND",INDEX(T_LEAVE[LEAVE CODE],SUMPRODUCT(--(T_LEAVE[NAME]=$B21),--(T_LEAVE[DATE]&lt;=P$8),--(T_LEAVE[DATE]&gt;=P$8),ROW(T_LEAVE[LEAVE CODE]))-ROW(T_LEAVE[#Headers]))))))),"")</f>
        <v>H</v>
      </c>
      <c r="Q21" s="75" t="str">
        <f>IFERROR(IF(Q$8="","NA",IF(Q$8&lt;INDEX(T_EMP[START DATE],ROW($B21)-ROW($B$8)),"NE",IF(AND(INDEX(T_EMP[TERMINATION DATE],ROW($B21)-ROW($B$8))&gt;0,Q$8&gt;INDEX(T_EMP[TERMINATION DATE],ROW($B21)-ROW($B$8))),"NE",IF(NOT(ISERROR(MATCH(Q$8,L_HOLS,0))),"H",IF(INDEX(L_WKNDVAL,WEEKDAY(Q$8,1))=1,"WKND",INDEX(T_LEAVE[LEAVE CODE],SUMPRODUCT(--(T_LEAVE[NAME]=$B21),--(T_LEAVE[DATE]&lt;=Q$8),--(T_LEAVE[DATE]&gt;=Q$8),ROW(T_LEAVE[LEAVE CODE]))-ROW(T_LEAVE[#Headers]))))))),"")</f>
        <v/>
      </c>
      <c r="R21" s="75" t="str">
        <f>IFERROR(IF(R$8="","NA",IF(R$8&lt;INDEX(T_EMP[START DATE],ROW($B21)-ROW($B$8)),"NE",IF(AND(INDEX(T_EMP[TERMINATION DATE],ROW($B21)-ROW($B$8))&gt;0,R$8&gt;INDEX(T_EMP[TERMINATION DATE],ROW($B21)-ROW($B$8))),"NE",IF(NOT(ISERROR(MATCH(R$8,L_HOLS,0))),"H",IF(INDEX(L_WKNDVAL,WEEKDAY(R$8,1))=1,"WKND",INDEX(T_LEAVE[LEAVE CODE],SUMPRODUCT(--(T_LEAVE[NAME]=$B21),--(T_LEAVE[DATE]&lt;=R$8),--(T_LEAVE[DATE]&gt;=R$8),ROW(T_LEAVE[LEAVE CODE]))-ROW(T_LEAVE[#Headers]))))))),"")</f>
        <v/>
      </c>
      <c r="S21" s="75" t="str">
        <f>IFERROR(IF(S$8="","NA",IF(S$8&lt;INDEX(T_EMP[START DATE],ROW($B21)-ROW($B$8)),"NE",IF(AND(INDEX(T_EMP[TERMINATION DATE],ROW($B21)-ROW($B$8))&gt;0,S$8&gt;INDEX(T_EMP[TERMINATION DATE],ROW($B21)-ROW($B$8))),"NE",IF(NOT(ISERROR(MATCH(S$8,L_HOLS,0))),"H",IF(INDEX(L_WKNDVAL,WEEKDAY(S$8,1))=1,"WKND",INDEX(T_LEAVE[LEAVE CODE],SUMPRODUCT(--(T_LEAVE[NAME]=$B21),--(T_LEAVE[DATE]&lt;=S$8),--(T_LEAVE[DATE]&gt;=S$8),ROW(T_LEAVE[LEAVE CODE]))-ROW(T_LEAVE[#Headers]))))))),"")</f>
        <v/>
      </c>
      <c r="T21" s="75" t="str">
        <f>IFERROR(IF(T$8="","NA",IF(T$8&lt;INDEX(T_EMP[START DATE],ROW($B21)-ROW($B$8)),"NE",IF(AND(INDEX(T_EMP[TERMINATION DATE],ROW($B21)-ROW($B$8))&gt;0,T$8&gt;INDEX(T_EMP[TERMINATION DATE],ROW($B21)-ROW($B$8))),"NE",IF(NOT(ISERROR(MATCH(T$8,L_HOLS,0))),"H",IF(INDEX(L_WKNDVAL,WEEKDAY(T$8,1))=1,"WKND",INDEX(T_LEAVE[LEAVE CODE],SUMPRODUCT(--(T_LEAVE[NAME]=$B21),--(T_LEAVE[DATE]&lt;=T$8),--(T_LEAVE[DATE]&gt;=T$8),ROW(T_LEAVE[LEAVE CODE]))-ROW(T_LEAVE[#Headers]))))))),"")</f>
        <v/>
      </c>
      <c r="U21" s="75" t="str">
        <f>IFERROR(IF(U$8="","NA",IF(U$8&lt;INDEX(T_EMP[START DATE],ROW($B21)-ROW($B$8)),"NE",IF(AND(INDEX(T_EMP[TERMINATION DATE],ROW($B21)-ROW($B$8))&gt;0,U$8&gt;INDEX(T_EMP[TERMINATION DATE],ROW($B21)-ROW($B$8))),"NE",IF(NOT(ISERROR(MATCH(U$8,L_HOLS,0))),"H",IF(INDEX(L_WKNDVAL,WEEKDAY(U$8,1))=1,"WKND",INDEX(T_LEAVE[LEAVE CODE],SUMPRODUCT(--(T_LEAVE[NAME]=$B21),--(T_LEAVE[DATE]&lt;=U$8),--(T_LEAVE[DATE]&gt;=U$8),ROW(T_LEAVE[LEAVE CODE]))-ROW(T_LEAVE[#Headers]))))))),"")</f>
        <v/>
      </c>
      <c r="V21" s="75" t="str">
        <f>IFERROR(IF(V$8="","NA",IF(V$8&lt;INDEX(T_EMP[START DATE],ROW($B21)-ROW($B$8)),"NE",IF(AND(INDEX(T_EMP[TERMINATION DATE],ROW($B21)-ROW($B$8))&gt;0,V$8&gt;INDEX(T_EMP[TERMINATION DATE],ROW($B21)-ROW($B$8))),"NE",IF(NOT(ISERROR(MATCH(V$8,L_HOLS,0))),"H",IF(INDEX(L_WKNDVAL,WEEKDAY(V$8,1))=1,"WKND",INDEX(T_LEAVE[LEAVE CODE],SUMPRODUCT(--(T_LEAVE[NAME]=$B21),--(T_LEAVE[DATE]&lt;=V$8),--(T_LEAVE[DATE]&gt;=V$8),ROW(T_LEAVE[LEAVE CODE]))-ROW(T_LEAVE[#Headers]))))))),"")</f>
        <v/>
      </c>
      <c r="W21" s="75" t="str">
        <f>IFERROR(IF(W$8="","NA",IF(W$8&lt;INDEX(T_EMP[START DATE],ROW($B21)-ROW($B$8)),"NE",IF(AND(INDEX(T_EMP[TERMINATION DATE],ROW($B21)-ROW($B$8))&gt;0,W$8&gt;INDEX(T_EMP[TERMINATION DATE],ROW($B21)-ROW($B$8))),"NE",IF(NOT(ISERROR(MATCH(W$8,L_HOLS,0))),"H",IF(INDEX(L_WKNDVAL,WEEKDAY(W$8,1))=1,"WKND",INDEX(T_LEAVE[LEAVE CODE],SUMPRODUCT(--(T_LEAVE[NAME]=$B21),--(T_LEAVE[DATE]&lt;=W$8),--(T_LEAVE[DATE]&gt;=W$8),ROW(T_LEAVE[LEAVE CODE]))-ROW(T_LEAVE[#Headers]))))))),"")</f>
        <v/>
      </c>
      <c r="X21" s="75" t="str">
        <f>IFERROR(IF(X$8="","NA",IF(X$8&lt;INDEX(T_EMP[START DATE],ROW($B21)-ROW($B$8)),"NE",IF(AND(INDEX(T_EMP[TERMINATION DATE],ROW($B21)-ROW($B$8))&gt;0,X$8&gt;INDEX(T_EMP[TERMINATION DATE],ROW($B21)-ROW($B$8))),"NE",IF(NOT(ISERROR(MATCH(X$8,L_HOLS,0))),"H",IF(INDEX(L_WKNDVAL,WEEKDAY(X$8,1))=1,"WKND",INDEX(T_LEAVE[LEAVE CODE],SUMPRODUCT(--(T_LEAVE[NAME]=$B21),--(T_LEAVE[DATE]&lt;=X$8),--(T_LEAVE[DATE]&gt;=X$8),ROW(T_LEAVE[LEAVE CODE]))-ROW(T_LEAVE[#Headers]))))))),"")</f>
        <v/>
      </c>
      <c r="Y21" s="75" t="str">
        <f>IFERROR(IF(Y$8="","NA",IF(Y$8&lt;INDEX(T_EMP[START DATE],ROW($B21)-ROW($B$8)),"NE",IF(AND(INDEX(T_EMP[TERMINATION DATE],ROW($B21)-ROW($B$8))&gt;0,Y$8&gt;INDEX(T_EMP[TERMINATION DATE],ROW($B21)-ROW($B$8))),"NE",IF(NOT(ISERROR(MATCH(Y$8,L_HOLS,0))),"H",IF(INDEX(L_WKNDVAL,WEEKDAY(Y$8,1))=1,"WKND",INDEX(T_LEAVE[LEAVE CODE],SUMPRODUCT(--(T_LEAVE[NAME]=$B21),--(T_LEAVE[DATE]&lt;=Y$8),--(T_LEAVE[DATE]&gt;=Y$8),ROW(T_LEAVE[LEAVE CODE]))-ROW(T_LEAVE[#Headers]))))))),"")</f>
        <v/>
      </c>
      <c r="Z21" s="75" t="str">
        <f>IFERROR(IF(Z$8="","NA",IF(Z$8&lt;INDEX(T_EMP[START DATE],ROW($B21)-ROW($B$8)),"NE",IF(AND(INDEX(T_EMP[TERMINATION DATE],ROW($B21)-ROW($B$8))&gt;0,Z$8&gt;INDEX(T_EMP[TERMINATION DATE],ROW($B21)-ROW($B$8))),"NE",IF(NOT(ISERROR(MATCH(Z$8,L_HOLS,0))),"H",IF(INDEX(L_WKNDVAL,WEEKDAY(Z$8,1))=1,"WKND",INDEX(T_LEAVE[LEAVE CODE],SUMPRODUCT(--(T_LEAVE[NAME]=$B21),--(T_LEAVE[DATE]&lt;=Z$8),--(T_LEAVE[DATE]&gt;=Z$8),ROW(T_LEAVE[LEAVE CODE]))-ROW(T_LEAVE[#Headers]))))))),"")</f>
        <v/>
      </c>
      <c r="AA21" s="75" t="str">
        <f>IFERROR(IF(AA$8="","NA",IF(AA$8&lt;INDEX(T_EMP[START DATE],ROW($B21)-ROW($B$8)),"NE",IF(AND(INDEX(T_EMP[TERMINATION DATE],ROW($B21)-ROW($B$8))&gt;0,AA$8&gt;INDEX(T_EMP[TERMINATION DATE],ROW($B21)-ROW($B$8))),"NE",IF(NOT(ISERROR(MATCH(AA$8,L_HOLS,0))),"H",IF(INDEX(L_WKNDVAL,WEEKDAY(AA$8,1))=1,"WKND",INDEX(T_LEAVE[LEAVE CODE],SUMPRODUCT(--(T_LEAVE[NAME]=$B21),--(T_LEAVE[DATE]&lt;=AA$8),--(T_LEAVE[DATE]&gt;=AA$8),ROW(T_LEAVE[LEAVE CODE]))-ROW(T_LEAVE[#Headers]))))))),"")</f>
        <v/>
      </c>
      <c r="AB21" s="75" t="str">
        <f>IFERROR(IF(AB$8="","NA",IF(AB$8&lt;INDEX(T_EMP[START DATE],ROW($B21)-ROW($B$8)),"NE",IF(AND(INDEX(T_EMP[TERMINATION DATE],ROW($B21)-ROW($B$8))&gt;0,AB$8&gt;INDEX(T_EMP[TERMINATION DATE],ROW($B21)-ROW($B$8))),"NE",IF(NOT(ISERROR(MATCH(AB$8,L_HOLS,0))),"H",IF(INDEX(L_WKNDVAL,WEEKDAY(AB$8,1))=1,"WKND",INDEX(T_LEAVE[LEAVE CODE],SUMPRODUCT(--(T_LEAVE[NAME]=$B21),--(T_LEAVE[DATE]&lt;=AB$8),--(T_LEAVE[DATE]&gt;=AB$8),ROW(T_LEAVE[LEAVE CODE]))-ROW(T_LEAVE[#Headers]))))))),"")</f>
        <v/>
      </c>
      <c r="AC21" s="75" t="str">
        <f>IFERROR(IF(AC$8="","NA",IF(AC$8&lt;INDEX(T_EMP[START DATE],ROW($B21)-ROW($B$8)),"NE",IF(AND(INDEX(T_EMP[TERMINATION DATE],ROW($B21)-ROW($B$8))&gt;0,AC$8&gt;INDEX(T_EMP[TERMINATION DATE],ROW($B21)-ROW($B$8))),"NE",IF(NOT(ISERROR(MATCH(AC$8,L_HOLS,0))),"H",IF(INDEX(L_WKNDVAL,WEEKDAY(AC$8,1))=1,"WKND",INDEX(T_LEAVE[LEAVE CODE],SUMPRODUCT(--(T_LEAVE[NAME]=$B21),--(T_LEAVE[DATE]&lt;=AC$8),--(T_LEAVE[DATE]&gt;=AC$8),ROW(T_LEAVE[LEAVE CODE]))-ROW(T_LEAVE[#Headers]))))))),"")</f>
        <v/>
      </c>
      <c r="AD21" s="75" t="str">
        <f>IFERROR(IF(AD$8="","NA",IF(AD$8&lt;INDEX(T_EMP[START DATE],ROW($B21)-ROW($B$8)),"NE",IF(AND(INDEX(T_EMP[TERMINATION DATE],ROW($B21)-ROW($B$8))&gt;0,AD$8&gt;INDEX(T_EMP[TERMINATION DATE],ROW($B21)-ROW($B$8))),"NE",IF(NOT(ISERROR(MATCH(AD$8,L_HOLS,0))),"H",IF(INDEX(L_WKNDVAL,WEEKDAY(AD$8,1))=1,"WKND",INDEX(T_LEAVE[LEAVE CODE],SUMPRODUCT(--(T_LEAVE[NAME]=$B21),--(T_LEAVE[DATE]&lt;=AD$8),--(T_LEAVE[DATE]&gt;=AD$8),ROW(T_LEAVE[LEAVE CODE]))-ROW(T_LEAVE[#Headers]))))))),"")</f>
        <v/>
      </c>
      <c r="AE21" s="75" t="str">
        <f>IFERROR(IF(AE$8="","NA",IF(AE$8&lt;INDEX(T_EMP[START DATE],ROW($B21)-ROW($B$8)),"NE",IF(AND(INDEX(T_EMP[TERMINATION DATE],ROW($B21)-ROW($B$8))&gt;0,AE$8&gt;INDEX(T_EMP[TERMINATION DATE],ROW($B21)-ROW($B$8))),"NE",IF(NOT(ISERROR(MATCH(AE$8,L_HOLS,0))),"H",IF(INDEX(L_WKNDVAL,WEEKDAY(AE$8,1))=1,"WKND",INDEX(T_LEAVE[LEAVE CODE],SUMPRODUCT(--(T_LEAVE[NAME]=$B21),--(T_LEAVE[DATE]&lt;=AE$8),--(T_LEAVE[DATE]&gt;=AE$8),ROW(T_LEAVE[LEAVE CODE]))-ROW(T_LEAVE[#Headers]))))))),"")</f>
        <v/>
      </c>
      <c r="AF21" s="75" t="str">
        <f>IFERROR(IF(AF$8="","NA",IF(AF$8&lt;INDEX(T_EMP[START DATE],ROW($B21)-ROW($B$8)),"NE",IF(AND(INDEX(T_EMP[TERMINATION DATE],ROW($B21)-ROW($B$8))&gt;0,AF$8&gt;INDEX(T_EMP[TERMINATION DATE],ROW($B21)-ROW($B$8))),"NE",IF(NOT(ISERROR(MATCH(AF$8,L_HOLS,0))),"H",IF(INDEX(L_WKNDVAL,WEEKDAY(AF$8,1))=1,"WKND",INDEX(T_LEAVE[LEAVE CODE],SUMPRODUCT(--(T_LEAVE[NAME]=$B21),--(T_LEAVE[DATE]&lt;=AF$8),--(T_LEAVE[DATE]&gt;=AF$8),ROW(T_LEAVE[LEAVE CODE]))-ROW(T_LEAVE[#Headers]))))))),"")</f>
        <v/>
      </c>
      <c r="AG21" s="75" t="str">
        <f>IFERROR(IF(AG$8="","NA",IF(AG$8&lt;INDEX(T_EMP[START DATE],ROW($B21)-ROW($B$8)),"NE",IF(AND(INDEX(T_EMP[TERMINATION DATE],ROW($B21)-ROW($B$8))&gt;0,AG$8&gt;INDEX(T_EMP[TERMINATION DATE],ROW($B21)-ROW($B$8))),"NE",IF(NOT(ISERROR(MATCH(AG$8,L_HOLS,0))),"H",IF(INDEX(L_WKNDVAL,WEEKDAY(AG$8,1))=1,"WKND",INDEX(T_LEAVE[LEAVE CODE],SUMPRODUCT(--(T_LEAVE[NAME]=$B21),--(T_LEAVE[DATE]&lt;=AG$8),--(T_LEAVE[DATE]&gt;=AG$8),ROW(T_LEAVE[LEAVE CODE]))-ROW(T_LEAVE[#Headers]))))))),"")</f>
        <v/>
      </c>
      <c r="AH21" s="75" t="str">
        <f>IFERROR(IF(AH$8="","NA",IF(AH$8&lt;INDEX(T_EMP[START DATE],ROW($B21)-ROW($B$8)),"NE",IF(AND(INDEX(T_EMP[TERMINATION DATE],ROW($B21)-ROW($B$8))&gt;0,AH$8&gt;INDEX(T_EMP[TERMINATION DATE],ROW($B21)-ROW($B$8))),"NE",IF(NOT(ISERROR(MATCH(AH$8,L_HOLS,0))),"H",IF(INDEX(L_WKNDVAL,WEEKDAY(AH$8,1))=1,"WKND",INDEX(T_LEAVE[LEAVE CODE],SUMPRODUCT(--(T_LEAVE[NAME]=$B21),--(T_LEAVE[DATE]&lt;=AH$8),--(T_LEAVE[DATE]&gt;=AH$8),ROW(T_LEAVE[LEAVE CODE]))-ROW(T_LEAVE[#Headers]))))))),"")</f>
        <v/>
      </c>
      <c r="AJ21" s="88">
        <f>IF(OR($B21="",AJ$8=""),"",COUNTIFS($D21:$AH21,AJ$8)*INDEX(T_LEAVETYPE[DAY VALUE],1))</f>
        <v>0</v>
      </c>
      <c r="AK21" s="88">
        <f>IF(OR($B21="",AK$8=""),"",COUNTIFS($D21:$AH21,AK$8)*INDEX(T_LEAVETYPE[DAY VALUE],2))</f>
        <v>0</v>
      </c>
      <c r="AL21" s="88">
        <f>IF(OR($B21="",AL$8=""),"",COUNTIFS($D21:$AH21,AL$8)*INDEX(T_LEAVETYPE[DAY VALUE],3))</f>
        <v>0</v>
      </c>
      <c r="AM21" s="88">
        <f>IF(OR($B21="",AM$8=""),"",COUNTIFS($D21:$AH21,AM$8)*INDEX(T_LEAVETYPE[DAY VALUE],4))</f>
        <v>0</v>
      </c>
      <c r="AN21" s="88">
        <f>IF(OR($B21="",AN$8=""),"",COUNTIFS($D21:$AH21,AN$8)*INDEX(T_LEAVETYPE[DAY VALUE],5))</f>
        <v>0</v>
      </c>
      <c r="AO21" s="88">
        <f>IF(OR($B21="",AO$8=""),"",COUNTIFS($D21:$AH21,AO$8)*INDEX(T_LEAVETYPE[DAY VALUE],6))</f>
        <v>0</v>
      </c>
      <c r="AP21" s="88">
        <f>IF(OR($B21="",AP$8=""),"",COUNTIFS($D21:$AH21,AP$8)*INDEX(T_LEAVETYPE[DAY VALUE],7))</f>
        <v>0</v>
      </c>
      <c r="AQ21" s="88">
        <f>IF(OR($B21="",AQ$8=""),"",COUNTIFS($D21:$AH21,AQ$8)*INDEX(T_LEAVETYPE[DAY VALUE],8))</f>
        <v>0</v>
      </c>
      <c r="AR21" s="89">
        <f t="shared" si="3"/>
        <v>0</v>
      </c>
    </row>
    <row r="22" spans="1:44" x14ac:dyDescent="0.25">
      <c r="A22" s="90">
        <f t="shared" si="4"/>
        <v>14</v>
      </c>
      <c r="B22" s="74" t="str">
        <f>IFERROR(INDEX(T_EMP[NAME],ROW(B22)-ROW($B$8)),"")</f>
        <v>MONTIEL, HEIZEL</v>
      </c>
      <c r="C22" s="91" t="str">
        <f>IFERROR(INDEX(T_EMP[DEPARTMENT],ROW(B22)-ROW($C$8)),"")</f>
        <v>IB SUPPORT</v>
      </c>
      <c r="D22" s="75" t="str">
        <f>IFERROR(IF(D$8="","NA",IF(D$8&lt;INDEX(T_EMP[START DATE],ROW($B22)-ROW($B$8)),"NE",IF(AND(INDEX(T_EMP[TERMINATION DATE],ROW($B22)-ROW($B$8))&gt;0,D$8&gt;INDEX(T_EMP[TERMINATION DATE],ROW($B22)-ROW($B$8))),"NE",IF(NOT(ISERROR(MATCH(D$8,L_HOLS,0))),"H",IF(INDEX(L_WKNDVAL,WEEKDAY(D$8,1))=1,"WKND",INDEX(T_LEAVE[LEAVE CODE],SUMPRODUCT(--(T_LEAVE[NAME]=$B22),--(T_LEAVE[DATE]&lt;=D$8),--(T_LEAVE[DATE]&gt;=D$8),ROW(T_LEAVE[LEAVE CODE]))-ROW(T_LEAVE[#Headers]))))))),"")</f>
        <v>H</v>
      </c>
      <c r="E22" s="75" t="str">
        <f>IFERROR(IF(E$8="","NA",IF(E$8&lt;INDEX(T_EMP[START DATE],ROW($B22)-ROW($B$8)),"NE",IF(AND(INDEX(T_EMP[TERMINATION DATE],ROW($B22)-ROW($B$8))&gt;0,E$8&gt;INDEX(T_EMP[TERMINATION DATE],ROW($B22)-ROW($B$8))),"NE",IF(NOT(ISERROR(MATCH(E$8,L_HOLS,0))),"H",IF(INDEX(L_WKNDVAL,WEEKDAY(E$8,1))=1,"WKND",INDEX(T_LEAVE[LEAVE CODE],SUMPRODUCT(--(T_LEAVE[NAME]=$B22),--(T_LEAVE[DATE]&lt;=E$8),--(T_LEAVE[DATE]&gt;=E$8),ROW(T_LEAVE[LEAVE CODE]))-ROW(T_LEAVE[#Headers]))))))),"")</f>
        <v/>
      </c>
      <c r="F22" s="75" t="str">
        <f>IFERROR(IF(F$8="","NA",IF(F$8&lt;INDEX(T_EMP[START DATE],ROW($B22)-ROW($B$8)),"NE",IF(AND(INDEX(T_EMP[TERMINATION DATE],ROW($B22)-ROW($B$8))&gt;0,F$8&gt;INDEX(T_EMP[TERMINATION DATE],ROW($B22)-ROW($B$8))),"NE",IF(NOT(ISERROR(MATCH(F$8,L_HOLS,0))),"H",IF(INDEX(L_WKNDVAL,WEEKDAY(F$8,1))=1,"WKND",INDEX(T_LEAVE[LEAVE CODE],SUMPRODUCT(--(T_LEAVE[NAME]=$B22),--(T_LEAVE[DATE]&lt;=F$8),--(T_LEAVE[DATE]&gt;=F$8),ROW(T_LEAVE[LEAVE CODE]))-ROW(T_LEAVE[#Headers]))))))),"")</f>
        <v/>
      </c>
      <c r="G22" s="75" t="str">
        <f>IFERROR(IF(G$8="","NA",IF(G$8&lt;INDEX(T_EMP[START DATE],ROW($B22)-ROW($B$8)),"NE",IF(AND(INDEX(T_EMP[TERMINATION DATE],ROW($B22)-ROW($B$8))&gt;0,G$8&gt;INDEX(T_EMP[TERMINATION DATE],ROW($B22)-ROW($B$8))),"NE",IF(NOT(ISERROR(MATCH(G$8,L_HOLS,0))),"H",IF(INDEX(L_WKNDVAL,WEEKDAY(G$8,1))=1,"WKND",INDEX(T_LEAVE[LEAVE CODE],SUMPRODUCT(--(T_LEAVE[NAME]=$B22),--(T_LEAVE[DATE]&lt;=G$8),--(T_LEAVE[DATE]&gt;=G$8),ROW(T_LEAVE[LEAVE CODE]))-ROW(T_LEAVE[#Headers]))))))),"")</f>
        <v/>
      </c>
      <c r="H22" s="75" t="str">
        <f>IFERROR(IF(H$8="","NA",IF(H$8&lt;INDEX(T_EMP[START DATE],ROW($B22)-ROW($B$8)),"NE",IF(AND(INDEX(T_EMP[TERMINATION DATE],ROW($B22)-ROW($B$8))&gt;0,H$8&gt;INDEX(T_EMP[TERMINATION DATE],ROW($B22)-ROW($B$8))),"NE",IF(NOT(ISERROR(MATCH(H$8,L_HOLS,0))),"H",IF(INDEX(L_WKNDVAL,WEEKDAY(H$8,1))=1,"WKND",INDEX(T_LEAVE[LEAVE CODE],SUMPRODUCT(--(T_LEAVE[NAME]=$B22),--(T_LEAVE[DATE]&lt;=H$8),--(T_LEAVE[DATE]&gt;=H$8),ROW(T_LEAVE[LEAVE CODE]))-ROW(T_LEAVE[#Headers]))))))),"")</f>
        <v/>
      </c>
      <c r="I22" s="75" t="str">
        <f>IFERROR(IF(I$8="","NA",IF(I$8&lt;INDEX(T_EMP[START DATE],ROW($B22)-ROW($B$8)),"NE",IF(AND(INDEX(T_EMP[TERMINATION DATE],ROW($B22)-ROW($B$8))&gt;0,I$8&gt;INDEX(T_EMP[TERMINATION DATE],ROW($B22)-ROW($B$8))),"NE",IF(NOT(ISERROR(MATCH(I$8,L_HOLS,0))),"H",IF(INDEX(L_WKNDVAL,WEEKDAY(I$8,1))=1,"WKND",INDEX(T_LEAVE[LEAVE CODE],SUMPRODUCT(--(T_LEAVE[NAME]=$B22),--(T_LEAVE[DATE]&lt;=I$8),--(T_LEAVE[DATE]&gt;=I$8),ROW(T_LEAVE[LEAVE CODE]))-ROW(T_LEAVE[#Headers]))))))),"")</f>
        <v/>
      </c>
      <c r="J22" s="75" t="str">
        <f>IFERROR(IF(J$8="","NA",IF(J$8&lt;INDEX(T_EMP[START DATE],ROW($B22)-ROW($B$8)),"NE",IF(AND(INDEX(T_EMP[TERMINATION DATE],ROW($B22)-ROW($B$8))&gt;0,J$8&gt;INDEX(T_EMP[TERMINATION DATE],ROW($B22)-ROW($B$8))),"NE",IF(NOT(ISERROR(MATCH(J$8,L_HOLS,0))),"H",IF(INDEX(L_WKNDVAL,WEEKDAY(J$8,1))=1,"WKND",INDEX(T_LEAVE[LEAVE CODE],SUMPRODUCT(--(T_LEAVE[NAME]=$B22),--(T_LEAVE[DATE]&lt;=J$8),--(T_LEAVE[DATE]&gt;=J$8),ROW(T_LEAVE[LEAVE CODE]))-ROW(T_LEAVE[#Headers]))))))),"")</f>
        <v/>
      </c>
      <c r="K22" s="75" t="str">
        <f>IFERROR(IF(K$8="","NA",IF(K$8&lt;INDEX(T_EMP[START DATE],ROW($B22)-ROW($B$8)),"NE",IF(AND(INDEX(T_EMP[TERMINATION DATE],ROW($B22)-ROW($B$8))&gt;0,K$8&gt;INDEX(T_EMP[TERMINATION DATE],ROW($B22)-ROW($B$8))),"NE",IF(NOT(ISERROR(MATCH(K$8,L_HOLS,0))),"H",IF(INDEX(L_WKNDVAL,WEEKDAY(K$8,1))=1,"WKND",INDEX(T_LEAVE[LEAVE CODE],SUMPRODUCT(--(T_LEAVE[NAME]=$B22),--(T_LEAVE[DATE]&lt;=K$8),--(T_LEAVE[DATE]&gt;=K$8),ROW(T_LEAVE[LEAVE CODE]))-ROW(T_LEAVE[#Headers]))))))),"")</f>
        <v/>
      </c>
      <c r="L22" s="75" t="str">
        <f>IFERROR(IF(L$8="","NA",IF(L$8&lt;INDEX(T_EMP[START DATE],ROW($B22)-ROW($B$8)),"NE",IF(AND(INDEX(T_EMP[TERMINATION DATE],ROW($B22)-ROW($B$8))&gt;0,L$8&gt;INDEX(T_EMP[TERMINATION DATE],ROW($B22)-ROW($B$8))),"NE",IF(NOT(ISERROR(MATCH(L$8,L_HOLS,0))),"H",IF(INDEX(L_WKNDVAL,WEEKDAY(L$8,1))=1,"WKND",INDEX(T_LEAVE[LEAVE CODE],SUMPRODUCT(--(T_LEAVE[NAME]=$B22),--(T_LEAVE[DATE]&lt;=L$8),--(T_LEAVE[DATE]&gt;=L$8),ROW(T_LEAVE[LEAVE CODE]))-ROW(T_LEAVE[#Headers]))))))),"")</f>
        <v/>
      </c>
      <c r="M22" s="75" t="str">
        <f>IFERROR(IF(M$8="","NA",IF(M$8&lt;INDEX(T_EMP[START DATE],ROW($B22)-ROW($B$8)),"NE",IF(AND(INDEX(T_EMP[TERMINATION DATE],ROW($B22)-ROW($B$8))&gt;0,M$8&gt;INDEX(T_EMP[TERMINATION DATE],ROW($B22)-ROW($B$8))),"NE",IF(NOT(ISERROR(MATCH(M$8,L_HOLS,0))),"H",IF(INDEX(L_WKNDVAL,WEEKDAY(M$8,1))=1,"WKND",INDEX(T_LEAVE[LEAVE CODE],SUMPRODUCT(--(T_LEAVE[NAME]=$B22),--(T_LEAVE[DATE]&lt;=M$8),--(T_LEAVE[DATE]&gt;=M$8),ROW(T_LEAVE[LEAVE CODE]))-ROW(T_LEAVE[#Headers]))))))),"")</f>
        <v/>
      </c>
      <c r="N22" s="75" t="str">
        <f>IFERROR(IF(N$8="","NA",IF(N$8&lt;INDEX(T_EMP[START DATE],ROW($B22)-ROW($B$8)),"NE",IF(AND(INDEX(T_EMP[TERMINATION DATE],ROW($B22)-ROW($B$8))&gt;0,N$8&gt;INDEX(T_EMP[TERMINATION DATE],ROW($B22)-ROW($B$8))),"NE",IF(NOT(ISERROR(MATCH(N$8,L_HOLS,0))),"H",IF(INDEX(L_WKNDVAL,WEEKDAY(N$8,1))=1,"WKND",INDEX(T_LEAVE[LEAVE CODE],SUMPRODUCT(--(T_LEAVE[NAME]=$B22),--(T_LEAVE[DATE]&lt;=N$8),--(T_LEAVE[DATE]&gt;=N$8),ROW(T_LEAVE[LEAVE CODE]))-ROW(T_LEAVE[#Headers]))))))),"")</f>
        <v/>
      </c>
      <c r="O22" s="75" t="str">
        <f>IFERROR(IF(O$8="","NA",IF(O$8&lt;INDEX(T_EMP[START DATE],ROW($B22)-ROW($B$8)),"NE",IF(AND(INDEX(T_EMP[TERMINATION DATE],ROW($B22)-ROW($B$8))&gt;0,O$8&gt;INDEX(T_EMP[TERMINATION DATE],ROW($B22)-ROW($B$8))),"NE",IF(NOT(ISERROR(MATCH(O$8,L_HOLS,0))),"H",IF(INDEX(L_WKNDVAL,WEEKDAY(O$8,1))=1,"WKND",INDEX(T_LEAVE[LEAVE CODE],SUMPRODUCT(--(T_LEAVE[NAME]=$B22),--(T_LEAVE[DATE]&lt;=O$8),--(T_LEAVE[DATE]&gt;=O$8),ROW(T_LEAVE[LEAVE CODE]))-ROW(T_LEAVE[#Headers]))))))),"")</f>
        <v/>
      </c>
      <c r="P22" s="75" t="str">
        <f>IFERROR(IF(P$8="","NA",IF(P$8&lt;INDEX(T_EMP[START DATE],ROW($B22)-ROW($B$8)),"NE",IF(AND(INDEX(T_EMP[TERMINATION DATE],ROW($B22)-ROW($B$8))&gt;0,P$8&gt;INDEX(T_EMP[TERMINATION DATE],ROW($B22)-ROW($B$8))),"NE",IF(NOT(ISERROR(MATCH(P$8,L_HOLS,0))),"H",IF(INDEX(L_WKNDVAL,WEEKDAY(P$8,1))=1,"WKND",INDEX(T_LEAVE[LEAVE CODE],SUMPRODUCT(--(T_LEAVE[NAME]=$B22),--(T_LEAVE[DATE]&lt;=P$8),--(T_LEAVE[DATE]&gt;=P$8),ROW(T_LEAVE[LEAVE CODE]))-ROW(T_LEAVE[#Headers]))))))),"")</f>
        <v>H</v>
      </c>
      <c r="Q22" s="75" t="str">
        <f>IFERROR(IF(Q$8="","NA",IF(Q$8&lt;INDEX(T_EMP[START DATE],ROW($B22)-ROW($B$8)),"NE",IF(AND(INDEX(T_EMP[TERMINATION DATE],ROW($B22)-ROW($B$8))&gt;0,Q$8&gt;INDEX(T_EMP[TERMINATION DATE],ROW($B22)-ROW($B$8))),"NE",IF(NOT(ISERROR(MATCH(Q$8,L_HOLS,0))),"H",IF(INDEX(L_WKNDVAL,WEEKDAY(Q$8,1))=1,"WKND",INDEX(T_LEAVE[LEAVE CODE],SUMPRODUCT(--(T_LEAVE[NAME]=$B22),--(T_LEAVE[DATE]&lt;=Q$8),--(T_LEAVE[DATE]&gt;=Q$8),ROW(T_LEAVE[LEAVE CODE]))-ROW(T_LEAVE[#Headers]))))))),"")</f>
        <v/>
      </c>
      <c r="R22" s="75" t="str">
        <f>IFERROR(IF(R$8="","NA",IF(R$8&lt;INDEX(T_EMP[START DATE],ROW($B22)-ROW($B$8)),"NE",IF(AND(INDEX(T_EMP[TERMINATION DATE],ROW($B22)-ROW($B$8))&gt;0,R$8&gt;INDEX(T_EMP[TERMINATION DATE],ROW($B22)-ROW($B$8))),"NE",IF(NOT(ISERROR(MATCH(R$8,L_HOLS,0))),"H",IF(INDEX(L_WKNDVAL,WEEKDAY(R$8,1))=1,"WKND",INDEX(T_LEAVE[LEAVE CODE],SUMPRODUCT(--(T_LEAVE[NAME]=$B22),--(T_LEAVE[DATE]&lt;=R$8),--(T_LEAVE[DATE]&gt;=R$8),ROW(T_LEAVE[LEAVE CODE]))-ROW(T_LEAVE[#Headers]))))))),"")</f>
        <v/>
      </c>
      <c r="S22" s="75" t="str">
        <f>IFERROR(IF(S$8="","NA",IF(S$8&lt;INDEX(T_EMP[START DATE],ROW($B22)-ROW($B$8)),"NE",IF(AND(INDEX(T_EMP[TERMINATION DATE],ROW($B22)-ROW($B$8))&gt;0,S$8&gt;INDEX(T_EMP[TERMINATION DATE],ROW($B22)-ROW($B$8))),"NE",IF(NOT(ISERROR(MATCH(S$8,L_HOLS,0))),"H",IF(INDEX(L_WKNDVAL,WEEKDAY(S$8,1))=1,"WKND",INDEX(T_LEAVE[LEAVE CODE],SUMPRODUCT(--(T_LEAVE[NAME]=$B22),--(T_LEAVE[DATE]&lt;=S$8),--(T_LEAVE[DATE]&gt;=S$8),ROW(T_LEAVE[LEAVE CODE]))-ROW(T_LEAVE[#Headers]))))))),"")</f>
        <v/>
      </c>
      <c r="T22" s="75" t="str">
        <f>IFERROR(IF(T$8="","NA",IF(T$8&lt;INDEX(T_EMP[START DATE],ROW($B22)-ROW($B$8)),"NE",IF(AND(INDEX(T_EMP[TERMINATION DATE],ROW($B22)-ROW($B$8))&gt;0,T$8&gt;INDEX(T_EMP[TERMINATION DATE],ROW($B22)-ROW($B$8))),"NE",IF(NOT(ISERROR(MATCH(T$8,L_HOLS,0))),"H",IF(INDEX(L_WKNDVAL,WEEKDAY(T$8,1))=1,"WKND",INDEX(T_LEAVE[LEAVE CODE],SUMPRODUCT(--(T_LEAVE[NAME]=$B22),--(T_LEAVE[DATE]&lt;=T$8),--(T_LEAVE[DATE]&gt;=T$8),ROW(T_LEAVE[LEAVE CODE]))-ROW(T_LEAVE[#Headers]))))))),"")</f>
        <v/>
      </c>
      <c r="U22" s="75" t="str">
        <f>IFERROR(IF(U$8="","NA",IF(U$8&lt;INDEX(T_EMP[START DATE],ROW($B22)-ROW($B$8)),"NE",IF(AND(INDEX(T_EMP[TERMINATION DATE],ROW($B22)-ROW($B$8))&gt;0,U$8&gt;INDEX(T_EMP[TERMINATION DATE],ROW($B22)-ROW($B$8))),"NE",IF(NOT(ISERROR(MATCH(U$8,L_HOLS,0))),"H",IF(INDEX(L_WKNDVAL,WEEKDAY(U$8,1))=1,"WKND",INDEX(T_LEAVE[LEAVE CODE],SUMPRODUCT(--(T_LEAVE[NAME]=$B22),--(T_LEAVE[DATE]&lt;=U$8),--(T_LEAVE[DATE]&gt;=U$8),ROW(T_LEAVE[LEAVE CODE]))-ROW(T_LEAVE[#Headers]))))))),"")</f>
        <v/>
      </c>
      <c r="V22" s="75" t="str">
        <f>IFERROR(IF(V$8="","NA",IF(V$8&lt;INDEX(T_EMP[START DATE],ROW($B22)-ROW($B$8)),"NE",IF(AND(INDEX(T_EMP[TERMINATION DATE],ROW($B22)-ROW($B$8))&gt;0,V$8&gt;INDEX(T_EMP[TERMINATION DATE],ROW($B22)-ROW($B$8))),"NE",IF(NOT(ISERROR(MATCH(V$8,L_HOLS,0))),"H",IF(INDEX(L_WKNDVAL,WEEKDAY(V$8,1))=1,"WKND",INDEX(T_LEAVE[LEAVE CODE],SUMPRODUCT(--(T_LEAVE[NAME]=$B22),--(T_LEAVE[DATE]&lt;=V$8),--(T_LEAVE[DATE]&gt;=V$8),ROW(T_LEAVE[LEAVE CODE]))-ROW(T_LEAVE[#Headers]))))))),"")</f>
        <v/>
      </c>
      <c r="W22" s="75" t="str">
        <f>IFERROR(IF(W$8="","NA",IF(W$8&lt;INDEX(T_EMP[START DATE],ROW($B22)-ROW($B$8)),"NE",IF(AND(INDEX(T_EMP[TERMINATION DATE],ROW($B22)-ROW($B$8))&gt;0,W$8&gt;INDEX(T_EMP[TERMINATION DATE],ROW($B22)-ROW($B$8))),"NE",IF(NOT(ISERROR(MATCH(W$8,L_HOLS,0))),"H",IF(INDEX(L_WKNDVAL,WEEKDAY(W$8,1))=1,"WKND",INDEX(T_LEAVE[LEAVE CODE],SUMPRODUCT(--(T_LEAVE[NAME]=$B22),--(T_LEAVE[DATE]&lt;=W$8),--(T_LEAVE[DATE]&gt;=W$8),ROW(T_LEAVE[LEAVE CODE]))-ROW(T_LEAVE[#Headers]))))))),"")</f>
        <v/>
      </c>
      <c r="X22" s="75" t="str">
        <f>IFERROR(IF(X$8="","NA",IF(X$8&lt;INDEX(T_EMP[START DATE],ROW($B22)-ROW($B$8)),"NE",IF(AND(INDEX(T_EMP[TERMINATION DATE],ROW($B22)-ROW($B$8))&gt;0,X$8&gt;INDEX(T_EMP[TERMINATION DATE],ROW($B22)-ROW($B$8))),"NE",IF(NOT(ISERROR(MATCH(X$8,L_HOLS,0))),"H",IF(INDEX(L_WKNDVAL,WEEKDAY(X$8,1))=1,"WKND",INDEX(T_LEAVE[LEAVE CODE],SUMPRODUCT(--(T_LEAVE[NAME]=$B22),--(T_LEAVE[DATE]&lt;=X$8),--(T_LEAVE[DATE]&gt;=X$8),ROW(T_LEAVE[LEAVE CODE]))-ROW(T_LEAVE[#Headers]))))))),"")</f>
        <v/>
      </c>
      <c r="Y22" s="75" t="str">
        <f>IFERROR(IF(Y$8="","NA",IF(Y$8&lt;INDEX(T_EMP[START DATE],ROW($B22)-ROW($B$8)),"NE",IF(AND(INDEX(T_EMP[TERMINATION DATE],ROW($B22)-ROW($B$8))&gt;0,Y$8&gt;INDEX(T_EMP[TERMINATION DATE],ROW($B22)-ROW($B$8))),"NE",IF(NOT(ISERROR(MATCH(Y$8,L_HOLS,0))),"H",IF(INDEX(L_WKNDVAL,WEEKDAY(Y$8,1))=1,"WKND",INDEX(T_LEAVE[LEAVE CODE],SUMPRODUCT(--(T_LEAVE[NAME]=$B22),--(T_LEAVE[DATE]&lt;=Y$8),--(T_LEAVE[DATE]&gt;=Y$8),ROW(T_LEAVE[LEAVE CODE]))-ROW(T_LEAVE[#Headers]))))))),"")</f>
        <v/>
      </c>
      <c r="Z22" s="75" t="str">
        <f>IFERROR(IF(Z$8="","NA",IF(Z$8&lt;INDEX(T_EMP[START DATE],ROW($B22)-ROW($B$8)),"NE",IF(AND(INDEX(T_EMP[TERMINATION DATE],ROW($B22)-ROW($B$8))&gt;0,Z$8&gt;INDEX(T_EMP[TERMINATION DATE],ROW($B22)-ROW($B$8))),"NE",IF(NOT(ISERROR(MATCH(Z$8,L_HOLS,0))),"H",IF(INDEX(L_WKNDVAL,WEEKDAY(Z$8,1))=1,"WKND",INDEX(T_LEAVE[LEAVE CODE],SUMPRODUCT(--(T_LEAVE[NAME]=$B22),--(T_LEAVE[DATE]&lt;=Z$8),--(T_LEAVE[DATE]&gt;=Z$8),ROW(T_LEAVE[LEAVE CODE]))-ROW(T_LEAVE[#Headers]))))))),"")</f>
        <v/>
      </c>
      <c r="AA22" s="75" t="str">
        <f>IFERROR(IF(AA$8="","NA",IF(AA$8&lt;INDEX(T_EMP[START DATE],ROW($B22)-ROW($B$8)),"NE",IF(AND(INDEX(T_EMP[TERMINATION DATE],ROW($B22)-ROW($B$8))&gt;0,AA$8&gt;INDEX(T_EMP[TERMINATION DATE],ROW($B22)-ROW($B$8))),"NE",IF(NOT(ISERROR(MATCH(AA$8,L_HOLS,0))),"H",IF(INDEX(L_WKNDVAL,WEEKDAY(AA$8,1))=1,"WKND",INDEX(T_LEAVE[LEAVE CODE],SUMPRODUCT(--(T_LEAVE[NAME]=$B22),--(T_LEAVE[DATE]&lt;=AA$8),--(T_LEAVE[DATE]&gt;=AA$8),ROW(T_LEAVE[LEAVE CODE]))-ROW(T_LEAVE[#Headers]))))))),"")</f>
        <v/>
      </c>
      <c r="AB22" s="75" t="str">
        <f>IFERROR(IF(AB$8="","NA",IF(AB$8&lt;INDEX(T_EMP[START DATE],ROW($B22)-ROW($B$8)),"NE",IF(AND(INDEX(T_EMP[TERMINATION DATE],ROW($B22)-ROW($B$8))&gt;0,AB$8&gt;INDEX(T_EMP[TERMINATION DATE],ROW($B22)-ROW($B$8))),"NE",IF(NOT(ISERROR(MATCH(AB$8,L_HOLS,0))),"H",IF(INDEX(L_WKNDVAL,WEEKDAY(AB$8,1))=1,"WKND",INDEX(T_LEAVE[LEAVE CODE],SUMPRODUCT(--(T_LEAVE[NAME]=$B22),--(T_LEAVE[DATE]&lt;=AB$8),--(T_LEAVE[DATE]&gt;=AB$8),ROW(T_LEAVE[LEAVE CODE]))-ROW(T_LEAVE[#Headers]))))))),"")</f>
        <v/>
      </c>
      <c r="AC22" s="75" t="str">
        <f>IFERROR(IF(AC$8="","NA",IF(AC$8&lt;INDEX(T_EMP[START DATE],ROW($B22)-ROW($B$8)),"NE",IF(AND(INDEX(T_EMP[TERMINATION DATE],ROW($B22)-ROW($B$8))&gt;0,AC$8&gt;INDEX(T_EMP[TERMINATION DATE],ROW($B22)-ROW($B$8))),"NE",IF(NOT(ISERROR(MATCH(AC$8,L_HOLS,0))),"H",IF(INDEX(L_WKNDVAL,WEEKDAY(AC$8,1))=1,"WKND",INDEX(T_LEAVE[LEAVE CODE],SUMPRODUCT(--(T_LEAVE[NAME]=$B22),--(T_LEAVE[DATE]&lt;=AC$8),--(T_LEAVE[DATE]&gt;=AC$8),ROW(T_LEAVE[LEAVE CODE]))-ROW(T_LEAVE[#Headers]))))))),"")</f>
        <v/>
      </c>
      <c r="AD22" s="75" t="str">
        <f>IFERROR(IF(AD$8="","NA",IF(AD$8&lt;INDEX(T_EMP[START DATE],ROW($B22)-ROW($B$8)),"NE",IF(AND(INDEX(T_EMP[TERMINATION DATE],ROW($B22)-ROW($B$8))&gt;0,AD$8&gt;INDEX(T_EMP[TERMINATION DATE],ROW($B22)-ROW($B$8))),"NE",IF(NOT(ISERROR(MATCH(AD$8,L_HOLS,0))),"H",IF(INDEX(L_WKNDVAL,WEEKDAY(AD$8,1))=1,"WKND",INDEX(T_LEAVE[LEAVE CODE],SUMPRODUCT(--(T_LEAVE[NAME]=$B22),--(T_LEAVE[DATE]&lt;=AD$8),--(T_LEAVE[DATE]&gt;=AD$8),ROW(T_LEAVE[LEAVE CODE]))-ROW(T_LEAVE[#Headers]))))))),"")</f>
        <v/>
      </c>
      <c r="AE22" s="75" t="str">
        <f>IFERROR(IF(AE$8="","NA",IF(AE$8&lt;INDEX(T_EMP[START DATE],ROW($B22)-ROW($B$8)),"NE",IF(AND(INDEX(T_EMP[TERMINATION DATE],ROW($B22)-ROW($B$8))&gt;0,AE$8&gt;INDEX(T_EMP[TERMINATION DATE],ROW($B22)-ROW($B$8))),"NE",IF(NOT(ISERROR(MATCH(AE$8,L_HOLS,0))),"H",IF(INDEX(L_WKNDVAL,WEEKDAY(AE$8,1))=1,"WKND",INDEX(T_LEAVE[LEAVE CODE],SUMPRODUCT(--(T_LEAVE[NAME]=$B22),--(T_LEAVE[DATE]&lt;=AE$8),--(T_LEAVE[DATE]&gt;=AE$8),ROW(T_LEAVE[LEAVE CODE]))-ROW(T_LEAVE[#Headers]))))))),"")</f>
        <v/>
      </c>
      <c r="AF22" s="75" t="str">
        <f>IFERROR(IF(AF$8="","NA",IF(AF$8&lt;INDEX(T_EMP[START DATE],ROW($B22)-ROW($B$8)),"NE",IF(AND(INDEX(T_EMP[TERMINATION DATE],ROW($B22)-ROW($B$8))&gt;0,AF$8&gt;INDEX(T_EMP[TERMINATION DATE],ROW($B22)-ROW($B$8))),"NE",IF(NOT(ISERROR(MATCH(AF$8,L_HOLS,0))),"H",IF(INDEX(L_WKNDVAL,WEEKDAY(AF$8,1))=1,"WKND",INDEX(T_LEAVE[LEAVE CODE],SUMPRODUCT(--(T_LEAVE[NAME]=$B22),--(T_LEAVE[DATE]&lt;=AF$8),--(T_LEAVE[DATE]&gt;=AF$8),ROW(T_LEAVE[LEAVE CODE]))-ROW(T_LEAVE[#Headers]))))))),"")</f>
        <v/>
      </c>
      <c r="AG22" s="75" t="str">
        <f>IFERROR(IF(AG$8="","NA",IF(AG$8&lt;INDEX(T_EMP[START DATE],ROW($B22)-ROW($B$8)),"NE",IF(AND(INDEX(T_EMP[TERMINATION DATE],ROW($B22)-ROW($B$8))&gt;0,AG$8&gt;INDEX(T_EMP[TERMINATION DATE],ROW($B22)-ROW($B$8))),"NE",IF(NOT(ISERROR(MATCH(AG$8,L_HOLS,0))),"H",IF(INDEX(L_WKNDVAL,WEEKDAY(AG$8,1))=1,"WKND",INDEX(T_LEAVE[LEAVE CODE],SUMPRODUCT(--(T_LEAVE[NAME]=$B22),--(T_LEAVE[DATE]&lt;=AG$8),--(T_LEAVE[DATE]&gt;=AG$8),ROW(T_LEAVE[LEAVE CODE]))-ROW(T_LEAVE[#Headers]))))))),"")</f>
        <v/>
      </c>
      <c r="AH22" s="75" t="str">
        <f>IFERROR(IF(AH$8="","NA",IF(AH$8&lt;INDEX(T_EMP[START DATE],ROW($B22)-ROW($B$8)),"NE",IF(AND(INDEX(T_EMP[TERMINATION DATE],ROW($B22)-ROW($B$8))&gt;0,AH$8&gt;INDEX(T_EMP[TERMINATION DATE],ROW($B22)-ROW($B$8))),"NE",IF(NOT(ISERROR(MATCH(AH$8,L_HOLS,0))),"H",IF(INDEX(L_WKNDVAL,WEEKDAY(AH$8,1))=1,"WKND",INDEX(T_LEAVE[LEAVE CODE],SUMPRODUCT(--(T_LEAVE[NAME]=$B22),--(T_LEAVE[DATE]&lt;=AH$8),--(T_LEAVE[DATE]&gt;=AH$8),ROW(T_LEAVE[LEAVE CODE]))-ROW(T_LEAVE[#Headers]))))))),"")</f>
        <v/>
      </c>
      <c r="AJ22" s="88">
        <f>IF(OR($B22="",AJ$8=""),"",COUNTIFS($D22:$AH22,AJ$8)*INDEX(T_LEAVETYPE[DAY VALUE],1))</f>
        <v>0</v>
      </c>
      <c r="AK22" s="88">
        <f>IF(OR($B22="",AK$8=""),"",COUNTIFS($D22:$AH22,AK$8)*INDEX(T_LEAVETYPE[DAY VALUE],2))</f>
        <v>0</v>
      </c>
      <c r="AL22" s="88">
        <f>IF(OR($B22="",AL$8=""),"",COUNTIFS($D22:$AH22,AL$8)*INDEX(T_LEAVETYPE[DAY VALUE],3))</f>
        <v>0</v>
      </c>
      <c r="AM22" s="88">
        <f>IF(OR($B22="",AM$8=""),"",COUNTIFS($D22:$AH22,AM$8)*INDEX(T_LEAVETYPE[DAY VALUE],4))</f>
        <v>0</v>
      </c>
      <c r="AN22" s="88">
        <f>IF(OR($B22="",AN$8=""),"",COUNTIFS($D22:$AH22,AN$8)*INDEX(T_LEAVETYPE[DAY VALUE],5))</f>
        <v>0</v>
      </c>
      <c r="AO22" s="88">
        <f>IF(OR($B22="",AO$8=""),"",COUNTIFS($D22:$AH22,AO$8)*INDEX(T_LEAVETYPE[DAY VALUE],6))</f>
        <v>0</v>
      </c>
      <c r="AP22" s="88">
        <f>IF(OR($B22="",AP$8=""),"",COUNTIFS($D22:$AH22,AP$8)*INDEX(T_LEAVETYPE[DAY VALUE],7))</f>
        <v>0</v>
      </c>
      <c r="AQ22" s="88">
        <f>IF(OR($B22="",AQ$8=""),"",COUNTIFS($D22:$AH22,AQ$8)*INDEX(T_LEAVETYPE[DAY VALUE],8))</f>
        <v>0</v>
      </c>
      <c r="AR22" s="89">
        <f t="shared" si="3"/>
        <v>0</v>
      </c>
    </row>
    <row r="23" spans="1:44" x14ac:dyDescent="0.25">
      <c r="A23" s="90">
        <f t="shared" si="4"/>
        <v>15</v>
      </c>
      <c r="B23" s="74" t="str">
        <f>IFERROR(INDEX(T_EMP[NAME],ROW(B23)-ROW($B$8)),"")</f>
        <v>BALICAS, IRISH ANN</v>
      </c>
      <c r="C23" s="91" t="str">
        <f>IFERROR(INDEX(T_EMP[DEPARTMENT],ROW(B23)-ROW($C$8)),"")</f>
        <v>IB SUPPORT</v>
      </c>
      <c r="D23" s="75" t="str">
        <f>IFERROR(IF(D$8="","NA",IF(D$8&lt;INDEX(T_EMP[START DATE],ROW($B23)-ROW($B$8)),"NE",IF(AND(INDEX(T_EMP[TERMINATION DATE],ROW($B23)-ROW($B$8))&gt;0,D$8&gt;INDEX(T_EMP[TERMINATION DATE],ROW($B23)-ROW($B$8))),"NE",IF(NOT(ISERROR(MATCH(D$8,L_HOLS,0))),"H",IF(INDEX(L_WKNDVAL,WEEKDAY(D$8,1))=1,"WKND",INDEX(T_LEAVE[LEAVE CODE],SUMPRODUCT(--(T_LEAVE[NAME]=$B23),--(T_LEAVE[DATE]&lt;=D$8),--(T_LEAVE[DATE]&gt;=D$8),ROW(T_LEAVE[LEAVE CODE]))-ROW(T_LEAVE[#Headers]))))))),"")</f>
        <v>H</v>
      </c>
      <c r="E23" s="75" t="str">
        <f>IFERROR(IF(E$8="","NA",IF(E$8&lt;INDEX(T_EMP[START DATE],ROW($B23)-ROW($B$8)),"NE",IF(AND(INDEX(T_EMP[TERMINATION DATE],ROW($B23)-ROW($B$8))&gt;0,E$8&gt;INDEX(T_EMP[TERMINATION DATE],ROW($B23)-ROW($B$8))),"NE",IF(NOT(ISERROR(MATCH(E$8,L_HOLS,0))),"H",IF(INDEX(L_WKNDVAL,WEEKDAY(E$8,1))=1,"WKND",INDEX(T_LEAVE[LEAVE CODE],SUMPRODUCT(--(T_LEAVE[NAME]=$B23),--(T_LEAVE[DATE]&lt;=E$8),--(T_LEAVE[DATE]&gt;=E$8),ROW(T_LEAVE[LEAVE CODE]))-ROW(T_LEAVE[#Headers]))))))),"")</f>
        <v/>
      </c>
      <c r="F23" s="75" t="str">
        <f>IFERROR(IF(F$8="","NA",IF(F$8&lt;INDEX(T_EMP[START DATE],ROW($B23)-ROW($B$8)),"NE",IF(AND(INDEX(T_EMP[TERMINATION DATE],ROW($B23)-ROW($B$8))&gt;0,F$8&gt;INDEX(T_EMP[TERMINATION DATE],ROW($B23)-ROW($B$8))),"NE",IF(NOT(ISERROR(MATCH(F$8,L_HOLS,0))),"H",IF(INDEX(L_WKNDVAL,WEEKDAY(F$8,1))=1,"WKND",INDEX(T_LEAVE[LEAVE CODE],SUMPRODUCT(--(T_LEAVE[NAME]=$B23),--(T_LEAVE[DATE]&lt;=F$8),--(T_LEAVE[DATE]&gt;=F$8),ROW(T_LEAVE[LEAVE CODE]))-ROW(T_LEAVE[#Headers]))))))),"")</f>
        <v/>
      </c>
      <c r="G23" s="75" t="str">
        <f>IFERROR(IF(G$8="","NA",IF(G$8&lt;INDEX(T_EMP[START DATE],ROW($B23)-ROW($B$8)),"NE",IF(AND(INDEX(T_EMP[TERMINATION DATE],ROW($B23)-ROW($B$8))&gt;0,G$8&gt;INDEX(T_EMP[TERMINATION DATE],ROW($B23)-ROW($B$8))),"NE",IF(NOT(ISERROR(MATCH(G$8,L_HOLS,0))),"H",IF(INDEX(L_WKNDVAL,WEEKDAY(G$8,1))=1,"WKND",INDEX(T_LEAVE[LEAVE CODE],SUMPRODUCT(--(T_LEAVE[NAME]=$B23),--(T_LEAVE[DATE]&lt;=G$8),--(T_LEAVE[DATE]&gt;=G$8),ROW(T_LEAVE[LEAVE CODE]))-ROW(T_LEAVE[#Headers]))))))),"")</f>
        <v/>
      </c>
      <c r="H23" s="75" t="str">
        <f>IFERROR(IF(H$8="","NA",IF(H$8&lt;INDEX(T_EMP[START DATE],ROW($B23)-ROW($B$8)),"NE",IF(AND(INDEX(T_EMP[TERMINATION DATE],ROW($B23)-ROW($B$8))&gt;0,H$8&gt;INDEX(T_EMP[TERMINATION DATE],ROW($B23)-ROW($B$8))),"NE",IF(NOT(ISERROR(MATCH(H$8,L_HOLS,0))),"H",IF(INDEX(L_WKNDVAL,WEEKDAY(H$8,1))=1,"WKND",INDEX(T_LEAVE[LEAVE CODE],SUMPRODUCT(--(T_LEAVE[NAME]=$B23),--(T_LEAVE[DATE]&lt;=H$8),--(T_LEAVE[DATE]&gt;=H$8),ROW(T_LEAVE[LEAVE CODE]))-ROW(T_LEAVE[#Headers]))))))),"")</f>
        <v/>
      </c>
      <c r="I23" s="75" t="str">
        <f>IFERROR(IF(I$8="","NA",IF(I$8&lt;INDEX(T_EMP[START DATE],ROW($B23)-ROW($B$8)),"NE",IF(AND(INDEX(T_EMP[TERMINATION DATE],ROW($B23)-ROW($B$8))&gt;0,I$8&gt;INDEX(T_EMP[TERMINATION DATE],ROW($B23)-ROW($B$8))),"NE",IF(NOT(ISERROR(MATCH(I$8,L_HOLS,0))),"H",IF(INDEX(L_WKNDVAL,WEEKDAY(I$8,1))=1,"WKND",INDEX(T_LEAVE[LEAVE CODE],SUMPRODUCT(--(T_LEAVE[NAME]=$B23),--(T_LEAVE[DATE]&lt;=I$8),--(T_LEAVE[DATE]&gt;=I$8),ROW(T_LEAVE[LEAVE CODE]))-ROW(T_LEAVE[#Headers]))))))),"")</f>
        <v/>
      </c>
      <c r="J23" s="75" t="str">
        <f>IFERROR(IF(J$8="","NA",IF(J$8&lt;INDEX(T_EMP[START DATE],ROW($B23)-ROW($B$8)),"NE",IF(AND(INDEX(T_EMP[TERMINATION DATE],ROW($B23)-ROW($B$8))&gt;0,J$8&gt;INDEX(T_EMP[TERMINATION DATE],ROW($B23)-ROW($B$8))),"NE",IF(NOT(ISERROR(MATCH(J$8,L_HOLS,0))),"H",IF(INDEX(L_WKNDVAL,WEEKDAY(J$8,1))=1,"WKND",INDEX(T_LEAVE[LEAVE CODE],SUMPRODUCT(--(T_LEAVE[NAME]=$B23),--(T_LEAVE[DATE]&lt;=J$8),--(T_LEAVE[DATE]&gt;=J$8),ROW(T_LEAVE[LEAVE CODE]))-ROW(T_LEAVE[#Headers]))))))),"")</f>
        <v/>
      </c>
      <c r="K23" s="75" t="str">
        <f>IFERROR(IF(K$8="","NA",IF(K$8&lt;INDEX(T_EMP[START DATE],ROW($B23)-ROW($B$8)),"NE",IF(AND(INDEX(T_EMP[TERMINATION DATE],ROW($B23)-ROW($B$8))&gt;0,K$8&gt;INDEX(T_EMP[TERMINATION DATE],ROW($B23)-ROW($B$8))),"NE",IF(NOT(ISERROR(MATCH(K$8,L_HOLS,0))),"H",IF(INDEX(L_WKNDVAL,WEEKDAY(K$8,1))=1,"WKND",INDEX(T_LEAVE[LEAVE CODE],SUMPRODUCT(--(T_LEAVE[NAME]=$B23),--(T_LEAVE[DATE]&lt;=K$8),--(T_LEAVE[DATE]&gt;=K$8),ROW(T_LEAVE[LEAVE CODE]))-ROW(T_LEAVE[#Headers]))))))),"")</f>
        <v/>
      </c>
      <c r="L23" s="75" t="str">
        <f>IFERROR(IF(L$8="","NA",IF(L$8&lt;INDEX(T_EMP[START DATE],ROW($B23)-ROW($B$8)),"NE",IF(AND(INDEX(T_EMP[TERMINATION DATE],ROW($B23)-ROW($B$8))&gt;0,L$8&gt;INDEX(T_EMP[TERMINATION DATE],ROW($B23)-ROW($B$8))),"NE",IF(NOT(ISERROR(MATCH(L$8,L_HOLS,0))),"H",IF(INDEX(L_WKNDVAL,WEEKDAY(L$8,1))=1,"WKND",INDEX(T_LEAVE[LEAVE CODE],SUMPRODUCT(--(T_LEAVE[NAME]=$B23),--(T_LEAVE[DATE]&lt;=L$8),--(T_LEAVE[DATE]&gt;=L$8),ROW(T_LEAVE[LEAVE CODE]))-ROW(T_LEAVE[#Headers]))))))),"")</f>
        <v/>
      </c>
      <c r="M23" s="75" t="str">
        <f>IFERROR(IF(M$8="","NA",IF(M$8&lt;INDEX(T_EMP[START DATE],ROW($B23)-ROW($B$8)),"NE",IF(AND(INDEX(T_EMP[TERMINATION DATE],ROW($B23)-ROW($B$8))&gt;0,M$8&gt;INDEX(T_EMP[TERMINATION DATE],ROW($B23)-ROW($B$8))),"NE",IF(NOT(ISERROR(MATCH(M$8,L_HOLS,0))),"H",IF(INDEX(L_WKNDVAL,WEEKDAY(M$8,1))=1,"WKND",INDEX(T_LEAVE[LEAVE CODE],SUMPRODUCT(--(T_LEAVE[NAME]=$B23),--(T_LEAVE[DATE]&lt;=M$8),--(T_LEAVE[DATE]&gt;=M$8),ROW(T_LEAVE[LEAVE CODE]))-ROW(T_LEAVE[#Headers]))))))),"")</f>
        <v/>
      </c>
      <c r="N23" s="75" t="str">
        <f>IFERROR(IF(N$8="","NA",IF(N$8&lt;INDEX(T_EMP[START DATE],ROW($B23)-ROW($B$8)),"NE",IF(AND(INDEX(T_EMP[TERMINATION DATE],ROW($B23)-ROW($B$8))&gt;0,N$8&gt;INDEX(T_EMP[TERMINATION DATE],ROW($B23)-ROW($B$8))),"NE",IF(NOT(ISERROR(MATCH(N$8,L_HOLS,0))),"H",IF(INDEX(L_WKNDVAL,WEEKDAY(N$8,1))=1,"WKND",INDEX(T_LEAVE[LEAVE CODE],SUMPRODUCT(--(T_LEAVE[NAME]=$B23),--(T_LEAVE[DATE]&lt;=N$8),--(T_LEAVE[DATE]&gt;=N$8),ROW(T_LEAVE[LEAVE CODE]))-ROW(T_LEAVE[#Headers]))))))),"")</f>
        <v/>
      </c>
      <c r="O23" s="75" t="str">
        <f>IFERROR(IF(O$8="","NA",IF(O$8&lt;INDEX(T_EMP[START DATE],ROW($B23)-ROW($B$8)),"NE",IF(AND(INDEX(T_EMP[TERMINATION DATE],ROW($B23)-ROW($B$8))&gt;0,O$8&gt;INDEX(T_EMP[TERMINATION DATE],ROW($B23)-ROW($B$8))),"NE",IF(NOT(ISERROR(MATCH(O$8,L_HOLS,0))),"H",IF(INDEX(L_WKNDVAL,WEEKDAY(O$8,1))=1,"WKND",INDEX(T_LEAVE[LEAVE CODE],SUMPRODUCT(--(T_LEAVE[NAME]=$B23),--(T_LEAVE[DATE]&lt;=O$8),--(T_LEAVE[DATE]&gt;=O$8),ROW(T_LEAVE[LEAVE CODE]))-ROW(T_LEAVE[#Headers]))))))),"")</f>
        <v/>
      </c>
      <c r="P23" s="75" t="str">
        <f>IFERROR(IF(P$8="","NA",IF(P$8&lt;INDEX(T_EMP[START DATE],ROW($B23)-ROW($B$8)),"NE",IF(AND(INDEX(T_EMP[TERMINATION DATE],ROW($B23)-ROW($B$8))&gt;0,P$8&gt;INDEX(T_EMP[TERMINATION DATE],ROW($B23)-ROW($B$8))),"NE",IF(NOT(ISERROR(MATCH(P$8,L_HOLS,0))),"H",IF(INDEX(L_WKNDVAL,WEEKDAY(P$8,1))=1,"WKND",INDEX(T_LEAVE[LEAVE CODE],SUMPRODUCT(--(T_LEAVE[NAME]=$B23),--(T_LEAVE[DATE]&lt;=P$8),--(T_LEAVE[DATE]&gt;=P$8),ROW(T_LEAVE[LEAVE CODE]))-ROW(T_LEAVE[#Headers]))))))),"")</f>
        <v>H</v>
      </c>
      <c r="Q23" s="75" t="str">
        <f>IFERROR(IF(Q$8="","NA",IF(Q$8&lt;INDEX(T_EMP[START DATE],ROW($B23)-ROW($B$8)),"NE",IF(AND(INDEX(T_EMP[TERMINATION DATE],ROW($B23)-ROW($B$8))&gt;0,Q$8&gt;INDEX(T_EMP[TERMINATION DATE],ROW($B23)-ROW($B$8))),"NE",IF(NOT(ISERROR(MATCH(Q$8,L_HOLS,0))),"H",IF(INDEX(L_WKNDVAL,WEEKDAY(Q$8,1))=1,"WKND",INDEX(T_LEAVE[LEAVE CODE],SUMPRODUCT(--(T_LEAVE[NAME]=$B23),--(T_LEAVE[DATE]&lt;=Q$8),--(T_LEAVE[DATE]&gt;=Q$8),ROW(T_LEAVE[LEAVE CODE]))-ROW(T_LEAVE[#Headers]))))))),"")</f>
        <v/>
      </c>
      <c r="R23" s="75" t="str">
        <f>IFERROR(IF(R$8="","NA",IF(R$8&lt;INDEX(T_EMP[START DATE],ROW($B23)-ROW($B$8)),"NE",IF(AND(INDEX(T_EMP[TERMINATION DATE],ROW($B23)-ROW($B$8))&gt;0,R$8&gt;INDEX(T_EMP[TERMINATION DATE],ROW($B23)-ROW($B$8))),"NE",IF(NOT(ISERROR(MATCH(R$8,L_HOLS,0))),"H",IF(INDEX(L_WKNDVAL,WEEKDAY(R$8,1))=1,"WKND",INDEX(T_LEAVE[LEAVE CODE],SUMPRODUCT(--(T_LEAVE[NAME]=$B23),--(T_LEAVE[DATE]&lt;=R$8),--(T_LEAVE[DATE]&gt;=R$8),ROW(T_LEAVE[LEAVE CODE]))-ROW(T_LEAVE[#Headers]))))))),"")</f>
        <v/>
      </c>
      <c r="S23" s="75" t="str">
        <f>IFERROR(IF(S$8="","NA",IF(S$8&lt;INDEX(T_EMP[START DATE],ROW($B23)-ROW($B$8)),"NE",IF(AND(INDEX(T_EMP[TERMINATION DATE],ROW($B23)-ROW($B$8))&gt;0,S$8&gt;INDEX(T_EMP[TERMINATION DATE],ROW($B23)-ROW($B$8))),"NE",IF(NOT(ISERROR(MATCH(S$8,L_HOLS,0))),"H",IF(INDEX(L_WKNDVAL,WEEKDAY(S$8,1))=1,"WKND",INDEX(T_LEAVE[LEAVE CODE],SUMPRODUCT(--(T_LEAVE[NAME]=$B23),--(T_LEAVE[DATE]&lt;=S$8),--(T_LEAVE[DATE]&gt;=S$8),ROW(T_LEAVE[LEAVE CODE]))-ROW(T_LEAVE[#Headers]))))))),"")</f>
        <v/>
      </c>
      <c r="T23" s="75" t="str">
        <f>IFERROR(IF(T$8="","NA",IF(T$8&lt;INDEX(T_EMP[START DATE],ROW($B23)-ROW($B$8)),"NE",IF(AND(INDEX(T_EMP[TERMINATION DATE],ROW($B23)-ROW($B$8))&gt;0,T$8&gt;INDEX(T_EMP[TERMINATION DATE],ROW($B23)-ROW($B$8))),"NE",IF(NOT(ISERROR(MATCH(T$8,L_HOLS,0))),"H",IF(INDEX(L_WKNDVAL,WEEKDAY(T$8,1))=1,"WKND",INDEX(T_LEAVE[LEAVE CODE],SUMPRODUCT(--(T_LEAVE[NAME]=$B23),--(T_LEAVE[DATE]&lt;=T$8),--(T_LEAVE[DATE]&gt;=T$8),ROW(T_LEAVE[LEAVE CODE]))-ROW(T_LEAVE[#Headers]))))))),"")</f>
        <v/>
      </c>
      <c r="U23" s="75" t="str">
        <f>IFERROR(IF(U$8="","NA",IF(U$8&lt;INDEX(T_EMP[START DATE],ROW($B23)-ROW($B$8)),"NE",IF(AND(INDEX(T_EMP[TERMINATION DATE],ROW($B23)-ROW($B$8))&gt;0,U$8&gt;INDEX(T_EMP[TERMINATION DATE],ROW($B23)-ROW($B$8))),"NE",IF(NOT(ISERROR(MATCH(U$8,L_HOLS,0))),"H",IF(INDEX(L_WKNDVAL,WEEKDAY(U$8,1))=1,"WKND",INDEX(T_LEAVE[LEAVE CODE],SUMPRODUCT(--(T_LEAVE[NAME]=$B23),--(T_LEAVE[DATE]&lt;=U$8),--(T_LEAVE[DATE]&gt;=U$8),ROW(T_LEAVE[LEAVE CODE]))-ROW(T_LEAVE[#Headers]))))))),"")</f>
        <v/>
      </c>
      <c r="V23" s="75" t="str">
        <f>IFERROR(IF(V$8="","NA",IF(V$8&lt;INDEX(T_EMP[START DATE],ROW($B23)-ROW($B$8)),"NE",IF(AND(INDEX(T_EMP[TERMINATION DATE],ROW($B23)-ROW($B$8))&gt;0,V$8&gt;INDEX(T_EMP[TERMINATION DATE],ROW($B23)-ROW($B$8))),"NE",IF(NOT(ISERROR(MATCH(V$8,L_HOLS,0))),"H",IF(INDEX(L_WKNDVAL,WEEKDAY(V$8,1))=1,"WKND",INDEX(T_LEAVE[LEAVE CODE],SUMPRODUCT(--(T_LEAVE[NAME]=$B23),--(T_LEAVE[DATE]&lt;=V$8),--(T_LEAVE[DATE]&gt;=V$8),ROW(T_LEAVE[LEAVE CODE]))-ROW(T_LEAVE[#Headers]))))))),"")</f>
        <v/>
      </c>
      <c r="W23" s="75" t="str">
        <f>IFERROR(IF(W$8="","NA",IF(W$8&lt;INDEX(T_EMP[START DATE],ROW($B23)-ROW($B$8)),"NE",IF(AND(INDEX(T_EMP[TERMINATION DATE],ROW($B23)-ROW($B$8))&gt;0,W$8&gt;INDEX(T_EMP[TERMINATION DATE],ROW($B23)-ROW($B$8))),"NE",IF(NOT(ISERROR(MATCH(W$8,L_HOLS,0))),"H",IF(INDEX(L_WKNDVAL,WEEKDAY(W$8,1))=1,"WKND",INDEX(T_LEAVE[LEAVE CODE],SUMPRODUCT(--(T_LEAVE[NAME]=$B23),--(T_LEAVE[DATE]&lt;=W$8),--(T_LEAVE[DATE]&gt;=W$8),ROW(T_LEAVE[LEAVE CODE]))-ROW(T_LEAVE[#Headers]))))))),"")</f>
        <v/>
      </c>
      <c r="X23" s="75" t="str">
        <f>IFERROR(IF(X$8="","NA",IF(X$8&lt;INDEX(T_EMP[START DATE],ROW($B23)-ROW($B$8)),"NE",IF(AND(INDEX(T_EMP[TERMINATION DATE],ROW($B23)-ROW($B$8))&gt;0,X$8&gt;INDEX(T_EMP[TERMINATION DATE],ROW($B23)-ROW($B$8))),"NE",IF(NOT(ISERROR(MATCH(X$8,L_HOLS,0))),"H",IF(INDEX(L_WKNDVAL,WEEKDAY(X$8,1))=1,"WKND",INDEX(T_LEAVE[LEAVE CODE],SUMPRODUCT(--(T_LEAVE[NAME]=$B23),--(T_LEAVE[DATE]&lt;=X$8),--(T_LEAVE[DATE]&gt;=X$8),ROW(T_LEAVE[LEAVE CODE]))-ROW(T_LEAVE[#Headers]))))))),"")</f>
        <v/>
      </c>
      <c r="Y23" s="75" t="str">
        <f>IFERROR(IF(Y$8="","NA",IF(Y$8&lt;INDEX(T_EMP[START DATE],ROW($B23)-ROW($B$8)),"NE",IF(AND(INDEX(T_EMP[TERMINATION DATE],ROW($B23)-ROW($B$8))&gt;0,Y$8&gt;INDEX(T_EMP[TERMINATION DATE],ROW($B23)-ROW($B$8))),"NE",IF(NOT(ISERROR(MATCH(Y$8,L_HOLS,0))),"H",IF(INDEX(L_WKNDVAL,WEEKDAY(Y$8,1))=1,"WKND",INDEX(T_LEAVE[LEAVE CODE],SUMPRODUCT(--(T_LEAVE[NAME]=$B23),--(T_LEAVE[DATE]&lt;=Y$8),--(T_LEAVE[DATE]&gt;=Y$8),ROW(T_LEAVE[LEAVE CODE]))-ROW(T_LEAVE[#Headers]))))))),"")</f>
        <v/>
      </c>
      <c r="Z23" s="75" t="str">
        <f>IFERROR(IF(Z$8="","NA",IF(Z$8&lt;INDEX(T_EMP[START DATE],ROW($B23)-ROW($B$8)),"NE",IF(AND(INDEX(T_EMP[TERMINATION DATE],ROW($B23)-ROW($B$8))&gt;0,Z$8&gt;INDEX(T_EMP[TERMINATION DATE],ROW($B23)-ROW($B$8))),"NE",IF(NOT(ISERROR(MATCH(Z$8,L_HOLS,0))),"H",IF(INDEX(L_WKNDVAL,WEEKDAY(Z$8,1))=1,"WKND",INDEX(T_LEAVE[LEAVE CODE],SUMPRODUCT(--(T_LEAVE[NAME]=$B23),--(T_LEAVE[DATE]&lt;=Z$8),--(T_LEAVE[DATE]&gt;=Z$8),ROW(T_LEAVE[LEAVE CODE]))-ROW(T_LEAVE[#Headers]))))))),"")</f>
        <v/>
      </c>
      <c r="AA23" s="75" t="str">
        <f>IFERROR(IF(AA$8="","NA",IF(AA$8&lt;INDEX(T_EMP[START DATE],ROW($B23)-ROW($B$8)),"NE",IF(AND(INDEX(T_EMP[TERMINATION DATE],ROW($B23)-ROW($B$8))&gt;0,AA$8&gt;INDEX(T_EMP[TERMINATION DATE],ROW($B23)-ROW($B$8))),"NE",IF(NOT(ISERROR(MATCH(AA$8,L_HOLS,0))),"H",IF(INDEX(L_WKNDVAL,WEEKDAY(AA$8,1))=1,"WKND",INDEX(T_LEAVE[LEAVE CODE],SUMPRODUCT(--(T_LEAVE[NAME]=$B23),--(T_LEAVE[DATE]&lt;=AA$8),--(T_LEAVE[DATE]&gt;=AA$8),ROW(T_LEAVE[LEAVE CODE]))-ROW(T_LEAVE[#Headers]))))))),"")</f>
        <v/>
      </c>
      <c r="AB23" s="75" t="str">
        <f>IFERROR(IF(AB$8="","NA",IF(AB$8&lt;INDEX(T_EMP[START DATE],ROW($B23)-ROW($B$8)),"NE",IF(AND(INDEX(T_EMP[TERMINATION DATE],ROW($B23)-ROW($B$8))&gt;0,AB$8&gt;INDEX(T_EMP[TERMINATION DATE],ROW($B23)-ROW($B$8))),"NE",IF(NOT(ISERROR(MATCH(AB$8,L_HOLS,0))),"H",IF(INDEX(L_WKNDVAL,WEEKDAY(AB$8,1))=1,"WKND",INDEX(T_LEAVE[LEAVE CODE],SUMPRODUCT(--(T_LEAVE[NAME]=$B23),--(T_LEAVE[DATE]&lt;=AB$8),--(T_LEAVE[DATE]&gt;=AB$8),ROW(T_LEAVE[LEAVE CODE]))-ROW(T_LEAVE[#Headers]))))))),"")</f>
        <v/>
      </c>
      <c r="AC23" s="75" t="str">
        <f>IFERROR(IF(AC$8="","NA",IF(AC$8&lt;INDEX(T_EMP[START DATE],ROW($B23)-ROW($B$8)),"NE",IF(AND(INDEX(T_EMP[TERMINATION DATE],ROW($B23)-ROW($B$8))&gt;0,AC$8&gt;INDEX(T_EMP[TERMINATION DATE],ROW($B23)-ROW($B$8))),"NE",IF(NOT(ISERROR(MATCH(AC$8,L_HOLS,0))),"H",IF(INDEX(L_WKNDVAL,WEEKDAY(AC$8,1))=1,"WKND",INDEX(T_LEAVE[LEAVE CODE],SUMPRODUCT(--(T_LEAVE[NAME]=$B23),--(T_LEAVE[DATE]&lt;=AC$8),--(T_LEAVE[DATE]&gt;=AC$8),ROW(T_LEAVE[LEAVE CODE]))-ROW(T_LEAVE[#Headers]))))))),"")</f>
        <v/>
      </c>
      <c r="AD23" s="75" t="str">
        <f>IFERROR(IF(AD$8="","NA",IF(AD$8&lt;INDEX(T_EMP[START DATE],ROW($B23)-ROW($B$8)),"NE",IF(AND(INDEX(T_EMP[TERMINATION DATE],ROW($B23)-ROW($B$8))&gt;0,AD$8&gt;INDEX(T_EMP[TERMINATION DATE],ROW($B23)-ROW($B$8))),"NE",IF(NOT(ISERROR(MATCH(AD$8,L_HOLS,0))),"H",IF(INDEX(L_WKNDVAL,WEEKDAY(AD$8,1))=1,"WKND",INDEX(T_LEAVE[LEAVE CODE],SUMPRODUCT(--(T_LEAVE[NAME]=$B23),--(T_LEAVE[DATE]&lt;=AD$8),--(T_LEAVE[DATE]&gt;=AD$8),ROW(T_LEAVE[LEAVE CODE]))-ROW(T_LEAVE[#Headers]))))))),"")</f>
        <v/>
      </c>
      <c r="AE23" s="75" t="str">
        <f>IFERROR(IF(AE$8="","NA",IF(AE$8&lt;INDEX(T_EMP[START DATE],ROW($B23)-ROW($B$8)),"NE",IF(AND(INDEX(T_EMP[TERMINATION DATE],ROW($B23)-ROW($B$8))&gt;0,AE$8&gt;INDEX(T_EMP[TERMINATION DATE],ROW($B23)-ROW($B$8))),"NE",IF(NOT(ISERROR(MATCH(AE$8,L_HOLS,0))),"H",IF(INDEX(L_WKNDVAL,WEEKDAY(AE$8,1))=1,"WKND",INDEX(T_LEAVE[LEAVE CODE],SUMPRODUCT(--(T_LEAVE[NAME]=$B23),--(T_LEAVE[DATE]&lt;=AE$8),--(T_LEAVE[DATE]&gt;=AE$8),ROW(T_LEAVE[LEAVE CODE]))-ROW(T_LEAVE[#Headers]))))))),"")</f>
        <v/>
      </c>
      <c r="AF23" s="75" t="str">
        <f>IFERROR(IF(AF$8="","NA",IF(AF$8&lt;INDEX(T_EMP[START DATE],ROW($B23)-ROW($B$8)),"NE",IF(AND(INDEX(T_EMP[TERMINATION DATE],ROW($B23)-ROW($B$8))&gt;0,AF$8&gt;INDEX(T_EMP[TERMINATION DATE],ROW($B23)-ROW($B$8))),"NE",IF(NOT(ISERROR(MATCH(AF$8,L_HOLS,0))),"H",IF(INDEX(L_WKNDVAL,WEEKDAY(AF$8,1))=1,"WKND",INDEX(T_LEAVE[LEAVE CODE],SUMPRODUCT(--(T_LEAVE[NAME]=$B23),--(T_LEAVE[DATE]&lt;=AF$8),--(T_LEAVE[DATE]&gt;=AF$8),ROW(T_LEAVE[LEAVE CODE]))-ROW(T_LEAVE[#Headers]))))))),"")</f>
        <v/>
      </c>
      <c r="AG23" s="75" t="str">
        <f>IFERROR(IF(AG$8="","NA",IF(AG$8&lt;INDEX(T_EMP[START DATE],ROW($B23)-ROW($B$8)),"NE",IF(AND(INDEX(T_EMP[TERMINATION DATE],ROW($B23)-ROW($B$8))&gt;0,AG$8&gt;INDEX(T_EMP[TERMINATION DATE],ROW($B23)-ROW($B$8))),"NE",IF(NOT(ISERROR(MATCH(AG$8,L_HOLS,0))),"H",IF(INDEX(L_WKNDVAL,WEEKDAY(AG$8,1))=1,"WKND",INDEX(T_LEAVE[LEAVE CODE],SUMPRODUCT(--(T_LEAVE[NAME]=$B23),--(T_LEAVE[DATE]&lt;=AG$8),--(T_LEAVE[DATE]&gt;=AG$8),ROW(T_LEAVE[LEAVE CODE]))-ROW(T_LEAVE[#Headers]))))))),"")</f>
        <v/>
      </c>
      <c r="AH23" s="75" t="str">
        <f>IFERROR(IF(AH$8="","NA",IF(AH$8&lt;INDEX(T_EMP[START DATE],ROW($B23)-ROW($B$8)),"NE",IF(AND(INDEX(T_EMP[TERMINATION DATE],ROW($B23)-ROW($B$8))&gt;0,AH$8&gt;INDEX(T_EMP[TERMINATION DATE],ROW($B23)-ROW($B$8))),"NE",IF(NOT(ISERROR(MATCH(AH$8,L_HOLS,0))),"H",IF(INDEX(L_WKNDVAL,WEEKDAY(AH$8,1))=1,"WKND",INDEX(T_LEAVE[LEAVE CODE],SUMPRODUCT(--(T_LEAVE[NAME]=$B23),--(T_LEAVE[DATE]&lt;=AH$8),--(T_LEAVE[DATE]&gt;=AH$8),ROW(T_LEAVE[LEAVE CODE]))-ROW(T_LEAVE[#Headers]))))))),"")</f>
        <v/>
      </c>
      <c r="AJ23" s="88">
        <f>IF(OR($B23="",AJ$8=""),"",COUNTIFS($D23:$AH23,AJ$8)*INDEX(T_LEAVETYPE[DAY VALUE],1))</f>
        <v>0</v>
      </c>
      <c r="AK23" s="88">
        <f>IF(OR($B23="",AK$8=""),"",COUNTIFS($D23:$AH23,AK$8)*INDEX(T_LEAVETYPE[DAY VALUE],2))</f>
        <v>0</v>
      </c>
      <c r="AL23" s="88">
        <f>IF(OR($B23="",AL$8=""),"",COUNTIFS($D23:$AH23,AL$8)*INDEX(T_LEAVETYPE[DAY VALUE],3))</f>
        <v>0</v>
      </c>
      <c r="AM23" s="88">
        <f>IF(OR($B23="",AM$8=""),"",COUNTIFS($D23:$AH23,AM$8)*INDEX(T_LEAVETYPE[DAY VALUE],4))</f>
        <v>0</v>
      </c>
      <c r="AN23" s="88">
        <f>IF(OR($B23="",AN$8=""),"",COUNTIFS($D23:$AH23,AN$8)*INDEX(T_LEAVETYPE[DAY VALUE],5))</f>
        <v>0</v>
      </c>
      <c r="AO23" s="88">
        <f>IF(OR($B23="",AO$8=""),"",COUNTIFS($D23:$AH23,AO$8)*INDEX(T_LEAVETYPE[DAY VALUE],6))</f>
        <v>0</v>
      </c>
      <c r="AP23" s="88">
        <f>IF(OR($B23="",AP$8=""),"",COUNTIFS($D23:$AH23,AP$8)*INDEX(T_LEAVETYPE[DAY VALUE],7))</f>
        <v>0</v>
      </c>
      <c r="AQ23" s="88">
        <f>IF(OR($B23="",AQ$8=""),"",COUNTIFS($D23:$AH23,AQ$8)*INDEX(T_LEAVETYPE[DAY VALUE],8))</f>
        <v>0</v>
      </c>
      <c r="AR23" s="89">
        <f t="shared" si="3"/>
        <v>0</v>
      </c>
    </row>
    <row r="24" spans="1:44" x14ac:dyDescent="0.25">
      <c r="A24" s="90">
        <f t="shared" si="4"/>
        <v>16</v>
      </c>
      <c r="B24" s="74" t="str">
        <f>IFERROR(INDEX(T_EMP[NAME],ROW(B24)-ROW($B$8)),"")</f>
        <v>APOLINARIO, JACQUELINE</v>
      </c>
      <c r="C24" s="91" t="str">
        <f>IFERROR(INDEX(T_EMP[DEPARTMENT],ROW(B24)-ROW($C$8)),"")</f>
        <v>IB SUPPORT</v>
      </c>
      <c r="D24" s="75" t="str">
        <f>IFERROR(IF(D$8="","NA",IF(D$8&lt;INDEX(T_EMP[START DATE],ROW($B24)-ROW($B$8)),"NE",IF(AND(INDEX(T_EMP[TERMINATION DATE],ROW($B24)-ROW($B$8))&gt;0,D$8&gt;INDEX(T_EMP[TERMINATION DATE],ROW($B24)-ROW($B$8))),"NE",IF(NOT(ISERROR(MATCH(D$8,L_HOLS,0))),"H",IF(INDEX(L_WKNDVAL,WEEKDAY(D$8,1))=1,"WKND",INDEX(T_LEAVE[LEAVE CODE],SUMPRODUCT(--(T_LEAVE[NAME]=$B24),--(T_LEAVE[DATE]&lt;=D$8),--(T_LEAVE[DATE]&gt;=D$8),ROW(T_LEAVE[LEAVE CODE]))-ROW(T_LEAVE[#Headers]))))))),"")</f>
        <v>H</v>
      </c>
      <c r="E24" s="75" t="str">
        <f>IFERROR(IF(E$8="","NA",IF(E$8&lt;INDEX(T_EMP[START DATE],ROW($B24)-ROW($B$8)),"NE",IF(AND(INDEX(T_EMP[TERMINATION DATE],ROW($B24)-ROW($B$8))&gt;0,E$8&gt;INDEX(T_EMP[TERMINATION DATE],ROW($B24)-ROW($B$8))),"NE",IF(NOT(ISERROR(MATCH(E$8,L_HOLS,0))),"H",IF(INDEX(L_WKNDVAL,WEEKDAY(E$8,1))=1,"WKND",INDEX(T_LEAVE[LEAVE CODE],SUMPRODUCT(--(T_LEAVE[NAME]=$B24),--(T_LEAVE[DATE]&lt;=E$8),--(T_LEAVE[DATE]&gt;=E$8),ROW(T_LEAVE[LEAVE CODE]))-ROW(T_LEAVE[#Headers]))))))),"")</f>
        <v/>
      </c>
      <c r="F24" s="75" t="str">
        <f>IFERROR(IF(F$8="","NA",IF(F$8&lt;INDEX(T_EMP[START DATE],ROW($B24)-ROW($B$8)),"NE",IF(AND(INDEX(T_EMP[TERMINATION DATE],ROW($B24)-ROW($B$8))&gt;0,F$8&gt;INDEX(T_EMP[TERMINATION DATE],ROW($B24)-ROW($B$8))),"NE",IF(NOT(ISERROR(MATCH(F$8,L_HOLS,0))),"H",IF(INDEX(L_WKNDVAL,WEEKDAY(F$8,1))=1,"WKND",INDEX(T_LEAVE[LEAVE CODE],SUMPRODUCT(--(T_LEAVE[NAME]=$B24),--(T_LEAVE[DATE]&lt;=F$8),--(T_LEAVE[DATE]&gt;=F$8),ROW(T_LEAVE[LEAVE CODE]))-ROW(T_LEAVE[#Headers]))))))),"")</f>
        <v/>
      </c>
      <c r="G24" s="75" t="str">
        <f>IFERROR(IF(G$8="","NA",IF(G$8&lt;INDEX(T_EMP[START DATE],ROW($B24)-ROW($B$8)),"NE",IF(AND(INDEX(T_EMP[TERMINATION DATE],ROW($B24)-ROW($B$8))&gt;0,G$8&gt;INDEX(T_EMP[TERMINATION DATE],ROW($B24)-ROW($B$8))),"NE",IF(NOT(ISERROR(MATCH(G$8,L_HOLS,0))),"H",IF(INDEX(L_WKNDVAL,WEEKDAY(G$8,1))=1,"WKND",INDEX(T_LEAVE[LEAVE CODE],SUMPRODUCT(--(T_LEAVE[NAME]=$B24),--(T_LEAVE[DATE]&lt;=G$8),--(T_LEAVE[DATE]&gt;=G$8),ROW(T_LEAVE[LEAVE CODE]))-ROW(T_LEAVE[#Headers]))))))),"")</f>
        <v/>
      </c>
      <c r="H24" s="75" t="str">
        <f>IFERROR(IF(H$8="","NA",IF(H$8&lt;INDEX(T_EMP[START DATE],ROW($B24)-ROW($B$8)),"NE",IF(AND(INDEX(T_EMP[TERMINATION DATE],ROW($B24)-ROW($B$8))&gt;0,H$8&gt;INDEX(T_EMP[TERMINATION DATE],ROW($B24)-ROW($B$8))),"NE",IF(NOT(ISERROR(MATCH(H$8,L_HOLS,0))),"H",IF(INDEX(L_WKNDVAL,WEEKDAY(H$8,1))=1,"WKND",INDEX(T_LEAVE[LEAVE CODE],SUMPRODUCT(--(T_LEAVE[NAME]=$B24),--(T_LEAVE[DATE]&lt;=H$8),--(T_LEAVE[DATE]&gt;=H$8),ROW(T_LEAVE[LEAVE CODE]))-ROW(T_LEAVE[#Headers]))))))),"")</f>
        <v/>
      </c>
      <c r="I24" s="75" t="str">
        <f>IFERROR(IF(I$8="","NA",IF(I$8&lt;INDEX(T_EMP[START DATE],ROW($B24)-ROW($B$8)),"NE",IF(AND(INDEX(T_EMP[TERMINATION DATE],ROW($B24)-ROW($B$8))&gt;0,I$8&gt;INDEX(T_EMP[TERMINATION DATE],ROW($B24)-ROW($B$8))),"NE",IF(NOT(ISERROR(MATCH(I$8,L_HOLS,0))),"H",IF(INDEX(L_WKNDVAL,WEEKDAY(I$8,1))=1,"WKND",INDEX(T_LEAVE[LEAVE CODE],SUMPRODUCT(--(T_LEAVE[NAME]=$B24),--(T_LEAVE[DATE]&lt;=I$8),--(T_LEAVE[DATE]&gt;=I$8),ROW(T_LEAVE[LEAVE CODE]))-ROW(T_LEAVE[#Headers]))))))),"")</f>
        <v/>
      </c>
      <c r="J24" s="75" t="str">
        <f>IFERROR(IF(J$8="","NA",IF(J$8&lt;INDEX(T_EMP[START DATE],ROW($B24)-ROW($B$8)),"NE",IF(AND(INDEX(T_EMP[TERMINATION DATE],ROW($B24)-ROW($B$8))&gt;0,J$8&gt;INDEX(T_EMP[TERMINATION DATE],ROW($B24)-ROW($B$8))),"NE",IF(NOT(ISERROR(MATCH(J$8,L_HOLS,0))),"H",IF(INDEX(L_WKNDVAL,WEEKDAY(J$8,1))=1,"WKND",INDEX(T_LEAVE[LEAVE CODE],SUMPRODUCT(--(T_LEAVE[NAME]=$B24),--(T_LEAVE[DATE]&lt;=J$8),--(T_LEAVE[DATE]&gt;=J$8),ROW(T_LEAVE[LEAVE CODE]))-ROW(T_LEAVE[#Headers]))))))),"")</f>
        <v/>
      </c>
      <c r="K24" s="75" t="str">
        <f>IFERROR(IF(K$8="","NA",IF(K$8&lt;INDEX(T_EMP[START DATE],ROW($B24)-ROW($B$8)),"NE",IF(AND(INDEX(T_EMP[TERMINATION DATE],ROW($B24)-ROW($B$8))&gt;0,K$8&gt;INDEX(T_EMP[TERMINATION DATE],ROW($B24)-ROW($B$8))),"NE",IF(NOT(ISERROR(MATCH(K$8,L_HOLS,0))),"H",IF(INDEX(L_WKNDVAL,WEEKDAY(K$8,1))=1,"WKND",INDEX(T_LEAVE[LEAVE CODE],SUMPRODUCT(--(T_LEAVE[NAME]=$B24),--(T_LEAVE[DATE]&lt;=K$8),--(T_LEAVE[DATE]&gt;=K$8),ROW(T_LEAVE[LEAVE CODE]))-ROW(T_LEAVE[#Headers]))))))),"")</f>
        <v/>
      </c>
      <c r="L24" s="75" t="str">
        <f>IFERROR(IF(L$8="","NA",IF(L$8&lt;INDEX(T_EMP[START DATE],ROW($B24)-ROW($B$8)),"NE",IF(AND(INDEX(T_EMP[TERMINATION DATE],ROW($B24)-ROW($B$8))&gt;0,L$8&gt;INDEX(T_EMP[TERMINATION DATE],ROW($B24)-ROW($B$8))),"NE",IF(NOT(ISERROR(MATCH(L$8,L_HOLS,0))),"H",IF(INDEX(L_WKNDVAL,WEEKDAY(L$8,1))=1,"WKND",INDEX(T_LEAVE[LEAVE CODE],SUMPRODUCT(--(T_LEAVE[NAME]=$B24),--(T_LEAVE[DATE]&lt;=L$8),--(T_LEAVE[DATE]&gt;=L$8),ROW(T_LEAVE[LEAVE CODE]))-ROW(T_LEAVE[#Headers]))))))),"")</f>
        <v/>
      </c>
      <c r="M24" s="75" t="str">
        <f>IFERROR(IF(M$8="","NA",IF(M$8&lt;INDEX(T_EMP[START DATE],ROW($B24)-ROW($B$8)),"NE",IF(AND(INDEX(T_EMP[TERMINATION DATE],ROW($B24)-ROW($B$8))&gt;0,M$8&gt;INDEX(T_EMP[TERMINATION DATE],ROW($B24)-ROW($B$8))),"NE",IF(NOT(ISERROR(MATCH(M$8,L_HOLS,0))),"H",IF(INDEX(L_WKNDVAL,WEEKDAY(M$8,1))=1,"WKND",INDEX(T_LEAVE[LEAVE CODE],SUMPRODUCT(--(T_LEAVE[NAME]=$B24),--(T_LEAVE[DATE]&lt;=M$8),--(T_LEAVE[DATE]&gt;=M$8),ROW(T_LEAVE[LEAVE CODE]))-ROW(T_LEAVE[#Headers]))))))),"")</f>
        <v/>
      </c>
      <c r="N24" s="75" t="str">
        <f>IFERROR(IF(N$8="","NA",IF(N$8&lt;INDEX(T_EMP[START DATE],ROW($B24)-ROW($B$8)),"NE",IF(AND(INDEX(T_EMP[TERMINATION DATE],ROW($B24)-ROW($B$8))&gt;0,N$8&gt;INDEX(T_EMP[TERMINATION DATE],ROW($B24)-ROW($B$8))),"NE",IF(NOT(ISERROR(MATCH(N$8,L_HOLS,0))),"H",IF(INDEX(L_WKNDVAL,WEEKDAY(N$8,1))=1,"WKND",INDEX(T_LEAVE[LEAVE CODE],SUMPRODUCT(--(T_LEAVE[NAME]=$B24),--(T_LEAVE[DATE]&lt;=N$8),--(T_LEAVE[DATE]&gt;=N$8),ROW(T_LEAVE[LEAVE CODE]))-ROW(T_LEAVE[#Headers]))))))),"")</f>
        <v/>
      </c>
      <c r="O24" s="75" t="str">
        <f>IFERROR(IF(O$8="","NA",IF(O$8&lt;INDEX(T_EMP[START DATE],ROW($B24)-ROW($B$8)),"NE",IF(AND(INDEX(T_EMP[TERMINATION DATE],ROW($B24)-ROW($B$8))&gt;0,O$8&gt;INDEX(T_EMP[TERMINATION DATE],ROW($B24)-ROW($B$8))),"NE",IF(NOT(ISERROR(MATCH(O$8,L_HOLS,0))),"H",IF(INDEX(L_WKNDVAL,WEEKDAY(O$8,1))=1,"WKND",INDEX(T_LEAVE[LEAVE CODE],SUMPRODUCT(--(T_LEAVE[NAME]=$B24),--(T_LEAVE[DATE]&lt;=O$8),--(T_LEAVE[DATE]&gt;=O$8),ROW(T_LEAVE[LEAVE CODE]))-ROW(T_LEAVE[#Headers]))))))),"")</f>
        <v/>
      </c>
      <c r="P24" s="75" t="str">
        <f>IFERROR(IF(P$8="","NA",IF(P$8&lt;INDEX(T_EMP[START DATE],ROW($B24)-ROW($B$8)),"NE",IF(AND(INDEX(T_EMP[TERMINATION DATE],ROW($B24)-ROW($B$8))&gt;0,P$8&gt;INDEX(T_EMP[TERMINATION DATE],ROW($B24)-ROW($B$8))),"NE",IF(NOT(ISERROR(MATCH(P$8,L_HOLS,0))),"H",IF(INDEX(L_WKNDVAL,WEEKDAY(P$8,1))=1,"WKND",INDEX(T_LEAVE[LEAVE CODE],SUMPRODUCT(--(T_LEAVE[NAME]=$B24),--(T_LEAVE[DATE]&lt;=P$8),--(T_LEAVE[DATE]&gt;=P$8),ROW(T_LEAVE[LEAVE CODE]))-ROW(T_LEAVE[#Headers]))))))),"")</f>
        <v>H</v>
      </c>
      <c r="Q24" s="75" t="str">
        <f>IFERROR(IF(Q$8="","NA",IF(Q$8&lt;INDEX(T_EMP[START DATE],ROW($B24)-ROW($B$8)),"NE",IF(AND(INDEX(T_EMP[TERMINATION DATE],ROW($B24)-ROW($B$8))&gt;0,Q$8&gt;INDEX(T_EMP[TERMINATION DATE],ROW($B24)-ROW($B$8))),"NE",IF(NOT(ISERROR(MATCH(Q$8,L_HOLS,0))),"H",IF(INDEX(L_WKNDVAL,WEEKDAY(Q$8,1))=1,"WKND",INDEX(T_LEAVE[LEAVE CODE],SUMPRODUCT(--(T_LEAVE[NAME]=$B24),--(T_LEAVE[DATE]&lt;=Q$8),--(T_LEAVE[DATE]&gt;=Q$8),ROW(T_LEAVE[LEAVE CODE]))-ROW(T_LEAVE[#Headers]))))))),"")</f>
        <v/>
      </c>
      <c r="R24" s="75" t="str">
        <f>IFERROR(IF(R$8="","NA",IF(R$8&lt;INDEX(T_EMP[START DATE],ROW($B24)-ROW($B$8)),"NE",IF(AND(INDEX(T_EMP[TERMINATION DATE],ROW($B24)-ROW($B$8))&gt;0,R$8&gt;INDEX(T_EMP[TERMINATION DATE],ROW($B24)-ROW($B$8))),"NE",IF(NOT(ISERROR(MATCH(R$8,L_HOLS,0))),"H",IF(INDEX(L_WKNDVAL,WEEKDAY(R$8,1))=1,"WKND",INDEX(T_LEAVE[LEAVE CODE],SUMPRODUCT(--(T_LEAVE[NAME]=$B24),--(T_LEAVE[DATE]&lt;=R$8),--(T_LEAVE[DATE]&gt;=R$8),ROW(T_LEAVE[LEAVE CODE]))-ROW(T_LEAVE[#Headers]))))))),"")</f>
        <v/>
      </c>
      <c r="S24" s="75" t="str">
        <f>IFERROR(IF(S$8="","NA",IF(S$8&lt;INDEX(T_EMP[START DATE],ROW($B24)-ROW($B$8)),"NE",IF(AND(INDEX(T_EMP[TERMINATION DATE],ROW($B24)-ROW($B$8))&gt;0,S$8&gt;INDEX(T_EMP[TERMINATION DATE],ROW($B24)-ROW($B$8))),"NE",IF(NOT(ISERROR(MATCH(S$8,L_HOLS,0))),"H",IF(INDEX(L_WKNDVAL,WEEKDAY(S$8,1))=1,"WKND",INDEX(T_LEAVE[LEAVE CODE],SUMPRODUCT(--(T_LEAVE[NAME]=$B24),--(T_LEAVE[DATE]&lt;=S$8),--(T_LEAVE[DATE]&gt;=S$8),ROW(T_LEAVE[LEAVE CODE]))-ROW(T_LEAVE[#Headers]))))))),"")</f>
        <v/>
      </c>
      <c r="T24" s="75" t="str">
        <f>IFERROR(IF(T$8="","NA",IF(T$8&lt;INDEX(T_EMP[START DATE],ROW($B24)-ROW($B$8)),"NE",IF(AND(INDEX(T_EMP[TERMINATION DATE],ROW($B24)-ROW($B$8))&gt;0,T$8&gt;INDEX(T_EMP[TERMINATION DATE],ROW($B24)-ROW($B$8))),"NE",IF(NOT(ISERROR(MATCH(T$8,L_HOLS,0))),"H",IF(INDEX(L_WKNDVAL,WEEKDAY(T$8,1))=1,"WKND",INDEX(T_LEAVE[LEAVE CODE],SUMPRODUCT(--(T_LEAVE[NAME]=$B24),--(T_LEAVE[DATE]&lt;=T$8),--(T_LEAVE[DATE]&gt;=T$8),ROW(T_LEAVE[LEAVE CODE]))-ROW(T_LEAVE[#Headers]))))))),"")</f>
        <v/>
      </c>
      <c r="U24" s="75" t="str">
        <f>IFERROR(IF(U$8="","NA",IF(U$8&lt;INDEX(T_EMP[START DATE],ROW($B24)-ROW($B$8)),"NE",IF(AND(INDEX(T_EMP[TERMINATION DATE],ROW($B24)-ROW($B$8))&gt;0,U$8&gt;INDEX(T_EMP[TERMINATION DATE],ROW($B24)-ROW($B$8))),"NE",IF(NOT(ISERROR(MATCH(U$8,L_HOLS,0))),"H",IF(INDEX(L_WKNDVAL,WEEKDAY(U$8,1))=1,"WKND",INDEX(T_LEAVE[LEAVE CODE],SUMPRODUCT(--(T_LEAVE[NAME]=$B24),--(T_LEAVE[DATE]&lt;=U$8),--(T_LEAVE[DATE]&gt;=U$8),ROW(T_LEAVE[LEAVE CODE]))-ROW(T_LEAVE[#Headers]))))))),"")</f>
        <v/>
      </c>
      <c r="V24" s="75" t="str">
        <f>IFERROR(IF(V$8="","NA",IF(V$8&lt;INDEX(T_EMP[START DATE],ROW($B24)-ROW($B$8)),"NE",IF(AND(INDEX(T_EMP[TERMINATION DATE],ROW($B24)-ROW($B$8))&gt;0,V$8&gt;INDEX(T_EMP[TERMINATION DATE],ROW($B24)-ROW($B$8))),"NE",IF(NOT(ISERROR(MATCH(V$8,L_HOLS,0))),"H",IF(INDEX(L_WKNDVAL,WEEKDAY(V$8,1))=1,"WKND",INDEX(T_LEAVE[LEAVE CODE],SUMPRODUCT(--(T_LEAVE[NAME]=$B24),--(T_LEAVE[DATE]&lt;=V$8),--(T_LEAVE[DATE]&gt;=V$8),ROW(T_LEAVE[LEAVE CODE]))-ROW(T_LEAVE[#Headers]))))))),"")</f>
        <v/>
      </c>
      <c r="W24" s="75" t="str">
        <f>IFERROR(IF(W$8="","NA",IF(W$8&lt;INDEX(T_EMP[START DATE],ROW($B24)-ROW($B$8)),"NE",IF(AND(INDEX(T_EMP[TERMINATION DATE],ROW($B24)-ROW($B$8))&gt;0,W$8&gt;INDEX(T_EMP[TERMINATION DATE],ROW($B24)-ROW($B$8))),"NE",IF(NOT(ISERROR(MATCH(W$8,L_HOLS,0))),"H",IF(INDEX(L_WKNDVAL,WEEKDAY(W$8,1))=1,"WKND",INDEX(T_LEAVE[LEAVE CODE],SUMPRODUCT(--(T_LEAVE[NAME]=$B24),--(T_LEAVE[DATE]&lt;=W$8),--(T_LEAVE[DATE]&gt;=W$8),ROW(T_LEAVE[LEAVE CODE]))-ROW(T_LEAVE[#Headers]))))))),"")</f>
        <v/>
      </c>
      <c r="X24" s="75" t="str">
        <f>IFERROR(IF(X$8="","NA",IF(X$8&lt;INDEX(T_EMP[START DATE],ROW($B24)-ROW($B$8)),"NE",IF(AND(INDEX(T_EMP[TERMINATION DATE],ROW($B24)-ROW($B$8))&gt;0,X$8&gt;INDEX(T_EMP[TERMINATION DATE],ROW($B24)-ROW($B$8))),"NE",IF(NOT(ISERROR(MATCH(X$8,L_HOLS,0))),"H",IF(INDEX(L_WKNDVAL,WEEKDAY(X$8,1))=1,"WKND",INDEX(T_LEAVE[LEAVE CODE],SUMPRODUCT(--(T_LEAVE[NAME]=$B24),--(T_LEAVE[DATE]&lt;=X$8),--(T_LEAVE[DATE]&gt;=X$8),ROW(T_LEAVE[LEAVE CODE]))-ROW(T_LEAVE[#Headers]))))))),"")</f>
        <v/>
      </c>
      <c r="Y24" s="75" t="str">
        <f>IFERROR(IF(Y$8="","NA",IF(Y$8&lt;INDEX(T_EMP[START DATE],ROW($B24)-ROW($B$8)),"NE",IF(AND(INDEX(T_EMP[TERMINATION DATE],ROW($B24)-ROW($B$8))&gt;0,Y$8&gt;INDEX(T_EMP[TERMINATION DATE],ROW($B24)-ROW($B$8))),"NE",IF(NOT(ISERROR(MATCH(Y$8,L_HOLS,0))),"H",IF(INDEX(L_WKNDVAL,WEEKDAY(Y$8,1))=1,"WKND",INDEX(T_LEAVE[LEAVE CODE],SUMPRODUCT(--(T_LEAVE[NAME]=$B24),--(T_LEAVE[DATE]&lt;=Y$8),--(T_LEAVE[DATE]&gt;=Y$8),ROW(T_LEAVE[LEAVE CODE]))-ROW(T_LEAVE[#Headers]))))))),"")</f>
        <v/>
      </c>
      <c r="Z24" s="75" t="str">
        <f>IFERROR(IF(Z$8="","NA",IF(Z$8&lt;INDEX(T_EMP[START DATE],ROW($B24)-ROW($B$8)),"NE",IF(AND(INDEX(T_EMP[TERMINATION DATE],ROW($B24)-ROW($B$8))&gt;0,Z$8&gt;INDEX(T_EMP[TERMINATION DATE],ROW($B24)-ROW($B$8))),"NE",IF(NOT(ISERROR(MATCH(Z$8,L_HOLS,0))),"H",IF(INDEX(L_WKNDVAL,WEEKDAY(Z$8,1))=1,"WKND",INDEX(T_LEAVE[LEAVE CODE],SUMPRODUCT(--(T_LEAVE[NAME]=$B24),--(T_LEAVE[DATE]&lt;=Z$8),--(T_LEAVE[DATE]&gt;=Z$8),ROW(T_LEAVE[LEAVE CODE]))-ROW(T_LEAVE[#Headers]))))))),"")</f>
        <v/>
      </c>
      <c r="AA24" s="75" t="str">
        <f>IFERROR(IF(AA$8="","NA",IF(AA$8&lt;INDEX(T_EMP[START DATE],ROW($B24)-ROW($B$8)),"NE",IF(AND(INDEX(T_EMP[TERMINATION DATE],ROW($B24)-ROW($B$8))&gt;0,AA$8&gt;INDEX(T_EMP[TERMINATION DATE],ROW($B24)-ROW($B$8))),"NE",IF(NOT(ISERROR(MATCH(AA$8,L_HOLS,0))),"H",IF(INDEX(L_WKNDVAL,WEEKDAY(AA$8,1))=1,"WKND",INDEX(T_LEAVE[LEAVE CODE],SUMPRODUCT(--(T_LEAVE[NAME]=$B24),--(T_LEAVE[DATE]&lt;=AA$8),--(T_LEAVE[DATE]&gt;=AA$8),ROW(T_LEAVE[LEAVE CODE]))-ROW(T_LEAVE[#Headers]))))))),"")</f>
        <v/>
      </c>
      <c r="AB24" s="75" t="str">
        <f>IFERROR(IF(AB$8="","NA",IF(AB$8&lt;INDEX(T_EMP[START DATE],ROW($B24)-ROW($B$8)),"NE",IF(AND(INDEX(T_EMP[TERMINATION DATE],ROW($B24)-ROW($B$8))&gt;0,AB$8&gt;INDEX(T_EMP[TERMINATION DATE],ROW($B24)-ROW($B$8))),"NE",IF(NOT(ISERROR(MATCH(AB$8,L_HOLS,0))),"H",IF(INDEX(L_WKNDVAL,WEEKDAY(AB$8,1))=1,"WKND",INDEX(T_LEAVE[LEAVE CODE],SUMPRODUCT(--(T_LEAVE[NAME]=$B24),--(T_LEAVE[DATE]&lt;=AB$8),--(T_LEAVE[DATE]&gt;=AB$8),ROW(T_LEAVE[LEAVE CODE]))-ROW(T_LEAVE[#Headers]))))))),"")</f>
        <v/>
      </c>
      <c r="AC24" s="75" t="str">
        <f>IFERROR(IF(AC$8="","NA",IF(AC$8&lt;INDEX(T_EMP[START DATE],ROW($B24)-ROW($B$8)),"NE",IF(AND(INDEX(T_EMP[TERMINATION DATE],ROW($B24)-ROW($B$8))&gt;0,AC$8&gt;INDEX(T_EMP[TERMINATION DATE],ROW($B24)-ROW($B$8))),"NE",IF(NOT(ISERROR(MATCH(AC$8,L_HOLS,0))),"H",IF(INDEX(L_WKNDVAL,WEEKDAY(AC$8,1))=1,"WKND",INDEX(T_LEAVE[LEAVE CODE],SUMPRODUCT(--(T_LEAVE[NAME]=$B24),--(T_LEAVE[DATE]&lt;=AC$8),--(T_LEAVE[DATE]&gt;=AC$8),ROW(T_LEAVE[LEAVE CODE]))-ROW(T_LEAVE[#Headers]))))))),"")</f>
        <v/>
      </c>
      <c r="AD24" s="75" t="str">
        <f>IFERROR(IF(AD$8="","NA",IF(AD$8&lt;INDEX(T_EMP[START DATE],ROW($B24)-ROW($B$8)),"NE",IF(AND(INDEX(T_EMP[TERMINATION DATE],ROW($B24)-ROW($B$8))&gt;0,AD$8&gt;INDEX(T_EMP[TERMINATION DATE],ROW($B24)-ROW($B$8))),"NE",IF(NOT(ISERROR(MATCH(AD$8,L_HOLS,0))),"H",IF(INDEX(L_WKNDVAL,WEEKDAY(AD$8,1))=1,"WKND",INDEX(T_LEAVE[LEAVE CODE],SUMPRODUCT(--(T_LEAVE[NAME]=$B24),--(T_LEAVE[DATE]&lt;=AD$8),--(T_LEAVE[DATE]&gt;=AD$8),ROW(T_LEAVE[LEAVE CODE]))-ROW(T_LEAVE[#Headers]))))))),"")</f>
        <v/>
      </c>
      <c r="AE24" s="75" t="str">
        <f>IFERROR(IF(AE$8="","NA",IF(AE$8&lt;INDEX(T_EMP[START DATE],ROW($B24)-ROW($B$8)),"NE",IF(AND(INDEX(T_EMP[TERMINATION DATE],ROW($B24)-ROW($B$8))&gt;0,AE$8&gt;INDEX(T_EMP[TERMINATION DATE],ROW($B24)-ROW($B$8))),"NE",IF(NOT(ISERROR(MATCH(AE$8,L_HOLS,0))),"H",IF(INDEX(L_WKNDVAL,WEEKDAY(AE$8,1))=1,"WKND",INDEX(T_LEAVE[LEAVE CODE],SUMPRODUCT(--(T_LEAVE[NAME]=$B24),--(T_LEAVE[DATE]&lt;=AE$8),--(T_LEAVE[DATE]&gt;=AE$8),ROW(T_LEAVE[LEAVE CODE]))-ROW(T_LEAVE[#Headers]))))))),"")</f>
        <v/>
      </c>
      <c r="AF24" s="75" t="str">
        <f>IFERROR(IF(AF$8="","NA",IF(AF$8&lt;INDEX(T_EMP[START DATE],ROW($B24)-ROW($B$8)),"NE",IF(AND(INDEX(T_EMP[TERMINATION DATE],ROW($B24)-ROW($B$8))&gt;0,AF$8&gt;INDEX(T_EMP[TERMINATION DATE],ROW($B24)-ROW($B$8))),"NE",IF(NOT(ISERROR(MATCH(AF$8,L_HOLS,0))),"H",IF(INDEX(L_WKNDVAL,WEEKDAY(AF$8,1))=1,"WKND",INDEX(T_LEAVE[LEAVE CODE],SUMPRODUCT(--(T_LEAVE[NAME]=$B24),--(T_LEAVE[DATE]&lt;=AF$8),--(T_LEAVE[DATE]&gt;=AF$8),ROW(T_LEAVE[LEAVE CODE]))-ROW(T_LEAVE[#Headers]))))))),"")</f>
        <v/>
      </c>
      <c r="AG24" s="75" t="str">
        <f>IFERROR(IF(AG$8="","NA",IF(AG$8&lt;INDEX(T_EMP[START DATE],ROW($B24)-ROW($B$8)),"NE",IF(AND(INDEX(T_EMP[TERMINATION DATE],ROW($B24)-ROW($B$8))&gt;0,AG$8&gt;INDEX(T_EMP[TERMINATION DATE],ROW($B24)-ROW($B$8))),"NE",IF(NOT(ISERROR(MATCH(AG$8,L_HOLS,0))),"H",IF(INDEX(L_WKNDVAL,WEEKDAY(AG$8,1))=1,"WKND",INDEX(T_LEAVE[LEAVE CODE],SUMPRODUCT(--(T_LEAVE[NAME]=$B24),--(T_LEAVE[DATE]&lt;=AG$8),--(T_LEAVE[DATE]&gt;=AG$8),ROW(T_LEAVE[LEAVE CODE]))-ROW(T_LEAVE[#Headers]))))))),"")</f>
        <v/>
      </c>
      <c r="AH24" s="75" t="str">
        <f>IFERROR(IF(AH$8="","NA",IF(AH$8&lt;INDEX(T_EMP[START DATE],ROW($B24)-ROW($B$8)),"NE",IF(AND(INDEX(T_EMP[TERMINATION DATE],ROW($B24)-ROW($B$8))&gt;0,AH$8&gt;INDEX(T_EMP[TERMINATION DATE],ROW($B24)-ROW($B$8))),"NE",IF(NOT(ISERROR(MATCH(AH$8,L_HOLS,0))),"H",IF(INDEX(L_WKNDVAL,WEEKDAY(AH$8,1))=1,"WKND",INDEX(T_LEAVE[LEAVE CODE],SUMPRODUCT(--(T_LEAVE[NAME]=$B24),--(T_LEAVE[DATE]&lt;=AH$8),--(T_LEAVE[DATE]&gt;=AH$8),ROW(T_LEAVE[LEAVE CODE]))-ROW(T_LEAVE[#Headers]))))))),"")</f>
        <v/>
      </c>
      <c r="AJ24" s="88">
        <f>IF(OR($B24="",AJ$8=""),"",COUNTIFS($D24:$AH24,AJ$8)*INDEX(T_LEAVETYPE[DAY VALUE],1))</f>
        <v>0</v>
      </c>
      <c r="AK24" s="88">
        <f>IF(OR($B24="",AK$8=""),"",COUNTIFS($D24:$AH24,AK$8)*INDEX(T_LEAVETYPE[DAY VALUE],2))</f>
        <v>0</v>
      </c>
      <c r="AL24" s="88">
        <f>IF(OR($B24="",AL$8=""),"",COUNTIFS($D24:$AH24,AL$8)*INDEX(T_LEAVETYPE[DAY VALUE],3))</f>
        <v>0</v>
      </c>
      <c r="AM24" s="88">
        <f>IF(OR($B24="",AM$8=""),"",COUNTIFS($D24:$AH24,AM$8)*INDEX(T_LEAVETYPE[DAY VALUE],4))</f>
        <v>0</v>
      </c>
      <c r="AN24" s="88">
        <f>IF(OR($B24="",AN$8=""),"",COUNTIFS($D24:$AH24,AN$8)*INDEX(T_LEAVETYPE[DAY VALUE],5))</f>
        <v>0</v>
      </c>
      <c r="AO24" s="88">
        <f>IF(OR($B24="",AO$8=""),"",COUNTIFS($D24:$AH24,AO$8)*INDEX(T_LEAVETYPE[DAY VALUE],6))</f>
        <v>0</v>
      </c>
      <c r="AP24" s="88">
        <f>IF(OR($B24="",AP$8=""),"",COUNTIFS($D24:$AH24,AP$8)*INDEX(T_LEAVETYPE[DAY VALUE],7))</f>
        <v>0</v>
      </c>
      <c r="AQ24" s="88">
        <f>IF(OR($B24="",AQ$8=""),"",COUNTIFS($D24:$AH24,AQ$8)*INDEX(T_LEAVETYPE[DAY VALUE],8))</f>
        <v>0</v>
      </c>
      <c r="AR24" s="89">
        <f t="shared" si="3"/>
        <v>0</v>
      </c>
    </row>
    <row r="25" spans="1:44" x14ac:dyDescent="0.25">
      <c r="A25" s="90">
        <f t="shared" si="4"/>
        <v>17</v>
      </c>
      <c r="B25" s="74" t="str">
        <f>IFERROR(INDEX(T_EMP[NAME],ROW(B25)-ROW($B$8)),"")</f>
        <v>JAIME, JACYLYN</v>
      </c>
      <c r="C25" s="91" t="str">
        <f>IFERROR(INDEX(T_EMP[DEPARTMENT],ROW(B25)-ROW($C$8)),"")</f>
        <v>IB SUPPORT</v>
      </c>
      <c r="D25" s="75" t="str">
        <f>IFERROR(IF(D$8="","NA",IF(D$8&lt;INDEX(T_EMP[START DATE],ROW($B25)-ROW($B$8)),"NE",IF(AND(INDEX(T_EMP[TERMINATION DATE],ROW($B25)-ROW($B$8))&gt;0,D$8&gt;INDEX(T_EMP[TERMINATION DATE],ROW($B25)-ROW($B$8))),"NE",IF(NOT(ISERROR(MATCH(D$8,L_HOLS,0))),"H",IF(INDEX(L_WKNDVAL,WEEKDAY(D$8,1))=1,"WKND",INDEX(T_LEAVE[LEAVE CODE],SUMPRODUCT(--(T_LEAVE[NAME]=$B25),--(T_LEAVE[DATE]&lt;=D$8),--(T_LEAVE[DATE]&gt;=D$8),ROW(T_LEAVE[LEAVE CODE]))-ROW(T_LEAVE[#Headers]))))))),"")</f>
        <v>H</v>
      </c>
      <c r="E25" s="75" t="str">
        <f>IFERROR(IF(E$8="","NA",IF(E$8&lt;INDEX(T_EMP[START DATE],ROW($B25)-ROW($B$8)),"NE",IF(AND(INDEX(T_EMP[TERMINATION DATE],ROW($B25)-ROW($B$8))&gt;0,E$8&gt;INDEX(T_EMP[TERMINATION DATE],ROW($B25)-ROW($B$8))),"NE",IF(NOT(ISERROR(MATCH(E$8,L_HOLS,0))),"H",IF(INDEX(L_WKNDVAL,WEEKDAY(E$8,1))=1,"WKND",INDEX(T_LEAVE[LEAVE CODE],SUMPRODUCT(--(T_LEAVE[NAME]=$B25),--(T_LEAVE[DATE]&lt;=E$8),--(T_LEAVE[DATE]&gt;=E$8),ROW(T_LEAVE[LEAVE CODE]))-ROW(T_LEAVE[#Headers]))))))),"")</f>
        <v/>
      </c>
      <c r="F25" s="75" t="str">
        <f>IFERROR(IF(F$8="","NA",IF(F$8&lt;INDEX(T_EMP[START DATE],ROW($B25)-ROW($B$8)),"NE",IF(AND(INDEX(T_EMP[TERMINATION DATE],ROW($B25)-ROW($B$8))&gt;0,F$8&gt;INDEX(T_EMP[TERMINATION DATE],ROW($B25)-ROW($B$8))),"NE",IF(NOT(ISERROR(MATCH(F$8,L_HOLS,0))),"H",IF(INDEX(L_WKNDVAL,WEEKDAY(F$8,1))=1,"WKND",INDEX(T_LEAVE[LEAVE CODE],SUMPRODUCT(--(T_LEAVE[NAME]=$B25),--(T_LEAVE[DATE]&lt;=F$8),--(T_LEAVE[DATE]&gt;=F$8),ROW(T_LEAVE[LEAVE CODE]))-ROW(T_LEAVE[#Headers]))))))),"")</f>
        <v/>
      </c>
      <c r="G25" s="75" t="str">
        <f>IFERROR(IF(G$8="","NA",IF(G$8&lt;INDEX(T_EMP[START DATE],ROW($B25)-ROW($B$8)),"NE",IF(AND(INDEX(T_EMP[TERMINATION DATE],ROW($B25)-ROW($B$8))&gt;0,G$8&gt;INDEX(T_EMP[TERMINATION DATE],ROW($B25)-ROW($B$8))),"NE",IF(NOT(ISERROR(MATCH(G$8,L_HOLS,0))),"H",IF(INDEX(L_WKNDVAL,WEEKDAY(G$8,1))=1,"WKND",INDEX(T_LEAVE[LEAVE CODE],SUMPRODUCT(--(T_LEAVE[NAME]=$B25),--(T_LEAVE[DATE]&lt;=G$8),--(T_LEAVE[DATE]&gt;=G$8),ROW(T_LEAVE[LEAVE CODE]))-ROW(T_LEAVE[#Headers]))))))),"")</f>
        <v/>
      </c>
      <c r="H25" s="75" t="str">
        <f>IFERROR(IF(H$8="","NA",IF(H$8&lt;INDEX(T_EMP[START DATE],ROW($B25)-ROW($B$8)),"NE",IF(AND(INDEX(T_EMP[TERMINATION DATE],ROW($B25)-ROW($B$8))&gt;0,H$8&gt;INDEX(T_EMP[TERMINATION DATE],ROW($B25)-ROW($B$8))),"NE",IF(NOT(ISERROR(MATCH(H$8,L_HOLS,0))),"H",IF(INDEX(L_WKNDVAL,WEEKDAY(H$8,1))=1,"WKND",INDEX(T_LEAVE[LEAVE CODE],SUMPRODUCT(--(T_LEAVE[NAME]=$B25),--(T_LEAVE[DATE]&lt;=H$8),--(T_LEAVE[DATE]&gt;=H$8),ROW(T_LEAVE[LEAVE CODE]))-ROW(T_LEAVE[#Headers]))))))),"")</f>
        <v/>
      </c>
      <c r="I25" s="75" t="str">
        <f>IFERROR(IF(I$8="","NA",IF(I$8&lt;INDEX(T_EMP[START DATE],ROW($B25)-ROW($B$8)),"NE",IF(AND(INDEX(T_EMP[TERMINATION DATE],ROW($B25)-ROW($B$8))&gt;0,I$8&gt;INDEX(T_EMP[TERMINATION DATE],ROW($B25)-ROW($B$8))),"NE",IF(NOT(ISERROR(MATCH(I$8,L_HOLS,0))),"H",IF(INDEX(L_WKNDVAL,WEEKDAY(I$8,1))=1,"WKND",INDEX(T_LEAVE[LEAVE CODE],SUMPRODUCT(--(T_LEAVE[NAME]=$B25),--(T_LEAVE[DATE]&lt;=I$8),--(T_LEAVE[DATE]&gt;=I$8),ROW(T_LEAVE[LEAVE CODE]))-ROW(T_LEAVE[#Headers]))))))),"")</f>
        <v/>
      </c>
      <c r="J25" s="75" t="str">
        <f>IFERROR(IF(J$8="","NA",IF(J$8&lt;INDEX(T_EMP[START DATE],ROW($B25)-ROW($B$8)),"NE",IF(AND(INDEX(T_EMP[TERMINATION DATE],ROW($B25)-ROW($B$8))&gt;0,J$8&gt;INDEX(T_EMP[TERMINATION DATE],ROW($B25)-ROW($B$8))),"NE",IF(NOT(ISERROR(MATCH(J$8,L_HOLS,0))),"H",IF(INDEX(L_WKNDVAL,WEEKDAY(J$8,1))=1,"WKND",INDEX(T_LEAVE[LEAVE CODE],SUMPRODUCT(--(T_LEAVE[NAME]=$B25),--(T_LEAVE[DATE]&lt;=J$8),--(T_LEAVE[DATE]&gt;=J$8),ROW(T_LEAVE[LEAVE CODE]))-ROW(T_LEAVE[#Headers]))))))),"")</f>
        <v/>
      </c>
      <c r="K25" s="75" t="str">
        <f>IFERROR(IF(K$8="","NA",IF(K$8&lt;INDEX(T_EMP[START DATE],ROW($B25)-ROW($B$8)),"NE",IF(AND(INDEX(T_EMP[TERMINATION DATE],ROW($B25)-ROW($B$8))&gt;0,K$8&gt;INDEX(T_EMP[TERMINATION DATE],ROW($B25)-ROW($B$8))),"NE",IF(NOT(ISERROR(MATCH(K$8,L_HOLS,0))),"H",IF(INDEX(L_WKNDVAL,WEEKDAY(K$8,1))=1,"WKND",INDEX(T_LEAVE[LEAVE CODE],SUMPRODUCT(--(T_LEAVE[NAME]=$B25),--(T_LEAVE[DATE]&lt;=K$8),--(T_LEAVE[DATE]&gt;=K$8),ROW(T_LEAVE[LEAVE CODE]))-ROW(T_LEAVE[#Headers]))))))),"")</f>
        <v/>
      </c>
      <c r="L25" s="75" t="str">
        <f>IFERROR(IF(L$8="","NA",IF(L$8&lt;INDEX(T_EMP[START DATE],ROW($B25)-ROW($B$8)),"NE",IF(AND(INDEX(T_EMP[TERMINATION DATE],ROW($B25)-ROW($B$8))&gt;0,L$8&gt;INDEX(T_EMP[TERMINATION DATE],ROW($B25)-ROW($B$8))),"NE",IF(NOT(ISERROR(MATCH(L$8,L_HOLS,0))),"H",IF(INDEX(L_WKNDVAL,WEEKDAY(L$8,1))=1,"WKND",INDEX(T_LEAVE[LEAVE CODE],SUMPRODUCT(--(T_LEAVE[NAME]=$B25),--(T_LEAVE[DATE]&lt;=L$8),--(T_LEAVE[DATE]&gt;=L$8),ROW(T_LEAVE[LEAVE CODE]))-ROW(T_LEAVE[#Headers]))))))),"")</f>
        <v/>
      </c>
      <c r="M25" s="75" t="str">
        <f>IFERROR(IF(M$8="","NA",IF(M$8&lt;INDEX(T_EMP[START DATE],ROW($B25)-ROW($B$8)),"NE",IF(AND(INDEX(T_EMP[TERMINATION DATE],ROW($B25)-ROW($B$8))&gt;0,M$8&gt;INDEX(T_EMP[TERMINATION DATE],ROW($B25)-ROW($B$8))),"NE",IF(NOT(ISERROR(MATCH(M$8,L_HOLS,0))),"H",IF(INDEX(L_WKNDVAL,WEEKDAY(M$8,1))=1,"WKND",INDEX(T_LEAVE[LEAVE CODE],SUMPRODUCT(--(T_LEAVE[NAME]=$B25),--(T_LEAVE[DATE]&lt;=M$8),--(T_LEAVE[DATE]&gt;=M$8),ROW(T_LEAVE[LEAVE CODE]))-ROW(T_LEAVE[#Headers]))))))),"")</f>
        <v/>
      </c>
      <c r="N25" s="75" t="str">
        <f>IFERROR(IF(N$8="","NA",IF(N$8&lt;INDEX(T_EMP[START DATE],ROW($B25)-ROW($B$8)),"NE",IF(AND(INDEX(T_EMP[TERMINATION DATE],ROW($B25)-ROW($B$8))&gt;0,N$8&gt;INDEX(T_EMP[TERMINATION DATE],ROW($B25)-ROW($B$8))),"NE",IF(NOT(ISERROR(MATCH(N$8,L_HOLS,0))),"H",IF(INDEX(L_WKNDVAL,WEEKDAY(N$8,1))=1,"WKND",INDEX(T_LEAVE[LEAVE CODE],SUMPRODUCT(--(T_LEAVE[NAME]=$B25),--(T_LEAVE[DATE]&lt;=N$8),--(T_LEAVE[DATE]&gt;=N$8),ROW(T_LEAVE[LEAVE CODE]))-ROW(T_LEAVE[#Headers]))))))),"")</f>
        <v/>
      </c>
      <c r="O25" s="75" t="str">
        <f>IFERROR(IF(O$8="","NA",IF(O$8&lt;INDEX(T_EMP[START DATE],ROW($B25)-ROW($B$8)),"NE",IF(AND(INDEX(T_EMP[TERMINATION DATE],ROW($B25)-ROW($B$8))&gt;0,O$8&gt;INDEX(T_EMP[TERMINATION DATE],ROW($B25)-ROW($B$8))),"NE",IF(NOT(ISERROR(MATCH(O$8,L_HOLS,0))),"H",IF(INDEX(L_WKNDVAL,WEEKDAY(O$8,1))=1,"WKND",INDEX(T_LEAVE[LEAVE CODE],SUMPRODUCT(--(T_LEAVE[NAME]=$B25),--(T_LEAVE[DATE]&lt;=O$8),--(T_LEAVE[DATE]&gt;=O$8),ROW(T_LEAVE[LEAVE CODE]))-ROW(T_LEAVE[#Headers]))))))),"")</f>
        <v/>
      </c>
      <c r="P25" s="75" t="str">
        <f>IFERROR(IF(P$8="","NA",IF(P$8&lt;INDEX(T_EMP[START DATE],ROW($B25)-ROW($B$8)),"NE",IF(AND(INDEX(T_EMP[TERMINATION DATE],ROW($B25)-ROW($B$8))&gt;0,P$8&gt;INDEX(T_EMP[TERMINATION DATE],ROW($B25)-ROW($B$8))),"NE",IF(NOT(ISERROR(MATCH(P$8,L_HOLS,0))),"H",IF(INDEX(L_WKNDVAL,WEEKDAY(P$8,1))=1,"WKND",INDEX(T_LEAVE[LEAVE CODE],SUMPRODUCT(--(T_LEAVE[NAME]=$B25),--(T_LEAVE[DATE]&lt;=P$8),--(T_LEAVE[DATE]&gt;=P$8),ROW(T_LEAVE[LEAVE CODE]))-ROW(T_LEAVE[#Headers]))))))),"")</f>
        <v>H</v>
      </c>
      <c r="Q25" s="75" t="str">
        <f>IFERROR(IF(Q$8="","NA",IF(Q$8&lt;INDEX(T_EMP[START DATE],ROW($B25)-ROW($B$8)),"NE",IF(AND(INDEX(T_EMP[TERMINATION DATE],ROW($B25)-ROW($B$8))&gt;0,Q$8&gt;INDEX(T_EMP[TERMINATION DATE],ROW($B25)-ROW($B$8))),"NE",IF(NOT(ISERROR(MATCH(Q$8,L_HOLS,0))),"H",IF(INDEX(L_WKNDVAL,WEEKDAY(Q$8,1))=1,"WKND",INDEX(T_LEAVE[LEAVE CODE],SUMPRODUCT(--(T_LEAVE[NAME]=$B25),--(T_LEAVE[DATE]&lt;=Q$8),--(T_LEAVE[DATE]&gt;=Q$8),ROW(T_LEAVE[LEAVE CODE]))-ROW(T_LEAVE[#Headers]))))))),"")</f>
        <v/>
      </c>
      <c r="R25" s="75" t="str">
        <f>IFERROR(IF(R$8="","NA",IF(R$8&lt;INDEX(T_EMP[START DATE],ROW($B25)-ROW($B$8)),"NE",IF(AND(INDEX(T_EMP[TERMINATION DATE],ROW($B25)-ROW($B$8))&gt;0,R$8&gt;INDEX(T_EMP[TERMINATION DATE],ROW($B25)-ROW($B$8))),"NE",IF(NOT(ISERROR(MATCH(R$8,L_HOLS,0))),"H",IF(INDEX(L_WKNDVAL,WEEKDAY(R$8,1))=1,"WKND",INDEX(T_LEAVE[LEAVE CODE],SUMPRODUCT(--(T_LEAVE[NAME]=$B25),--(T_LEAVE[DATE]&lt;=R$8),--(T_LEAVE[DATE]&gt;=R$8),ROW(T_LEAVE[LEAVE CODE]))-ROW(T_LEAVE[#Headers]))))))),"")</f>
        <v/>
      </c>
      <c r="S25" s="75" t="str">
        <f>IFERROR(IF(S$8="","NA",IF(S$8&lt;INDEX(T_EMP[START DATE],ROW($B25)-ROW($B$8)),"NE",IF(AND(INDEX(T_EMP[TERMINATION DATE],ROW($B25)-ROW($B$8))&gt;0,S$8&gt;INDEX(T_EMP[TERMINATION DATE],ROW($B25)-ROW($B$8))),"NE",IF(NOT(ISERROR(MATCH(S$8,L_HOLS,0))),"H",IF(INDEX(L_WKNDVAL,WEEKDAY(S$8,1))=1,"WKND",INDEX(T_LEAVE[LEAVE CODE],SUMPRODUCT(--(T_LEAVE[NAME]=$B25),--(T_LEAVE[DATE]&lt;=S$8),--(T_LEAVE[DATE]&gt;=S$8),ROW(T_LEAVE[LEAVE CODE]))-ROW(T_LEAVE[#Headers]))))))),"")</f>
        <v/>
      </c>
      <c r="T25" s="75" t="str">
        <f>IFERROR(IF(T$8="","NA",IF(T$8&lt;INDEX(T_EMP[START DATE],ROW($B25)-ROW($B$8)),"NE",IF(AND(INDEX(T_EMP[TERMINATION DATE],ROW($B25)-ROW($B$8))&gt;0,T$8&gt;INDEX(T_EMP[TERMINATION DATE],ROW($B25)-ROW($B$8))),"NE",IF(NOT(ISERROR(MATCH(T$8,L_HOLS,0))),"H",IF(INDEX(L_WKNDVAL,WEEKDAY(T$8,1))=1,"WKND",INDEX(T_LEAVE[LEAVE CODE],SUMPRODUCT(--(T_LEAVE[NAME]=$B25),--(T_LEAVE[DATE]&lt;=T$8),--(T_LEAVE[DATE]&gt;=T$8),ROW(T_LEAVE[LEAVE CODE]))-ROW(T_LEAVE[#Headers]))))))),"")</f>
        <v/>
      </c>
      <c r="U25" s="75" t="str">
        <f>IFERROR(IF(U$8="","NA",IF(U$8&lt;INDEX(T_EMP[START DATE],ROW($B25)-ROW($B$8)),"NE",IF(AND(INDEX(T_EMP[TERMINATION DATE],ROW($B25)-ROW($B$8))&gt;0,U$8&gt;INDEX(T_EMP[TERMINATION DATE],ROW($B25)-ROW($B$8))),"NE",IF(NOT(ISERROR(MATCH(U$8,L_HOLS,0))),"H",IF(INDEX(L_WKNDVAL,WEEKDAY(U$8,1))=1,"WKND",INDEX(T_LEAVE[LEAVE CODE],SUMPRODUCT(--(T_LEAVE[NAME]=$B25),--(T_LEAVE[DATE]&lt;=U$8),--(T_LEAVE[DATE]&gt;=U$8),ROW(T_LEAVE[LEAVE CODE]))-ROW(T_LEAVE[#Headers]))))))),"")</f>
        <v/>
      </c>
      <c r="V25" s="75" t="str">
        <f>IFERROR(IF(V$8="","NA",IF(V$8&lt;INDEX(T_EMP[START DATE],ROW($B25)-ROW($B$8)),"NE",IF(AND(INDEX(T_EMP[TERMINATION DATE],ROW($B25)-ROW($B$8))&gt;0,V$8&gt;INDEX(T_EMP[TERMINATION DATE],ROW($B25)-ROW($B$8))),"NE",IF(NOT(ISERROR(MATCH(V$8,L_HOLS,0))),"H",IF(INDEX(L_WKNDVAL,WEEKDAY(V$8,1))=1,"WKND",INDEX(T_LEAVE[LEAVE CODE],SUMPRODUCT(--(T_LEAVE[NAME]=$B25),--(T_LEAVE[DATE]&lt;=V$8),--(T_LEAVE[DATE]&gt;=V$8),ROW(T_LEAVE[LEAVE CODE]))-ROW(T_LEAVE[#Headers]))))))),"")</f>
        <v/>
      </c>
      <c r="W25" s="75" t="str">
        <f>IFERROR(IF(W$8="","NA",IF(W$8&lt;INDEX(T_EMP[START DATE],ROW($B25)-ROW($B$8)),"NE",IF(AND(INDEX(T_EMP[TERMINATION DATE],ROW($B25)-ROW($B$8))&gt;0,W$8&gt;INDEX(T_EMP[TERMINATION DATE],ROW($B25)-ROW($B$8))),"NE",IF(NOT(ISERROR(MATCH(W$8,L_HOLS,0))),"H",IF(INDEX(L_WKNDVAL,WEEKDAY(W$8,1))=1,"WKND",INDEX(T_LEAVE[LEAVE CODE],SUMPRODUCT(--(T_LEAVE[NAME]=$B25),--(T_LEAVE[DATE]&lt;=W$8),--(T_LEAVE[DATE]&gt;=W$8),ROW(T_LEAVE[LEAVE CODE]))-ROW(T_LEAVE[#Headers]))))))),"")</f>
        <v/>
      </c>
      <c r="X25" s="75" t="str">
        <f>IFERROR(IF(X$8="","NA",IF(X$8&lt;INDEX(T_EMP[START DATE],ROW($B25)-ROW($B$8)),"NE",IF(AND(INDEX(T_EMP[TERMINATION DATE],ROW($B25)-ROW($B$8))&gt;0,X$8&gt;INDEX(T_EMP[TERMINATION DATE],ROW($B25)-ROW($B$8))),"NE",IF(NOT(ISERROR(MATCH(X$8,L_HOLS,0))),"H",IF(INDEX(L_WKNDVAL,WEEKDAY(X$8,1))=1,"WKND",INDEX(T_LEAVE[LEAVE CODE],SUMPRODUCT(--(T_LEAVE[NAME]=$B25),--(T_LEAVE[DATE]&lt;=X$8),--(T_LEAVE[DATE]&gt;=X$8),ROW(T_LEAVE[LEAVE CODE]))-ROW(T_LEAVE[#Headers]))))))),"")</f>
        <v/>
      </c>
      <c r="Y25" s="75" t="str">
        <f>IFERROR(IF(Y$8="","NA",IF(Y$8&lt;INDEX(T_EMP[START DATE],ROW($B25)-ROW($B$8)),"NE",IF(AND(INDEX(T_EMP[TERMINATION DATE],ROW($B25)-ROW($B$8))&gt;0,Y$8&gt;INDEX(T_EMP[TERMINATION DATE],ROW($B25)-ROW($B$8))),"NE",IF(NOT(ISERROR(MATCH(Y$8,L_HOLS,0))),"H",IF(INDEX(L_WKNDVAL,WEEKDAY(Y$8,1))=1,"WKND",INDEX(T_LEAVE[LEAVE CODE],SUMPRODUCT(--(T_LEAVE[NAME]=$B25),--(T_LEAVE[DATE]&lt;=Y$8),--(T_LEAVE[DATE]&gt;=Y$8),ROW(T_LEAVE[LEAVE CODE]))-ROW(T_LEAVE[#Headers]))))))),"")</f>
        <v/>
      </c>
      <c r="Z25" s="75" t="str">
        <f>IFERROR(IF(Z$8="","NA",IF(Z$8&lt;INDEX(T_EMP[START DATE],ROW($B25)-ROW($B$8)),"NE",IF(AND(INDEX(T_EMP[TERMINATION DATE],ROW($B25)-ROW($B$8))&gt;0,Z$8&gt;INDEX(T_EMP[TERMINATION DATE],ROW($B25)-ROW($B$8))),"NE",IF(NOT(ISERROR(MATCH(Z$8,L_HOLS,0))),"H",IF(INDEX(L_WKNDVAL,WEEKDAY(Z$8,1))=1,"WKND",INDEX(T_LEAVE[LEAVE CODE],SUMPRODUCT(--(T_LEAVE[NAME]=$B25),--(T_LEAVE[DATE]&lt;=Z$8),--(T_LEAVE[DATE]&gt;=Z$8),ROW(T_LEAVE[LEAVE CODE]))-ROW(T_LEAVE[#Headers]))))))),"")</f>
        <v/>
      </c>
      <c r="AA25" s="75" t="str">
        <f>IFERROR(IF(AA$8="","NA",IF(AA$8&lt;INDEX(T_EMP[START DATE],ROW($B25)-ROW($B$8)),"NE",IF(AND(INDEX(T_EMP[TERMINATION DATE],ROW($B25)-ROW($B$8))&gt;0,AA$8&gt;INDEX(T_EMP[TERMINATION DATE],ROW($B25)-ROW($B$8))),"NE",IF(NOT(ISERROR(MATCH(AA$8,L_HOLS,0))),"H",IF(INDEX(L_WKNDVAL,WEEKDAY(AA$8,1))=1,"WKND",INDEX(T_LEAVE[LEAVE CODE],SUMPRODUCT(--(T_LEAVE[NAME]=$B25),--(T_LEAVE[DATE]&lt;=AA$8),--(T_LEAVE[DATE]&gt;=AA$8),ROW(T_LEAVE[LEAVE CODE]))-ROW(T_LEAVE[#Headers]))))))),"")</f>
        <v/>
      </c>
      <c r="AB25" s="75" t="str">
        <f>IFERROR(IF(AB$8="","NA",IF(AB$8&lt;INDEX(T_EMP[START DATE],ROW($B25)-ROW($B$8)),"NE",IF(AND(INDEX(T_EMP[TERMINATION DATE],ROW($B25)-ROW($B$8))&gt;0,AB$8&gt;INDEX(T_EMP[TERMINATION DATE],ROW($B25)-ROW($B$8))),"NE",IF(NOT(ISERROR(MATCH(AB$8,L_HOLS,0))),"H",IF(INDEX(L_WKNDVAL,WEEKDAY(AB$8,1))=1,"WKND",INDEX(T_LEAVE[LEAVE CODE],SUMPRODUCT(--(T_LEAVE[NAME]=$B25),--(T_LEAVE[DATE]&lt;=AB$8),--(T_LEAVE[DATE]&gt;=AB$8),ROW(T_LEAVE[LEAVE CODE]))-ROW(T_LEAVE[#Headers]))))))),"")</f>
        <v/>
      </c>
      <c r="AC25" s="75" t="str">
        <f>IFERROR(IF(AC$8="","NA",IF(AC$8&lt;INDEX(T_EMP[START DATE],ROW($B25)-ROW($B$8)),"NE",IF(AND(INDEX(T_EMP[TERMINATION DATE],ROW($B25)-ROW($B$8))&gt;0,AC$8&gt;INDEX(T_EMP[TERMINATION DATE],ROW($B25)-ROW($B$8))),"NE",IF(NOT(ISERROR(MATCH(AC$8,L_HOLS,0))),"H",IF(INDEX(L_WKNDVAL,WEEKDAY(AC$8,1))=1,"WKND",INDEX(T_LEAVE[LEAVE CODE],SUMPRODUCT(--(T_LEAVE[NAME]=$B25),--(T_LEAVE[DATE]&lt;=AC$8),--(T_LEAVE[DATE]&gt;=AC$8),ROW(T_LEAVE[LEAVE CODE]))-ROW(T_LEAVE[#Headers]))))))),"")</f>
        <v/>
      </c>
      <c r="AD25" s="75" t="str">
        <f>IFERROR(IF(AD$8="","NA",IF(AD$8&lt;INDEX(T_EMP[START DATE],ROW($B25)-ROW($B$8)),"NE",IF(AND(INDEX(T_EMP[TERMINATION DATE],ROW($B25)-ROW($B$8))&gt;0,AD$8&gt;INDEX(T_EMP[TERMINATION DATE],ROW($B25)-ROW($B$8))),"NE",IF(NOT(ISERROR(MATCH(AD$8,L_HOLS,0))),"H",IF(INDEX(L_WKNDVAL,WEEKDAY(AD$8,1))=1,"WKND",INDEX(T_LEAVE[LEAVE CODE],SUMPRODUCT(--(T_LEAVE[NAME]=$B25),--(T_LEAVE[DATE]&lt;=AD$8),--(T_LEAVE[DATE]&gt;=AD$8),ROW(T_LEAVE[LEAVE CODE]))-ROW(T_LEAVE[#Headers]))))))),"")</f>
        <v/>
      </c>
      <c r="AE25" s="75" t="str">
        <f>IFERROR(IF(AE$8="","NA",IF(AE$8&lt;INDEX(T_EMP[START DATE],ROW($B25)-ROW($B$8)),"NE",IF(AND(INDEX(T_EMP[TERMINATION DATE],ROW($B25)-ROW($B$8))&gt;0,AE$8&gt;INDEX(T_EMP[TERMINATION DATE],ROW($B25)-ROW($B$8))),"NE",IF(NOT(ISERROR(MATCH(AE$8,L_HOLS,0))),"H",IF(INDEX(L_WKNDVAL,WEEKDAY(AE$8,1))=1,"WKND",INDEX(T_LEAVE[LEAVE CODE],SUMPRODUCT(--(T_LEAVE[NAME]=$B25),--(T_LEAVE[DATE]&lt;=AE$8),--(T_LEAVE[DATE]&gt;=AE$8),ROW(T_LEAVE[LEAVE CODE]))-ROW(T_LEAVE[#Headers]))))))),"")</f>
        <v/>
      </c>
      <c r="AF25" s="75" t="str">
        <f>IFERROR(IF(AF$8="","NA",IF(AF$8&lt;INDEX(T_EMP[START DATE],ROW($B25)-ROW($B$8)),"NE",IF(AND(INDEX(T_EMP[TERMINATION DATE],ROW($B25)-ROW($B$8))&gt;0,AF$8&gt;INDEX(T_EMP[TERMINATION DATE],ROW($B25)-ROW($B$8))),"NE",IF(NOT(ISERROR(MATCH(AF$8,L_HOLS,0))),"H",IF(INDEX(L_WKNDVAL,WEEKDAY(AF$8,1))=1,"WKND",INDEX(T_LEAVE[LEAVE CODE],SUMPRODUCT(--(T_LEAVE[NAME]=$B25),--(T_LEAVE[DATE]&lt;=AF$8),--(T_LEAVE[DATE]&gt;=AF$8),ROW(T_LEAVE[LEAVE CODE]))-ROW(T_LEAVE[#Headers]))))))),"")</f>
        <v/>
      </c>
      <c r="AG25" s="75" t="str">
        <f>IFERROR(IF(AG$8="","NA",IF(AG$8&lt;INDEX(T_EMP[START DATE],ROW($B25)-ROW($B$8)),"NE",IF(AND(INDEX(T_EMP[TERMINATION DATE],ROW($B25)-ROW($B$8))&gt;0,AG$8&gt;INDEX(T_EMP[TERMINATION DATE],ROW($B25)-ROW($B$8))),"NE",IF(NOT(ISERROR(MATCH(AG$8,L_HOLS,0))),"H",IF(INDEX(L_WKNDVAL,WEEKDAY(AG$8,1))=1,"WKND",INDEX(T_LEAVE[LEAVE CODE],SUMPRODUCT(--(T_LEAVE[NAME]=$B25),--(T_LEAVE[DATE]&lt;=AG$8),--(T_LEAVE[DATE]&gt;=AG$8),ROW(T_LEAVE[LEAVE CODE]))-ROW(T_LEAVE[#Headers]))))))),"")</f>
        <v/>
      </c>
      <c r="AH25" s="75" t="str">
        <f>IFERROR(IF(AH$8="","NA",IF(AH$8&lt;INDEX(T_EMP[START DATE],ROW($B25)-ROW($B$8)),"NE",IF(AND(INDEX(T_EMP[TERMINATION DATE],ROW($B25)-ROW($B$8))&gt;0,AH$8&gt;INDEX(T_EMP[TERMINATION DATE],ROW($B25)-ROW($B$8))),"NE",IF(NOT(ISERROR(MATCH(AH$8,L_HOLS,0))),"H",IF(INDEX(L_WKNDVAL,WEEKDAY(AH$8,1))=1,"WKND",INDEX(T_LEAVE[LEAVE CODE],SUMPRODUCT(--(T_LEAVE[NAME]=$B25),--(T_LEAVE[DATE]&lt;=AH$8),--(T_LEAVE[DATE]&gt;=AH$8),ROW(T_LEAVE[LEAVE CODE]))-ROW(T_LEAVE[#Headers]))))))),"")</f>
        <v/>
      </c>
      <c r="AJ25" s="88">
        <f>IF(OR($B25="",AJ$8=""),"",COUNTIFS($D25:$AH25,AJ$8)*INDEX(T_LEAVETYPE[DAY VALUE],1))</f>
        <v>0</v>
      </c>
      <c r="AK25" s="88">
        <f>IF(OR($B25="",AK$8=""),"",COUNTIFS($D25:$AH25,AK$8)*INDEX(T_LEAVETYPE[DAY VALUE],2))</f>
        <v>0</v>
      </c>
      <c r="AL25" s="88">
        <f>IF(OR($B25="",AL$8=""),"",COUNTIFS($D25:$AH25,AL$8)*INDEX(T_LEAVETYPE[DAY VALUE],3))</f>
        <v>0</v>
      </c>
      <c r="AM25" s="88">
        <f>IF(OR($B25="",AM$8=""),"",COUNTIFS($D25:$AH25,AM$8)*INDEX(T_LEAVETYPE[DAY VALUE],4))</f>
        <v>0</v>
      </c>
      <c r="AN25" s="88">
        <f>IF(OR($B25="",AN$8=""),"",COUNTIFS($D25:$AH25,AN$8)*INDEX(T_LEAVETYPE[DAY VALUE],5))</f>
        <v>0</v>
      </c>
      <c r="AO25" s="88">
        <f>IF(OR($B25="",AO$8=""),"",COUNTIFS($D25:$AH25,AO$8)*INDEX(T_LEAVETYPE[DAY VALUE],6))</f>
        <v>0</v>
      </c>
      <c r="AP25" s="88">
        <f>IF(OR($B25="",AP$8=""),"",COUNTIFS($D25:$AH25,AP$8)*INDEX(T_LEAVETYPE[DAY VALUE],7))</f>
        <v>0</v>
      </c>
      <c r="AQ25" s="88">
        <f>IF(OR($B25="",AQ$8=""),"",COUNTIFS($D25:$AH25,AQ$8)*INDEX(T_LEAVETYPE[DAY VALUE],8))</f>
        <v>0</v>
      </c>
      <c r="AR25" s="89">
        <f t="shared" si="3"/>
        <v>0</v>
      </c>
    </row>
    <row r="26" spans="1:44" x14ac:dyDescent="0.25">
      <c r="A26" s="90">
        <f t="shared" si="4"/>
        <v>18</v>
      </c>
      <c r="B26" s="74" t="str">
        <f>IFERROR(INDEX(T_EMP[NAME],ROW(B26)-ROW($B$8)),"")</f>
        <v>MATIGNAS, JAYDEE</v>
      </c>
      <c r="C26" s="91" t="str">
        <f>IFERROR(INDEX(T_EMP[DEPARTMENT],ROW(B26)-ROW($C$8)),"")</f>
        <v>IB SUPPORT</v>
      </c>
      <c r="D26" s="75" t="str">
        <f>IFERROR(IF(D$8="","NA",IF(D$8&lt;INDEX(T_EMP[START DATE],ROW($B26)-ROW($B$8)),"NE",IF(AND(INDEX(T_EMP[TERMINATION DATE],ROW($B26)-ROW($B$8))&gt;0,D$8&gt;INDEX(T_EMP[TERMINATION DATE],ROW($B26)-ROW($B$8))),"NE",IF(NOT(ISERROR(MATCH(D$8,L_HOLS,0))),"H",IF(INDEX(L_WKNDVAL,WEEKDAY(D$8,1))=1,"WKND",INDEX(T_LEAVE[LEAVE CODE],SUMPRODUCT(--(T_LEAVE[NAME]=$B26),--(T_LEAVE[DATE]&lt;=D$8),--(T_LEAVE[DATE]&gt;=D$8),ROW(T_LEAVE[LEAVE CODE]))-ROW(T_LEAVE[#Headers]))))))),"")</f>
        <v>H</v>
      </c>
      <c r="E26" s="75" t="str">
        <f>IFERROR(IF(E$8="","NA",IF(E$8&lt;INDEX(T_EMP[START DATE],ROW($B26)-ROW($B$8)),"NE",IF(AND(INDEX(T_EMP[TERMINATION DATE],ROW($B26)-ROW($B$8))&gt;0,E$8&gt;INDEX(T_EMP[TERMINATION DATE],ROW($B26)-ROW($B$8))),"NE",IF(NOT(ISERROR(MATCH(E$8,L_HOLS,0))),"H",IF(INDEX(L_WKNDVAL,WEEKDAY(E$8,1))=1,"WKND",INDEX(T_LEAVE[LEAVE CODE],SUMPRODUCT(--(T_LEAVE[NAME]=$B26),--(T_LEAVE[DATE]&lt;=E$8),--(T_LEAVE[DATE]&gt;=E$8),ROW(T_LEAVE[LEAVE CODE]))-ROW(T_LEAVE[#Headers]))))))),"")</f>
        <v/>
      </c>
      <c r="F26" s="75" t="str">
        <f>IFERROR(IF(F$8="","NA",IF(F$8&lt;INDEX(T_EMP[START DATE],ROW($B26)-ROW($B$8)),"NE",IF(AND(INDEX(T_EMP[TERMINATION DATE],ROW($B26)-ROW($B$8))&gt;0,F$8&gt;INDEX(T_EMP[TERMINATION DATE],ROW($B26)-ROW($B$8))),"NE",IF(NOT(ISERROR(MATCH(F$8,L_HOLS,0))),"H",IF(INDEX(L_WKNDVAL,WEEKDAY(F$8,1))=1,"WKND",INDEX(T_LEAVE[LEAVE CODE],SUMPRODUCT(--(T_LEAVE[NAME]=$B26),--(T_LEAVE[DATE]&lt;=F$8),--(T_LEAVE[DATE]&gt;=F$8),ROW(T_LEAVE[LEAVE CODE]))-ROW(T_LEAVE[#Headers]))))))),"")</f>
        <v/>
      </c>
      <c r="G26" s="75" t="str">
        <f>IFERROR(IF(G$8="","NA",IF(G$8&lt;INDEX(T_EMP[START DATE],ROW($B26)-ROW($B$8)),"NE",IF(AND(INDEX(T_EMP[TERMINATION DATE],ROW($B26)-ROW($B$8))&gt;0,G$8&gt;INDEX(T_EMP[TERMINATION DATE],ROW($B26)-ROW($B$8))),"NE",IF(NOT(ISERROR(MATCH(G$8,L_HOLS,0))),"H",IF(INDEX(L_WKNDVAL,WEEKDAY(G$8,1))=1,"WKND",INDEX(T_LEAVE[LEAVE CODE],SUMPRODUCT(--(T_LEAVE[NAME]=$B26),--(T_LEAVE[DATE]&lt;=G$8),--(T_LEAVE[DATE]&gt;=G$8),ROW(T_LEAVE[LEAVE CODE]))-ROW(T_LEAVE[#Headers]))))))),"")</f>
        <v/>
      </c>
      <c r="H26" s="75" t="str">
        <f>IFERROR(IF(H$8="","NA",IF(H$8&lt;INDEX(T_EMP[START DATE],ROW($B26)-ROW($B$8)),"NE",IF(AND(INDEX(T_EMP[TERMINATION DATE],ROW($B26)-ROW($B$8))&gt;0,H$8&gt;INDEX(T_EMP[TERMINATION DATE],ROW($B26)-ROW($B$8))),"NE",IF(NOT(ISERROR(MATCH(H$8,L_HOLS,0))),"H",IF(INDEX(L_WKNDVAL,WEEKDAY(H$8,1))=1,"WKND",INDEX(T_LEAVE[LEAVE CODE],SUMPRODUCT(--(T_LEAVE[NAME]=$B26),--(T_LEAVE[DATE]&lt;=H$8),--(T_LEAVE[DATE]&gt;=H$8),ROW(T_LEAVE[LEAVE CODE]))-ROW(T_LEAVE[#Headers]))))))),"")</f>
        <v/>
      </c>
      <c r="I26" s="75" t="str">
        <f>IFERROR(IF(I$8="","NA",IF(I$8&lt;INDEX(T_EMP[START DATE],ROW($B26)-ROW($B$8)),"NE",IF(AND(INDEX(T_EMP[TERMINATION DATE],ROW($B26)-ROW($B$8))&gt;0,I$8&gt;INDEX(T_EMP[TERMINATION DATE],ROW($B26)-ROW($B$8))),"NE",IF(NOT(ISERROR(MATCH(I$8,L_HOLS,0))),"H",IF(INDEX(L_WKNDVAL,WEEKDAY(I$8,1))=1,"WKND",INDEX(T_LEAVE[LEAVE CODE],SUMPRODUCT(--(T_LEAVE[NAME]=$B26),--(T_LEAVE[DATE]&lt;=I$8),--(T_LEAVE[DATE]&gt;=I$8),ROW(T_LEAVE[LEAVE CODE]))-ROW(T_LEAVE[#Headers]))))))),"")</f>
        <v/>
      </c>
      <c r="J26" s="75" t="str">
        <f>IFERROR(IF(J$8="","NA",IF(J$8&lt;INDEX(T_EMP[START DATE],ROW($B26)-ROW($B$8)),"NE",IF(AND(INDEX(T_EMP[TERMINATION DATE],ROW($B26)-ROW($B$8))&gt;0,J$8&gt;INDEX(T_EMP[TERMINATION DATE],ROW($B26)-ROW($B$8))),"NE",IF(NOT(ISERROR(MATCH(J$8,L_HOLS,0))),"H",IF(INDEX(L_WKNDVAL,WEEKDAY(J$8,1))=1,"WKND",INDEX(T_LEAVE[LEAVE CODE],SUMPRODUCT(--(T_LEAVE[NAME]=$B26),--(T_LEAVE[DATE]&lt;=J$8),--(T_LEAVE[DATE]&gt;=J$8),ROW(T_LEAVE[LEAVE CODE]))-ROW(T_LEAVE[#Headers]))))))),"")</f>
        <v/>
      </c>
      <c r="K26" s="75" t="str">
        <f>IFERROR(IF(K$8="","NA",IF(K$8&lt;INDEX(T_EMP[START DATE],ROW($B26)-ROW($B$8)),"NE",IF(AND(INDEX(T_EMP[TERMINATION DATE],ROW($B26)-ROW($B$8))&gt;0,K$8&gt;INDEX(T_EMP[TERMINATION DATE],ROW($B26)-ROW($B$8))),"NE",IF(NOT(ISERROR(MATCH(K$8,L_HOLS,0))),"H",IF(INDEX(L_WKNDVAL,WEEKDAY(K$8,1))=1,"WKND",INDEX(T_LEAVE[LEAVE CODE],SUMPRODUCT(--(T_LEAVE[NAME]=$B26),--(T_LEAVE[DATE]&lt;=K$8),--(T_LEAVE[DATE]&gt;=K$8),ROW(T_LEAVE[LEAVE CODE]))-ROW(T_LEAVE[#Headers]))))))),"")</f>
        <v/>
      </c>
      <c r="L26" s="75" t="str">
        <f>IFERROR(IF(L$8="","NA",IF(L$8&lt;INDEX(T_EMP[START DATE],ROW($B26)-ROW($B$8)),"NE",IF(AND(INDEX(T_EMP[TERMINATION DATE],ROW($B26)-ROW($B$8))&gt;0,L$8&gt;INDEX(T_EMP[TERMINATION DATE],ROW($B26)-ROW($B$8))),"NE",IF(NOT(ISERROR(MATCH(L$8,L_HOLS,0))),"H",IF(INDEX(L_WKNDVAL,WEEKDAY(L$8,1))=1,"WKND",INDEX(T_LEAVE[LEAVE CODE],SUMPRODUCT(--(T_LEAVE[NAME]=$B26),--(T_LEAVE[DATE]&lt;=L$8),--(T_LEAVE[DATE]&gt;=L$8),ROW(T_LEAVE[LEAVE CODE]))-ROW(T_LEAVE[#Headers]))))))),"")</f>
        <v/>
      </c>
      <c r="M26" s="75" t="str">
        <f>IFERROR(IF(M$8="","NA",IF(M$8&lt;INDEX(T_EMP[START DATE],ROW($B26)-ROW($B$8)),"NE",IF(AND(INDEX(T_EMP[TERMINATION DATE],ROW($B26)-ROW($B$8))&gt;0,M$8&gt;INDEX(T_EMP[TERMINATION DATE],ROW($B26)-ROW($B$8))),"NE",IF(NOT(ISERROR(MATCH(M$8,L_HOLS,0))),"H",IF(INDEX(L_WKNDVAL,WEEKDAY(M$8,1))=1,"WKND",INDEX(T_LEAVE[LEAVE CODE],SUMPRODUCT(--(T_LEAVE[NAME]=$B26),--(T_LEAVE[DATE]&lt;=M$8),--(T_LEAVE[DATE]&gt;=M$8),ROW(T_LEAVE[LEAVE CODE]))-ROW(T_LEAVE[#Headers]))))))),"")</f>
        <v/>
      </c>
      <c r="N26" s="75" t="str">
        <f>IFERROR(IF(N$8="","NA",IF(N$8&lt;INDEX(T_EMP[START DATE],ROW($B26)-ROW($B$8)),"NE",IF(AND(INDEX(T_EMP[TERMINATION DATE],ROW($B26)-ROW($B$8))&gt;0,N$8&gt;INDEX(T_EMP[TERMINATION DATE],ROW($B26)-ROW($B$8))),"NE",IF(NOT(ISERROR(MATCH(N$8,L_HOLS,0))),"H",IF(INDEX(L_WKNDVAL,WEEKDAY(N$8,1))=1,"WKND",INDEX(T_LEAVE[LEAVE CODE],SUMPRODUCT(--(T_LEAVE[NAME]=$B26),--(T_LEAVE[DATE]&lt;=N$8),--(T_LEAVE[DATE]&gt;=N$8),ROW(T_LEAVE[LEAVE CODE]))-ROW(T_LEAVE[#Headers]))))))),"")</f>
        <v/>
      </c>
      <c r="O26" s="75" t="str">
        <f>IFERROR(IF(O$8="","NA",IF(O$8&lt;INDEX(T_EMP[START DATE],ROW($B26)-ROW($B$8)),"NE",IF(AND(INDEX(T_EMP[TERMINATION DATE],ROW($B26)-ROW($B$8))&gt;0,O$8&gt;INDEX(T_EMP[TERMINATION DATE],ROW($B26)-ROW($B$8))),"NE",IF(NOT(ISERROR(MATCH(O$8,L_HOLS,0))),"H",IF(INDEX(L_WKNDVAL,WEEKDAY(O$8,1))=1,"WKND",INDEX(T_LEAVE[LEAVE CODE],SUMPRODUCT(--(T_LEAVE[NAME]=$B26),--(T_LEAVE[DATE]&lt;=O$8),--(T_LEAVE[DATE]&gt;=O$8),ROW(T_LEAVE[LEAVE CODE]))-ROW(T_LEAVE[#Headers]))))))),"")</f>
        <v/>
      </c>
      <c r="P26" s="75" t="str">
        <f>IFERROR(IF(P$8="","NA",IF(P$8&lt;INDEX(T_EMP[START DATE],ROW($B26)-ROW($B$8)),"NE",IF(AND(INDEX(T_EMP[TERMINATION DATE],ROW($B26)-ROW($B$8))&gt;0,P$8&gt;INDEX(T_EMP[TERMINATION DATE],ROW($B26)-ROW($B$8))),"NE",IF(NOT(ISERROR(MATCH(P$8,L_HOLS,0))),"H",IF(INDEX(L_WKNDVAL,WEEKDAY(P$8,1))=1,"WKND",INDEX(T_LEAVE[LEAVE CODE],SUMPRODUCT(--(T_LEAVE[NAME]=$B26),--(T_LEAVE[DATE]&lt;=P$8),--(T_LEAVE[DATE]&gt;=P$8),ROW(T_LEAVE[LEAVE CODE]))-ROW(T_LEAVE[#Headers]))))))),"")</f>
        <v>H</v>
      </c>
      <c r="Q26" s="75" t="str">
        <f>IFERROR(IF(Q$8="","NA",IF(Q$8&lt;INDEX(T_EMP[START DATE],ROW($B26)-ROW($B$8)),"NE",IF(AND(INDEX(T_EMP[TERMINATION DATE],ROW($B26)-ROW($B$8))&gt;0,Q$8&gt;INDEX(T_EMP[TERMINATION DATE],ROW($B26)-ROW($B$8))),"NE",IF(NOT(ISERROR(MATCH(Q$8,L_HOLS,0))),"H",IF(INDEX(L_WKNDVAL,WEEKDAY(Q$8,1))=1,"WKND",INDEX(T_LEAVE[LEAVE CODE],SUMPRODUCT(--(T_LEAVE[NAME]=$B26),--(T_LEAVE[DATE]&lt;=Q$8),--(T_LEAVE[DATE]&gt;=Q$8),ROW(T_LEAVE[LEAVE CODE]))-ROW(T_LEAVE[#Headers]))))))),"")</f>
        <v/>
      </c>
      <c r="R26" s="75" t="str">
        <f>IFERROR(IF(R$8="","NA",IF(R$8&lt;INDEX(T_EMP[START DATE],ROW($B26)-ROW($B$8)),"NE",IF(AND(INDEX(T_EMP[TERMINATION DATE],ROW($B26)-ROW($B$8))&gt;0,R$8&gt;INDEX(T_EMP[TERMINATION DATE],ROW($B26)-ROW($B$8))),"NE",IF(NOT(ISERROR(MATCH(R$8,L_HOLS,0))),"H",IF(INDEX(L_WKNDVAL,WEEKDAY(R$8,1))=1,"WKND",INDEX(T_LEAVE[LEAVE CODE],SUMPRODUCT(--(T_LEAVE[NAME]=$B26),--(T_LEAVE[DATE]&lt;=R$8),--(T_LEAVE[DATE]&gt;=R$8),ROW(T_LEAVE[LEAVE CODE]))-ROW(T_LEAVE[#Headers]))))))),"")</f>
        <v/>
      </c>
      <c r="S26" s="75" t="str">
        <f>IFERROR(IF(S$8="","NA",IF(S$8&lt;INDEX(T_EMP[START DATE],ROW($B26)-ROW($B$8)),"NE",IF(AND(INDEX(T_EMP[TERMINATION DATE],ROW($B26)-ROW($B$8))&gt;0,S$8&gt;INDEX(T_EMP[TERMINATION DATE],ROW($B26)-ROW($B$8))),"NE",IF(NOT(ISERROR(MATCH(S$8,L_HOLS,0))),"H",IF(INDEX(L_WKNDVAL,WEEKDAY(S$8,1))=1,"WKND",INDEX(T_LEAVE[LEAVE CODE],SUMPRODUCT(--(T_LEAVE[NAME]=$B26),--(T_LEAVE[DATE]&lt;=S$8),--(T_LEAVE[DATE]&gt;=S$8),ROW(T_LEAVE[LEAVE CODE]))-ROW(T_LEAVE[#Headers]))))))),"")</f>
        <v/>
      </c>
      <c r="T26" s="75" t="str">
        <f>IFERROR(IF(T$8="","NA",IF(T$8&lt;INDEX(T_EMP[START DATE],ROW($B26)-ROW($B$8)),"NE",IF(AND(INDEX(T_EMP[TERMINATION DATE],ROW($B26)-ROW($B$8))&gt;0,T$8&gt;INDEX(T_EMP[TERMINATION DATE],ROW($B26)-ROW($B$8))),"NE",IF(NOT(ISERROR(MATCH(T$8,L_HOLS,0))),"H",IF(INDEX(L_WKNDVAL,WEEKDAY(T$8,1))=1,"WKND",INDEX(T_LEAVE[LEAVE CODE],SUMPRODUCT(--(T_LEAVE[NAME]=$B26),--(T_LEAVE[DATE]&lt;=T$8),--(T_LEAVE[DATE]&gt;=T$8),ROW(T_LEAVE[LEAVE CODE]))-ROW(T_LEAVE[#Headers]))))))),"")</f>
        <v/>
      </c>
      <c r="U26" s="75" t="str">
        <f>IFERROR(IF(U$8="","NA",IF(U$8&lt;INDEX(T_EMP[START DATE],ROW($B26)-ROW($B$8)),"NE",IF(AND(INDEX(T_EMP[TERMINATION DATE],ROW($B26)-ROW($B$8))&gt;0,U$8&gt;INDEX(T_EMP[TERMINATION DATE],ROW($B26)-ROW($B$8))),"NE",IF(NOT(ISERROR(MATCH(U$8,L_HOLS,0))),"H",IF(INDEX(L_WKNDVAL,WEEKDAY(U$8,1))=1,"WKND",INDEX(T_LEAVE[LEAVE CODE],SUMPRODUCT(--(T_LEAVE[NAME]=$B26),--(T_LEAVE[DATE]&lt;=U$8),--(T_LEAVE[DATE]&gt;=U$8),ROW(T_LEAVE[LEAVE CODE]))-ROW(T_LEAVE[#Headers]))))))),"")</f>
        <v/>
      </c>
      <c r="V26" s="75" t="str">
        <f>IFERROR(IF(V$8="","NA",IF(V$8&lt;INDEX(T_EMP[START DATE],ROW($B26)-ROW($B$8)),"NE",IF(AND(INDEX(T_EMP[TERMINATION DATE],ROW($B26)-ROW($B$8))&gt;0,V$8&gt;INDEX(T_EMP[TERMINATION DATE],ROW($B26)-ROW($B$8))),"NE",IF(NOT(ISERROR(MATCH(V$8,L_HOLS,0))),"H",IF(INDEX(L_WKNDVAL,WEEKDAY(V$8,1))=1,"WKND",INDEX(T_LEAVE[LEAVE CODE],SUMPRODUCT(--(T_LEAVE[NAME]=$B26),--(T_LEAVE[DATE]&lt;=V$8),--(T_LEAVE[DATE]&gt;=V$8),ROW(T_LEAVE[LEAVE CODE]))-ROW(T_LEAVE[#Headers]))))))),"")</f>
        <v/>
      </c>
      <c r="W26" s="75" t="str">
        <f>IFERROR(IF(W$8="","NA",IF(W$8&lt;INDEX(T_EMP[START DATE],ROW($B26)-ROW($B$8)),"NE",IF(AND(INDEX(T_EMP[TERMINATION DATE],ROW($B26)-ROW($B$8))&gt;0,W$8&gt;INDEX(T_EMP[TERMINATION DATE],ROW($B26)-ROW($B$8))),"NE",IF(NOT(ISERROR(MATCH(W$8,L_HOLS,0))),"H",IF(INDEX(L_WKNDVAL,WEEKDAY(W$8,1))=1,"WKND",INDEX(T_LEAVE[LEAVE CODE],SUMPRODUCT(--(T_LEAVE[NAME]=$B26),--(T_LEAVE[DATE]&lt;=W$8),--(T_LEAVE[DATE]&gt;=W$8),ROW(T_LEAVE[LEAVE CODE]))-ROW(T_LEAVE[#Headers]))))))),"")</f>
        <v/>
      </c>
      <c r="X26" s="75" t="str">
        <f>IFERROR(IF(X$8="","NA",IF(X$8&lt;INDEX(T_EMP[START DATE],ROW($B26)-ROW($B$8)),"NE",IF(AND(INDEX(T_EMP[TERMINATION DATE],ROW($B26)-ROW($B$8))&gt;0,X$8&gt;INDEX(T_EMP[TERMINATION DATE],ROW($B26)-ROW($B$8))),"NE",IF(NOT(ISERROR(MATCH(X$8,L_HOLS,0))),"H",IF(INDEX(L_WKNDVAL,WEEKDAY(X$8,1))=1,"WKND",INDEX(T_LEAVE[LEAVE CODE],SUMPRODUCT(--(T_LEAVE[NAME]=$B26),--(T_LEAVE[DATE]&lt;=X$8),--(T_LEAVE[DATE]&gt;=X$8),ROW(T_LEAVE[LEAVE CODE]))-ROW(T_LEAVE[#Headers]))))))),"")</f>
        <v/>
      </c>
      <c r="Y26" s="75" t="str">
        <f>IFERROR(IF(Y$8="","NA",IF(Y$8&lt;INDEX(T_EMP[START DATE],ROW($B26)-ROW($B$8)),"NE",IF(AND(INDEX(T_EMP[TERMINATION DATE],ROW($B26)-ROW($B$8))&gt;0,Y$8&gt;INDEX(T_EMP[TERMINATION DATE],ROW($B26)-ROW($B$8))),"NE",IF(NOT(ISERROR(MATCH(Y$8,L_HOLS,0))),"H",IF(INDEX(L_WKNDVAL,WEEKDAY(Y$8,1))=1,"WKND",INDEX(T_LEAVE[LEAVE CODE],SUMPRODUCT(--(T_LEAVE[NAME]=$B26),--(T_LEAVE[DATE]&lt;=Y$8),--(T_LEAVE[DATE]&gt;=Y$8),ROW(T_LEAVE[LEAVE CODE]))-ROW(T_LEAVE[#Headers]))))))),"")</f>
        <v/>
      </c>
      <c r="Z26" s="75" t="str">
        <f>IFERROR(IF(Z$8="","NA",IF(Z$8&lt;INDEX(T_EMP[START DATE],ROW($B26)-ROW($B$8)),"NE",IF(AND(INDEX(T_EMP[TERMINATION DATE],ROW($B26)-ROW($B$8))&gt;0,Z$8&gt;INDEX(T_EMP[TERMINATION DATE],ROW($B26)-ROW($B$8))),"NE",IF(NOT(ISERROR(MATCH(Z$8,L_HOLS,0))),"H",IF(INDEX(L_WKNDVAL,WEEKDAY(Z$8,1))=1,"WKND",INDEX(T_LEAVE[LEAVE CODE],SUMPRODUCT(--(T_LEAVE[NAME]=$B26),--(T_LEAVE[DATE]&lt;=Z$8),--(T_LEAVE[DATE]&gt;=Z$8),ROW(T_LEAVE[LEAVE CODE]))-ROW(T_LEAVE[#Headers]))))))),"")</f>
        <v/>
      </c>
      <c r="AA26" s="75" t="str">
        <f>IFERROR(IF(AA$8="","NA",IF(AA$8&lt;INDEX(T_EMP[START DATE],ROW($B26)-ROW($B$8)),"NE",IF(AND(INDEX(T_EMP[TERMINATION DATE],ROW($B26)-ROW($B$8))&gt;0,AA$8&gt;INDEX(T_EMP[TERMINATION DATE],ROW($B26)-ROW($B$8))),"NE",IF(NOT(ISERROR(MATCH(AA$8,L_HOLS,0))),"H",IF(INDEX(L_WKNDVAL,WEEKDAY(AA$8,1))=1,"WKND",INDEX(T_LEAVE[LEAVE CODE],SUMPRODUCT(--(T_LEAVE[NAME]=$B26),--(T_LEAVE[DATE]&lt;=AA$8),--(T_LEAVE[DATE]&gt;=AA$8),ROW(T_LEAVE[LEAVE CODE]))-ROW(T_LEAVE[#Headers]))))))),"")</f>
        <v/>
      </c>
      <c r="AB26" s="75" t="str">
        <f>IFERROR(IF(AB$8="","NA",IF(AB$8&lt;INDEX(T_EMP[START DATE],ROW($B26)-ROW($B$8)),"NE",IF(AND(INDEX(T_EMP[TERMINATION DATE],ROW($B26)-ROW($B$8))&gt;0,AB$8&gt;INDEX(T_EMP[TERMINATION DATE],ROW($B26)-ROW($B$8))),"NE",IF(NOT(ISERROR(MATCH(AB$8,L_HOLS,0))),"H",IF(INDEX(L_WKNDVAL,WEEKDAY(AB$8,1))=1,"WKND",INDEX(T_LEAVE[LEAVE CODE],SUMPRODUCT(--(T_LEAVE[NAME]=$B26),--(T_LEAVE[DATE]&lt;=AB$8),--(T_LEAVE[DATE]&gt;=AB$8),ROW(T_LEAVE[LEAVE CODE]))-ROW(T_LEAVE[#Headers]))))))),"")</f>
        <v/>
      </c>
      <c r="AC26" s="75" t="str">
        <f>IFERROR(IF(AC$8="","NA",IF(AC$8&lt;INDEX(T_EMP[START DATE],ROW($B26)-ROW($B$8)),"NE",IF(AND(INDEX(T_EMP[TERMINATION DATE],ROW($B26)-ROW($B$8))&gt;0,AC$8&gt;INDEX(T_EMP[TERMINATION DATE],ROW($B26)-ROW($B$8))),"NE",IF(NOT(ISERROR(MATCH(AC$8,L_HOLS,0))),"H",IF(INDEX(L_WKNDVAL,WEEKDAY(AC$8,1))=1,"WKND",INDEX(T_LEAVE[LEAVE CODE],SUMPRODUCT(--(T_LEAVE[NAME]=$B26),--(T_LEAVE[DATE]&lt;=AC$8),--(T_LEAVE[DATE]&gt;=AC$8),ROW(T_LEAVE[LEAVE CODE]))-ROW(T_LEAVE[#Headers]))))))),"")</f>
        <v/>
      </c>
      <c r="AD26" s="75" t="str">
        <f>IFERROR(IF(AD$8="","NA",IF(AD$8&lt;INDEX(T_EMP[START DATE],ROW($B26)-ROW($B$8)),"NE",IF(AND(INDEX(T_EMP[TERMINATION DATE],ROW($B26)-ROW($B$8))&gt;0,AD$8&gt;INDEX(T_EMP[TERMINATION DATE],ROW($B26)-ROW($B$8))),"NE",IF(NOT(ISERROR(MATCH(AD$8,L_HOLS,0))),"H",IF(INDEX(L_WKNDVAL,WEEKDAY(AD$8,1))=1,"WKND",INDEX(T_LEAVE[LEAVE CODE],SUMPRODUCT(--(T_LEAVE[NAME]=$B26),--(T_LEAVE[DATE]&lt;=AD$8),--(T_LEAVE[DATE]&gt;=AD$8),ROW(T_LEAVE[LEAVE CODE]))-ROW(T_LEAVE[#Headers]))))))),"")</f>
        <v/>
      </c>
      <c r="AE26" s="75" t="str">
        <f>IFERROR(IF(AE$8="","NA",IF(AE$8&lt;INDEX(T_EMP[START DATE],ROW($B26)-ROW($B$8)),"NE",IF(AND(INDEX(T_EMP[TERMINATION DATE],ROW($B26)-ROW($B$8))&gt;0,AE$8&gt;INDEX(T_EMP[TERMINATION DATE],ROW($B26)-ROW($B$8))),"NE",IF(NOT(ISERROR(MATCH(AE$8,L_HOLS,0))),"H",IF(INDEX(L_WKNDVAL,WEEKDAY(AE$8,1))=1,"WKND",INDEX(T_LEAVE[LEAVE CODE],SUMPRODUCT(--(T_LEAVE[NAME]=$B26),--(T_LEAVE[DATE]&lt;=AE$8),--(T_LEAVE[DATE]&gt;=AE$8),ROW(T_LEAVE[LEAVE CODE]))-ROW(T_LEAVE[#Headers]))))))),"")</f>
        <v/>
      </c>
      <c r="AF26" s="75" t="str">
        <f>IFERROR(IF(AF$8="","NA",IF(AF$8&lt;INDEX(T_EMP[START DATE],ROW($B26)-ROW($B$8)),"NE",IF(AND(INDEX(T_EMP[TERMINATION DATE],ROW($B26)-ROW($B$8))&gt;0,AF$8&gt;INDEX(T_EMP[TERMINATION DATE],ROW($B26)-ROW($B$8))),"NE",IF(NOT(ISERROR(MATCH(AF$8,L_HOLS,0))),"H",IF(INDEX(L_WKNDVAL,WEEKDAY(AF$8,1))=1,"WKND",INDEX(T_LEAVE[LEAVE CODE],SUMPRODUCT(--(T_LEAVE[NAME]=$B26),--(T_LEAVE[DATE]&lt;=AF$8),--(T_LEAVE[DATE]&gt;=AF$8),ROW(T_LEAVE[LEAVE CODE]))-ROW(T_LEAVE[#Headers]))))))),"")</f>
        <v/>
      </c>
      <c r="AG26" s="75" t="str">
        <f>IFERROR(IF(AG$8="","NA",IF(AG$8&lt;INDEX(T_EMP[START DATE],ROW($B26)-ROW($B$8)),"NE",IF(AND(INDEX(T_EMP[TERMINATION DATE],ROW($B26)-ROW($B$8))&gt;0,AG$8&gt;INDEX(T_EMP[TERMINATION DATE],ROW($B26)-ROW($B$8))),"NE",IF(NOT(ISERROR(MATCH(AG$8,L_HOLS,0))),"H",IF(INDEX(L_WKNDVAL,WEEKDAY(AG$8,1))=1,"WKND",INDEX(T_LEAVE[LEAVE CODE],SUMPRODUCT(--(T_LEAVE[NAME]=$B26),--(T_LEAVE[DATE]&lt;=AG$8),--(T_LEAVE[DATE]&gt;=AG$8),ROW(T_LEAVE[LEAVE CODE]))-ROW(T_LEAVE[#Headers]))))))),"")</f>
        <v/>
      </c>
      <c r="AH26" s="75" t="str">
        <f>IFERROR(IF(AH$8="","NA",IF(AH$8&lt;INDEX(T_EMP[START DATE],ROW($B26)-ROW($B$8)),"NE",IF(AND(INDEX(T_EMP[TERMINATION DATE],ROW($B26)-ROW($B$8))&gt;0,AH$8&gt;INDEX(T_EMP[TERMINATION DATE],ROW($B26)-ROW($B$8))),"NE",IF(NOT(ISERROR(MATCH(AH$8,L_HOLS,0))),"H",IF(INDEX(L_WKNDVAL,WEEKDAY(AH$8,1))=1,"WKND",INDEX(T_LEAVE[LEAVE CODE],SUMPRODUCT(--(T_LEAVE[NAME]=$B26),--(T_LEAVE[DATE]&lt;=AH$8),--(T_LEAVE[DATE]&gt;=AH$8),ROW(T_LEAVE[LEAVE CODE]))-ROW(T_LEAVE[#Headers]))))))),"")</f>
        <v/>
      </c>
      <c r="AJ26" s="88">
        <f>IF(OR($B26="",AJ$8=""),"",COUNTIFS($D26:$AH26,AJ$8)*INDEX(T_LEAVETYPE[DAY VALUE],1))</f>
        <v>0</v>
      </c>
      <c r="AK26" s="88">
        <f>IF(OR($B26="",AK$8=""),"",COUNTIFS($D26:$AH26,AK$8)*INDEX(T_LEAVETYPE[DAY VALUE],2))</f>
        <v>0</v>
      </c>
      <c r="AL26" s="88">
        <f>IF(OR($B26="",AL$8=""),"",COUNTIFS($D26:$AH26,AL$8)*INDEX(T_LEAVETYPE[DAY VALUE],3))</f>
        <v>0</v>
      </c>
      <c r="AM26" s="88">
        <f>IF(OR($B26="",AM$8=""),"",COUNTIFS($D26:$AH26,AM$8)*INDEX(T_LEAVETYPE[DAY VALUE],4))</f>
        <v>0</v>
      </c>
      <c r="AN26" s="88">
        <f>IF(OR($B26="",AN$8=""),"",COUNTIFS($D26:$AH26,AN$8)*INDEX(T_LEAVETYPE[DAY VALUE],5))</f>
        <v>0</v>
      </c>
      <c r="AO26" s="88">
        <f>IF(OR($B26="",AO$8=""),"",COUNTIFS($D26:$AH26,AO$8)*INDEX(T_LEAVETYPE[DAY VALUE],6))</f>
        <v>0</v>
      </c>
      <c r="AP26" s="88">
        <f>IF(OR($B26="",AP$8=""),"",COUNTIFS($D26:$AH26,AP$8)*INDEX(T_LEAVETYPE[DAY VALUE],7))</f>
        <v>0</v>
      </c>
      <c r="AQ26" s="88">
        <f>IF(OR($B26="",AQ$8=""),"",COUNTIFS($D26:$AH26,AQ$8)*INDEX(T_LEAVETYPE[DAY VALUE],8))</f>
        <v>0</v>
      </c>
      <c r="AR26" s="89">
        <f t="shared" si="3"/>
        <v>0</v>
      </c>
    </row>
    <row r="27" spans="1:44" x14ac:dyDescent="0.25">
      <c r="A27" s="90">
        <f t="shared" si="4"/>
        <v>19</v>
      </c>
      <c r="B27" s="74" t="str">
        <f>IFERROR(INDEX(T_EMP[NAME],ROW(B27)-ROW($B$8)),"")</f>
        <v>ACOSTA, JOSEPH VAUGHN</v>
      </c>
      <c r="C27" s="91" t="str">
        <f>IFERROR(INDEX(T_EMP[DEPARTMENT],ROW(B27)-ROW($C$8)),"")</f>
        <v>IB SUPPORT</v>
      </c>
      <c r="D27" s="75" t="str">
        <f>IFERROR(IF(D$8="","NA",IF(D$8&lt;INDEX(T_EMP[START DATE],ROW($B27)-ROW($B$8)),"NE",IF(AND(INDEX(T_EMP[TERMINATION DATE],ROW($B27)-ROW($B$8))&gt;0,D$8&gt;INDEX(T_EMP[TERMINATION DATE],ROW($B27)-ROW($B$8))),"NE",IF(NOT(ISERROR(MATCH(D$8,L_HOLS,0))),"H",IF(INDEX(L_WKNDVAL,WEEKDAY(D$8,1))=1,"WKND",INDEX(T_LEAVE[LEAVE CODE],SUMPRODUCT(--(T_LEAVE[NAME]=$B27),--(T_LEAVE[DATE]&lt;=D$8),--(T_LEAVE[DATE]&gt;=D$8),ROW(T_LEAVE[LEAVE CODE]))-ROW(T_LEAVE[#Headers]))))))),"")</f>
        <v>H</v>
      </c>
      <c r="E27" s="75" t="str">
        <f>IFERROR(IF(E$8="","NA",IF(E$8&lt;INDEX(T_EMP[START DATE],ROW($B27)-ROW($B$8)),"NE",IF(AND(INDEX(T_EMP[TERMINATION DATE],ROW($B27)-ROW($B$8))&gt;0,E$8&gt;INDEX(T_EMP[TERMINATION DATE],ROW($B27)-ROW($B$8))),"NE",IF(NOT(ISERROR(MATCH(E$8,L_HOLS,0))),"H",IF(INDEX(L_WKNDVAL,WEEKDAY(E$8,1))=1,"WKND",INDEX(T_LEAVE[LEAVE CODE],SUMPRODUCT(--(T_LEAVE[NAME]=$B27),--(T_LEAVE[DATE]&lt;=E$8),--(T_LEAVE[DATE]&gt;=E$8),ROW(T_LEAVE[LEAVE CODE]))-ROW(T_LEAVE[#Headers]))))))),"")</f>
        <v/>
      </c>
      <c r="F27" s="75" t="str">
        <f>IFERROR(IF(F$8="","NA",IF(F$8&lt;INDEX(T_EMP[START DATE],ROW($B27)-ROW($B$8)),"NE",IF(AND(INDEX(T_EMP[TERMINATION DATE],ROW($B27)-ROW($B$8))&gt;0,F$8&gt;INDEX(T_EMP[TERMINATION DATE],ROW($B27)-ROW($B$8))),"NE",IF(NOT(ISERROR(MATCH(F$8,L_HOLS,0))),"H",IF(INDEX(L_WKNDVAL,WEEKDAY(F$8,1))=1,"WKND",INDEX(T_LEAVE[LEAVE CODE],SUMPRODUCT(--(T_LEAVE[NAME]=$B27),--(T_LEAVE[DATE]&lt;=F$8),--(T_LEAVE[DATE]&gt;=F$8),ROW(T_LEAVE[LEAVE CODE]))-ROW(T_LEAVE[#Headers]))))))),"")</f>
        <v/>
      </c>
      <c r="G27" s="75" t="str">
        <f>IFERROR(IF(G$8="","NA",IF(G$8&lt;INDEX(T_EMP[START DATE],ROW($B27)-ROW($B$8)),"NE",IF(AND(INDEX(T_EMP[TERMINATION DATE],ROW($B27)-ROW($B$8))&gt;0,G$8&gt;INDEX(T_EMP[TERMINATION DATE],ROW($B27)-ROW($B$8))),"NE",IF(NOT(ISERROR(MATCH(G$8,L_HOLS,0))),"H",IF(INDEX(L_WKNDVAL,WEEKDAY(G$8,1))=1,"WKND",INDEX(T_LEAVE[LEAVE CODE],SUMPRODUCT(--(T_LEAVE[NAME]=$B27),--(T_LEAVE[DATE]&lt;=G$8),--(T_LEAVE[DATE]&gt;=G$8),ROW(T_LEAVE[LEAVE CODE]))-ROW(T_LEAVE[#Headers]))))))),"")</f>
        <v/>
      </c>
      <c r="H27" s="75" t="str">
        <f>IFERROR(IF(H$8="","NA",IF(H$8&lt;INDEX(T_EMP[START DATE],ROW($B27)-ROW($B$8)),"NE",IF(AND(INDEX(T_EMP[TERMINATION DATE],ROW($B27)-ROW($B$8))&gt;0,H$8&gt;INDEX(T_EMP[TERMINATION DATE],ROW($B27)-ROW($B$8))),"NE",IF(NOT(ISERROR(MATCH(H$8,L_HOLS,0))),"H",IF(INDEX(L_WKNDVAL,WEEKDAY(H$8,1))=1,"WKND",INDEX(T_LEAVE[LEAVE CODE],SUMPRODUCT(--(T_LEAVE[NAME]=$B27),--(T_LEAVE[DATE]&lt;=H$8),--(T_LEAVE[DATE]&gt;=H$8),ROW(T_LEAVE[LEAVE CODE]))-ROW(T_LEAVE[#Headers]))))))),"")</f>
        <v/>
      </c>
      <c r="I27" s="75" t="str">
        <f>IFERROR(IF(I$8="","NA",IF(I$8&lt;INDEX(T_EMP[START DATE],ROW($B27)-ROW($B$8)),"NE",IF(AND(INDEX(T_EMP[TERMINATION DATE],ROW($B27)-ROW($B$8))&gt;0,I$8&gt;INDEX(T_EMP[TERMINATION DATE],ROW($B27)-ROW($B$8))),"NE",IF(NOT(ISERROR(MATCH(I$8,L_HOLS,0))),"H",IF(INDEX(L_WKNDVAL,WEEKDAY(I$8,1))=1,"WKND",INDEX(T_LEAVE[LEAVE CODE],SUMPRODUCT(--(T_LEAVE[NAME]=$B27),--(T_LEAVE[DATE]&lt;=I$8),--(T_LEAVE[DATE]&gt;=I$8),ROW(T_LEAVE[LEAVE CODE]))-ROW(T_LEAVE[#Headers]))))))),"")</f>
        <v/>
      </c>
      <c r="J27" s="75" t="str">
        <f>IFERROR(IF(J$8="","NA",IF(J$8&lt;INDEX(T_EMP[START DATE],ROW($B27)-ROW($B$8)),"NE",IF(AND(INDEX(T_EMP[TERMINATION DATE],ROW($B27)-ROW($B$8))&gt;0,J$8&gt;INDEX(T_EMP[TERMINATION DATE],ROW($B27)-ROW($B$8))),"NE",IF(NOT(ISERROR(MATCH(J$8,L_HOLS,0))),"H",IF(INDEX(L_WKNDVAL,WEEKDAY(J$8,1))=1,"WKND",INDEX(T_LEAVE[LEAVE CODE],SUMPRODUCT(--(T_LEAVE[NAME]=$B27),--(T_LEAVE[DATE]&lt;=J$8),--(T_LEAVE[DATE]&gt;=J$8),ROW(T_LEAVE[LEAVE CODE]))-ROW(T_LEAVE[#Headers]))))))),"")</f>
        <v/>
      </c>
      <c r="K27" s="75" t="str">
        <f>IFERROR(IF(K$8="","NA",IF(K$8&lt;INDEX(T_EMP[START DATE],ROW($B27)-ROW($B$8)),"NE",IF(AND(INDEX(T_EMP[TERMINATION DATE],ROW($B27)-ROW($B$8))&gt;0,K$8&gt;INDEX(T_EMP[TERMINATION DATE],ROW($B27)-ROW($B$8))),"NE",IF(NOT(ISERROR(MATCH(K$8,L_HOLS,0))),"H",IF(INDEX(L_WKNDVAL,WEEKDAY(K$8,1))=1,"WKND",INDEX(T_LEAVE[LEAVE CODE],SUMPRODUCT(--(T_LEAVE[NAME]=$B27),--(T_LEAVE[DATE]&lt;=K$8),--(T_LEAVE[DATE]&gt;=K$8),ROW(T_LEAVE[LEAVE CODE]))-ROW(T_LEAVE[#Headers]))))))),"")</f>
        <v/>
      </c>
      <c r="L27" s="75" t="str">
        <f>IFERROR(IF(L$8="","NA",IF(L$8&lt;INDEX(T_EMP[START DATE],ROW($B27)-ROW($B$8)),"NE",IF(AND(INDEX(T_EMP[TERMINATION DATE],ROW($B27)-ROW($B$8))&gt;0,L$8&gt;INDEX(T_EMP[TERMINATION DATE],ROW($B27)-ROW($B$8))),"NE",IF(NOT(ISERROR(MATCH(L$8,L_HOLS,0))),"H",IF(INDEX(L_WKNDVAL,WEEKDAY(L$8,1))=1,"WKND",INDEX(T_LEAVE[LEAVE CODE],SUMPRODUCT(--(T_LEAVE[NAME]=$B27),--(T_LEAVE[DATE]&lt;=L$8),--(T_LEAVE[DATE]&gt;=L$8),ROW(T_LEAVE[LEAVE CODE]))-ROW(T_LEAVE[#Headers]))))))),"")</f>
        <v/>
      </c>
      <c r="M27" s="75" t="str">
        <f>IFERROR(IF(M$8="","NA",IF(M$8&lt;INDEX(T_EMP[START DATE],ROW($B27)-ROW($B$8)),"NE",IF(AND(INDEX(T_EMP[TERMINATION DATE],ROW($B27)-ROW($B$8))&gt;0,M$8&gt;INDEX(T_EMP[TERMINATION DATE],ROW($B27)-ROW($B$8))),"NE",IF(NOT(ISERROR(MATCH(M$8,L_HOLS,0))),"H",IF(INDEX(L_WKNDVAL,WEEKDAY(M$8,1))=1,"WKND",INDEX(T_LEAVE[LEAVE CODE],SUMPRODUCT(--(T_LEAVE[NAME]=$B27),--(T_LEAVE[DATE]&lt;=M$8),--(T_LEAVE[DATE]&gt;=M$8),ROW(T_LEAVE[LEAVE CODE]))-ROW(T_LEAVE[#Headers]))))))),"")</f>
        <v/>
      </c>
      <c r="N27" s="75" t="str">
        <f>IFERROR(IF(N$8="","NA",IF(N$8&lt;INDEX(T_EMP[START DATE],ROW($B27)-ROW($B$8)),"NE",IF(AND(INDEX(T_EMP[TERMINATION DATE],ROW($B27)-ROW($B$8))&gt;0,N$8&gt;INDEX(T_EMP[TERMINATION DATE],ROW($B27)-ROW($B$8))),"NE",IF(NOT(ISERROR(MATCH(N$8,L_HOLS,0))),"H",IF(INDEX(L_WKNDVAL,WEEKDAY(N$8,1))=1,"WKND",INDEX(T_LEAVE[LEAVE CODE],SUMPRODUCT(--(T_LEAVE[NAME]=$B27),--(T_LEAVE[DATE]&lt;=N$8),--(T_LEAVE[DATE]&gt;=N$8),ROW(T_LEAVE[LEAVE CODE]))-ROW(T_LEAVE[#Headers]))))))),"")</f>
        <v/>
      </c>
      <c r="O27" s="75" t="str">
        <f>IFERROR(IF(O$8="","NA",IF(O$8&lt;INDEX(T_EMP[START DATE],ROW($B27)-ROW($B$8)),"NE",IF(AND(INDEX(T_EMP[TERMINATION DATE],ROW($B27)-ROW($B$8))&gt;0,O$8&gt;INDEX(T_EMP[TERMINATION DATE],ROW($B27)-ROW($B$8))),"NE",IF(NOT(ISERROR(MATCH(O$8,L_HOLS,0))),"H",IF(INDEX(L_WKNDVAL,WEEKDAY(O$8,1))=1,"WKND",INDEX(T_LEAVE[LEAVE CODE],SUMPRODUCT(--(T_LEAVE[NAME]=$B27),--(T_LEAVE[DATE]&lt;=O$8),--(T_LEAVE[DATE]&gt;=O$8),ROW(T_LEAVE[LEAVE CODE]))-ROW(T_LEAVE[#Headers]))))))),"")</f>
        <v/>
      </c>
      <c r="P27" s="75" t="str">
        <f>IFERROR(IF(P$8="","NA",IF(P$8&lt;INDEX(T_EMP[START DATE],ROW($B27)-ROW($B$8)),"NE",IF(AND(INDEX(T_EMP[TERMINATION DATE],ROW($B27)-ROW($B$8))&gt;0,P$8&gt;INDEX(T_EMP[TERMINATION DATE],ROW($B27)-ROW($B$8))),"NE",IF(NOT(ISERROR(MATCH(P$8,L_HOLS,0))),"H",IF(INDEX(L_WKNDVAL,WEEKDAY(P$8,1))=1,"WKND",INDEX(T_LEAVE[LEAVE CODE],SUMPRODUCT(--(T_LEAVE[NAME]=$B27),--(T_LEAVE[DATE]&lt;=P$8),--(T_LEAVE[DATE]&gt;=P$8),ROW(T_LEAVE[LEAVE CODE]))-ROW(T_LEAVE[#Headers]))))))),"")</f>
        <v>H</v>
      </c>
      <c r="Q27" s="75" t="str">
        <f>IFERROR(IF(Q$8="","NA",IF(Q$8&lt;INDEX(T_EMP[START DATE],ROW($B27)-ROW($B$8)),"NE",IF(AND(INDEX(T_EMP[TERMINATION DATE],ROW($B27)-ROW($B$8))&gt;0,Q$8&gt;INDEX(T_EMP[TERMINATION DATE],ROW($B27)-ROW($B$8))),"NE",IF(NOT(ISERROR(MATCH(Q$8,L_HOLS,0))),"H",IF(INDEX(L_WKNDVAL,WEEKDAY(Q$8,1))=1,"WKND",INDEX(T_LEAVE[LEAVE CODE],SUMPRODUCT(--(T_LEAVE[NAME]=$B27),--(T_LEAVE[DATE]&lt;=Q$8),--(T_LEAVE[DATE]&gt;=Q$8),ROW(T_LEAVE[LEAVE CODE]))-ROW(T_LEAVE[#Headers]))))))),"")</f>
        <v/>
      </c>
      <c r="R27" s="75" t="str">
        <f>IFERROR(IF(R$8="","NA",IF(R$8&lt;INDEX(T_EMP[START DATE],ROW($B27)-ROW($B$8)),"NE",IF(AND(INDEX(T_EMP[TERMINATION DATE],ROW($B27)-ROW($B$8))&gt;0,R$8&gt;INDEX(T_EMP[TERMINATION DATE],ROW($B27)-ROW($B$8))),"NE",IF(NOT(ISERROR(MATCH(R$8,L_HOLS,0))),"H",IF(INDEX(L_WKNDVAL,WEEKDAY(R$8,1))=1,"WKND",INDEX(T_LEAVE[LEAVE CODE],SUMPRODUCT(--(T_LEAVE[NAME]=$B27),--(T_LEAVE[DATE]&lt;=R$8),--(T_LEAVE[DATE]&gt;=R$8),ROW(T_LEAVE[LEAVE CODE]))-ROW(T_LEAVE[#Headers]))))))),"")</f>
        <v/>
      </c>
      <c r="S27" s="75" t="str">
        <f>IFERROR(IF(S$8="","NA",IF(S$8&lt;INDEX(T_EMP[START DATE],ROW($B27)-ROW($B$8)),"NE",IF(AND(INDEX(T_EMP[TERMINATION DATE],ROW($B27)-ROW($B$8))&gt;0,S$8&gt;INDEX(T_EMP[TERMINATION DATE],ROW($B27)-ROW($B$8))),"NE",IF(NOT(ISERROR(MATCH(S$8,L_HOLS,0))),"H",IF(INDEX(L_WKNDVAL,WEEKDAY(S$8,1))=1,"WKND",INDEX(T_LEAVE[LEAVE CODE],SUMPRODUCT(--(T_LEAVE[NAME]=$B27),--(T_LEAVE[DATE]&lt;=S$8),--(T_LEAVE[DATE]&gt;=S$8),ROW(T_LEAVE[LEAVE CODE]))-ROW(T_LEAVE[#Headers]))))))),"")</f>
        <v/>
      </c>
      <c r="T27" s="75" t="str">
        <f>IFERROR(IF(T$8="","NA",IF(T$8&lt;INDEX(T_EMP[START DATE],ROW($B27)-ROW($B$8)),"NE",IF(AND(INDEX(T_EMP[TERMINATION DATE],ROW($B27)-ROW($B$8))&gt;0,T$8&gt;INDEX(T_EMP[TERMINATION DATE],ROW($B27)-ROW($B$8))),"NE",IF(NOT(ISERROR(MATCH(T$8,L_HOLS,0))),"H",IF(INDEX(L_WKNDVAL,WEEKDAY(T$8,1))=1,"WKND",INDEX(T_LEAVE[LEAVE CODE],SUMPRODUCT(--(T_LEAVE[NAME]=$B27),--(T_LEAVE[DATE]&lt;=T$8),--(T_LEAVE[DATE]&gt;=T$8),ROW(T_LEAVE[LEAVE CODE]))-ROW(T_LEAVE[#Headers]))))))),"")</f>
        <v/>
      </c>
      <c r="U27" s="75" t="str">
        <f>IFERROR(IF(U$8="","NA",IF(U$8&lt;INDEX(T_EMP[START DATE],ROW($B27)-ROW($B$8)),"NE",IF(AND(INDEX(T_EMP[TERMINATION DATE],ROW($B27)-ROW($B$8))&gt;0,U$8&gt;INDEX(T_EMP[TERMINATION DATE],ROW($B27)-ROW($B$8))),"NE",IF(NOT(ISERROR(MATCH(U$8,L_HOLS,0))),"H",IF(INDEX(L_WKNDVAL,WEEKDAY(U$8,1))=1,"WKND",INDEX(T_LEAVE[LEAVE CODE],SUMPRODUCT(--(T_LEAVE[NAME]=$B27),--(T_LEAVE[DATE]&lt;=U$8),--(T_LEAVE[DATE]&gt;=U$8),ROW(T_LEAVE[LEAVE CODE]))-ROW(T_LEAVE[#Headers]))))))),"")</f>
        <v/>
      </c>
      <c r="V27" s="75" t="str">
        <f>IFERROR(IF(V$8="","NA",IF(V$8&lt;INDEX(T_EMP[START DATE],ROW($B27)-ROW($B$8)),"NE",IF(AND(INDEX(T_EMP[TERMINATION DATE],ROW($B27)-ROW($B$8))&gt;0,V$8&gt;INDEX(T_EMP[TERMINATION DATE],ROW($B27)-ROW($B$8))),"NE",IF(NOT(ISERROR(MATCH(V$8,L_HOLS,0))),"H",IF(INDEX(L_WKNDVAL,WEEKDAY(V$8,1))=1,"WKND",INDEX(T_LEAVE[LEAVE CODE],SUMPRODUCT(--(T_LEAVE[NAME]=$B27),--(T_LEAVE[DATE]&lt;=V$8),--(T_LEAVE[DATE]&gt;=V$8),ROW(T_LEAVE[LEAVE CODE]))-ROW(T_LEAVE[#Headers]))))))),"")</f>
        <v/>
      </c>
      <c r="W27" s="75" t="str">
        <f>IFERROR(IF(W$8="","NA",IF(W$8&lt;INDEX(T_EMP[START DATE],ROW($B27)-ROW($B$8)),"NE",IF(AND(INDEX(T_EMP[TERMINATION DATE],ROW($B27)-ROW($B$8))&gt;0,W$8&gt;INDEX(T_EMP[TERMINATION DATE],ROW($B27)-ROW($B$8))),"NE",IF(NOT(ISERROR(MATCH(W$8,L_HOLS,0))),"H",IF(INDEX(L_WKNDVAL,WEEKDAY(W$8,1))=1,"WKND",INDEX(T_LEAVE[LEAVE CODE],SUMPRODUCT(--(T_LEAVE[NAME]=$B27),--(T_LEAVE[DATE]&lt;=W$8),--(T_LEAVE[DATE]&gt;=W$8),ROW(T_LEAVE[LEAVE CODE]))-ROW(T_LEAVE[#Headers]))))))),"")</f>
        <v/>
      </c>
      <c r="X27" s="75" t="str">
        <f>IFERROR(IF(X$8="","NA",IF(X$8&lt;INDEX(T_EMP[START DATE],ROW($B27)-ROW($B$8)),"NE",IF(AND(INDEX(T_EMP[TERMINATION DATE],ROW($B27)-ROW($B$8))&gt;0,X$8&gt;INDEX(T_EMP[TERMINATION DATE],ROW($B27)-ROW($B$8))),"NE",IF(NOT(ISERROR(MATCH(X$8,L_HOLS,0))),"H",IF(INDEX(L_WKNDVAL,WEEKDAY(X$8,1))=1,"WKND",INDEX(T_LEAVE[LEAVE CODE],SUMPRODUCT(--(T_LEAVE[NAME]=$B27),--(T_LEAVE[DATE]&lt;=X$8),--(T_LEAVE[DATE]&gt;=X$8),ROW(T_LEAVE[LEAVE CODE]))-ROW(T_LEAVE[#Headers]))))))),"")</f>
        <v/>
      </c>
      <c r="Y27" s="75" t="str">
        <f>IFERROR(IF(Y$8="","NA",IF(Y$8&lt;INDEX(T_EMP[START DATE],ROW($B27)-ROW($B$8)),"NE",IF(AND(INDEX(T_EMP[TERMINATION DATE],ROW($B27)-ROW($B$8))&gt;0,Y$8&gt;INDEX(T_EMP[TERMINATION DATE],ROW($B27)-ROW($B$8))),"NE",IF(NOT(ISERROR(MATCH(Y$8,L_HOLS,0))),"H",IF(INDEX(L_WKNDVAL,WEEKDAY(Y$8,1))=1,"WKND",INDEX(T_LEAVE[LEAVE CODE],SUMPRODUCT(--(T_LEAVE[NAME]=$B27),--(T_LEAVE[DATE]&lt;=Y$8),--(T_LEAVE[DATE]&gt;=Y$8),ROW(T_LEAVE[LEAVE CODE]))-ROW(T_LEAVE[#Headers]))))))),"")</f>
        <v/>
      </c>
      <c r="Z27" s="75" t="str">
        <f>IFERROR(IF(Z$8="","NA",IF(Z$8&lt;INDEX(T_EMP[START DATE],ROW($B27)-ROW($B$8)),"NE",IF(AND(INDEX(T_EMP[TERMINATION DATE],ROW($B27)-ROW($B$8))&gt;0,Z$8&gt;INDEX(T_EMP[TERMINATION DATE],ROW($B27)-ROW($B$8))),"NE",IF(NOT(ISERROR(MATCH(Z$8,L_HOLS,0))),"H",IF(INDEX(L_WKNDVAL,WEEKDAY(Z$8,1))=1,"WKND",INDEX(T_LEAVE[LEAVE CODE],SUMPRODUCT(--(T_LEAVE[NAME]=$B27),--(T_LEAVE[DATE]&lt;=Z$8),--(T_LEAVE[DATE]&gt;=Z$8),ROW(T_LEAVE[LEAVE CODE]))-ROW(T_LEAVE[#Headers]))))))),"")</f>
        <v/>
      </c>
      <c r="AA27" s="75" t="str">
        <f>IFERROR(IF(AA$8="","NA",IF(AA$8&lt;INDEX(T_EMP[START DATE],ROW($B27)-ROW($B$8)),"NE",IF(AND(INDEX(T_EMP[TERMINATION DATE],ROW($B27)-ROW($B$8))&gt;0,AA$8&gt;INDEX(T_EMP[TERMINATION DATE],ROW($B27)-ROW($B$8))),"NE",IF(NOT(ISERROR(MATCH(AA$8,L_HOLS,0))),"H",IF(INDEX(L_WKNDVAL,WEEKDAY(AA$8,1))=1,"WKND",INDEX(T_LEAVE[LEAVE CODE],SUMPRODUCT(--(T_LEAVE[NAME]=$B27),--(T_LEAVE[DATE]&lt;=AA$8),--(T_LEAVE[DATE]&gt;=AA$8),ROW(T_LEAVE[LEAVE CODE]))-ROW(T_LEAVE[#Headers]))))))),"")</f>
        <v/>
      </c>
      <c r="AB27" s="75" t="str">
        <f>IFERROR(IF(AB$8="","NA",IF(AB$8&lt;INDEX(T_EMP[START DATE],ROW($B27)-ROW($B$8)),"NE",IF(AND(INDEX(T_EMP[TERMINATION DATE],ROW($B27)-ROW($B$8))&gt;0,AB$8&gt;INDEX(T_EMP[TERMINATION DATE],ROW($B27)-ROW($B$8))),"NE",IF(NOT(ISERROR(MATCH(AB$8,L_HOLS,0))),"H",IF(INDEX(L_WKNDVAL,WEEKDAY(AB$8,1))=1,"WKND",INDEX(T_LEAVE[LEAVE CODE],SUMPRODUCT(--(T_LEAVE[NAME]=$B27),--(T_LEAVE[DATE]&lt;=AB$8),--(T_LEAVE[DATE]&gt;=AB$8),ROW(T_LEAVE[LEAVE CODE]))-ROW(T_LEAVE[#Headers]))))))),"")</f>
        <v/>
      </c>
      <c r="AC27" s="75" t="str">
        <f>IFERROR(IF(AC$8="","NA",IF(AC$8&lt;INDEX(T_EMP[START DATE],ROW($B27)-ROW($B$8)),"NE",IF(AND(INDEX(T_EMP[TERMINATION DATE],ROW($B27)-ROW($B$8))&gt;0,AC$8&gt;INDEX(T_EMP[TERMINATION DATE],ROW($B27)-ROW($B$8))),"NE",IF(NOT(ISERROR(MATCH(AC$8,L_HOLS,0))),"H",IF(INDEX(L_WKNDVAL,WEEKDAY(AC$8,1))=1,"WKND",INDEX(T_LEAVE[LEAVE CODE],SUMPRODUCT(--(T_LEAVE[NAME]=$B27),--(T_LEAVE[DATE]&lt;=AC$8),--(T_LEAVE[DATE]&gt;=AC$8),ROW(T_LEAVE[LEAVE CODE]))-ROW(T_LEAVE[#Headers]))))))),"")</f>
        <v/>
      </c>
      <c r="AD27" s="75" t="str">
        <f>IFERROR(IF(AD$8="","NA",IF(AD$8&lt;INDEX(T_EMP[START DATE],ROW($B27)-ROW($B$8)),"NE",IF(AND(INDEX(T_EMP[TERMINATION DATE],ROW($B27)-ROW($B$8))&gt;0,AD$8&gt;INDEX(T_EMP[TERMINATION DATE],ROW($B27)-ROW($B$8))),"NE",IF(NOT(ISERROR(MATCH(AD$8,L_HOLS,0))),"H",IF(INDEX(L_WKNDVAL,WEEKDAY(AD$8,1))=1,"WKND",INDEX(T_LEAVE[LEAVE CODE],SUMPRODUCT(--(T_LEAVE[NAME]=$B27),--(T_LEAVE[DATE]&lt;=AD$8),--(T_LEAVE[DATE]&gt;=AD$8),ROW(T_LEAVE[LEAVE CODE]))-ROW(T_LEAVE[#Headers]))))))),"")</f>
        <v/>
      </c>
      <c r="AE27" s="75" t="str">
        <f>IFERROR(IF(AE$8="","NA",IF(AE$8&lt;INDEX(T_EMP[START DATE],ROW($B27)-ROW($B$8)),"NE",IF(AND(INDEX(T_EMP[TERMINATION DATE],ROW($B27)-ROW($B$8))&gt;0,AE$8&gt;INDEX(T_EMP[TERMINATION DATE],ROW($B27)-ROW($B$8))),"NE",IF(NOT(ISERROR(MATCH(AE$8,L_HOLS,0))),"H",IF(INDEX(L_WKNDVAL,WEEKDAY(AE$8,1))=1,"WKND",INDEX(T_LEAVE[LEAVE CODE],SUMPRODUCT(--(T_LEAVE[NAME]=$B27),--(T_LEAVE[DATE]&lt;=AE$8),--(T_LEAVE[DATE]&gt;=AE$8),ROW(T_LEAVE[LEAVE CODE]))-ROW(T_LEAVE[#Headers]))))))),"")</f>
        <v/>
      </c>
      <c r="AF27" s="75" t="str">
        <f>IFERROR(IF(AF$8="","NA",IF(AF$8&lt;INDEX(T_EMP[START DATE],ROW($B27)-ROW($B$8)),"NE",IF(AND(INDEX(T_EMP[TERMINATION DATE],ROW($B27)-ROW($B$8))&gt;0,AF$8&gt;INDEX(T_EMP[TERMINATION DATE],ROW($B27)-ROW($B$8))),"NE",IF(NOT(ISERROR(MATCH(AF$8,L_HOLS,0))),"H",IF(INDEX(L_WKNDVAL,WEEKDAY(AF$8,1))=1,"WKND",INDEX(T_LEAVE[LEAVE CODE],SUMPRODUCT(--(T_LEAVE[NAME]=$B27),--(T_LEAVE[DATE]&lt;=AF$8),--(T_LEAVE[DATE]&gt;=AF$8),ROW(T_LEAVE[LEAVE CODE]))-ROW(T_LEAVE[#Headers]))))))),"")</f>
        <v/>
      </c>
      <c r="AG27" s="75" t="str">
        <f>IFERROR(IF(AG$8="","NA",IF(AG$8&lt;INDEX(T_EMP[START DATE],ROW($B27)-ROW($B$8)),"NE",IF(AND(INDEX(T_EMP[TERMINATION DATE],ROW($B27)-ROW($B$8))&gt;0,AG$8&gt;INDEX(T_EMP[TERMINATION DATE],ROW($B27)-ROW($B$8))),"NE",IF(NOT(ISERROR(MATCH(AG$8,L_HOLS,0))),"H",IF(INDEX(L_WKNDVAL,WEEKDAY(AG$8,1))=1,"WKND",INDEX(T_LEAVE[LEAVE CODE],SUMPRODUCT(--(T_LEAVE[NAME]=$B27),--(T_LEAVE[DATE]&lt;=AG$8),--(T_LEAVE[DATE]&gt;=AG$8),ROW(T_LEAVE[LEAVE CODE]))-ROW(T_LEAVE[#Headers]))))))),"")</f>
        <v/>
      </c>
      <c r="AH27" s="75" t="str">
        <f>IFERROR(IF(AH$8="","NA",IF(AH$8&lt;INDEX(T_EMP[START DATE],ROW($B27)-ROW($B$8)),"NE",IF(AND(INDEX(T_EMP[TERMINATION DATE],ROW($B27)-ROW($B$8))&gt;0,AH$8&gt;INDEX(T_EMP[TERMINATION DATE],ROW($B27)-ROW($B$8))),"NE",IF(NOT(ISERROR(MATCH(AH$8,L_HOLS,0))),"H",IF(INDEX(L_WKNDVAL,WEEKDAY(AH$8,1))=1,"WKND",INDEX(T_LEAVE[LEAVE CODE],SUMPRODUCT(--(T_LEAVE[NAME]=$B27),--(T_LEAVE[DATE]&lt;=AH$8),--(T_LEAVE[DATE]&gt;=AH$8),ROW(T_LEAVE[LEAVE CODE]))-ROW(T_LEAVE[#Headers]))))))),"")</f>
        <v/>
      </c>
      <c r="AJ27" s="88">
        <f>IF(OR($B27="",AJ$8=""),"",COUNTIFS($D27:$AH27,AJ$8)*INDEX(T_LEAVETYPE[DAY VALUE],1))</f>
        <v>0</v>
      </c>
      <c r="AK27" s="88">
        <f>IF(OR($B27="",AK$8=""),"",COUNTIFS($D27:$AH27,AK$8)*INDEX(T_LEAVETYPE[DAY VALUE],2))</f>
        <v>0</v>
      </c>
      <c r="AL27" s="88">
        <f>IF(OR($B27="",AL$8=""),"",COUNTIFS($D27:$AH27,AL$8)*INDEX(T_LEAVETYPE[DAY VALUE],3))</f>
        <v>0</v>
      </c>
      <c r="AM27" s="88">
        <f>IF(OR($B27="",AM$8=""),"",COUNTIFS($D27:$AH27,AM$8)*INDEX(T_LEAVETYPE[DAY VALUE],4))</f>
        <v>0</v>
      </c>
      <c r="AN27" s="88">
        <f>IF(OR($B27="",AN$8=""),"",COUNTIFS($D27:$AH27,AN$8)*INDEX(T_LEAVETYPE[DAY VALUE],5))</f>
        <v>0</v>
      </c>
      <c r="AO27" s="88">
        <f>IF(OR($B27="",AO$8=""),"",COUNTIFS($D27:$AH27,AO$8)*INDEX(T_LEAVETYPE[DAY VALUE],6))</f>
        <v>0</v>
      </c>
      <c r="AP27" s="88">
        <f>IF(OR($B27="",AP$8=""),"",COUNTIFS($D27:$AH27,AP$8)*INDEX(T_LEAVETYPE[DAY VALUE],7))</f>
        <v>0</v>
      </c>
      <c r="AQ27" s="88">
        <f>IF(OR($B27="",AQ$8=""),"",COUNTIFS($D27:$AH27,AQ$8)*INDEX(T_LEAVETYPE[DAY VALUE],8))</f>
        <v>0</v>
      </c>
      <c r="AR27" s="89">
        <f t="shared" si="3"/>
        <v>0</v>
      </c>
    </row>
    <row r="28" spans="1:44" x14ac:dyDescent="0.25">
      <c r="A28" s="90">
        <f t="shared" si="4"/>
        <v>20</v>
      </c>
      <c r="B28" s="74" t="str">
        <f>IFERROR(INDEX(T_EMP[NAME],ROW(B28)-ROW($B$8)),"")</f>
        <v>DE LEON, JEFFREY</v>
      </c>
      <c r="C28" s="91" t="str">
        <f>IFERROR(INDEX(T_EMP[DEPARTMENT],ROW(B28)-ROW($C$8)),"")</f>
        <v>IB SUPPORT</v>
      </c>
      <c r="D28" s="75" t="str">
        <f>IFERROR(IF(D$8="","NA",IF(D$8&lt;INDEX(T_EMP[START DATE],ROW($B28)-ROW($B$8)),"NE",IF(AND(INDEX(T_EMP[TERMINATION DATE],ROW($B28)-ROW($B$8))&gt;0,D$8&gt;INDEX(T_EMP[TERMINATION DATE],ROW($B28)-ROW($B$8))),"NE",IF(NOT(ISERROR(MATCH(D$8,L_HOLS,0))),"H",IF(INDEX(L_WKNDVAL,WEEKDAY(D$8,1))=1,"WKND",INDEX(T_LEAVE[LEAVE CODE],SUMPRODUCT(--(T_LEAVE[NAME]=$B28),--(T_LEAVE[DATE]&lt;=D$8),--(T_LEAVE[DATE]&gt;=D$8),ROW(T_LEAVE[LEAVE CODE]))-ROW(T_LEAVE[#Headers]))))))),"")</f>
        <v>H</v>
      </c>
      <c r="E28" s="75" t="str">
        <f>IFERROR(IF(E$8="","NA",IF(E$8&lt;INDEX(T_EMP[START DATE],ROW($B28)-ROW($B$8)),"NE",IF(AND(INDEX(T_EMP[TERMINATION DATE],ROW($B28)-ROW($B$8))&gt;0,E$8&gt;INDEX(T_EMP[TERMINATION DATE],ROW($B28)-ROW($B$8))),"NE",IF(NOT(ISERROR(MATCH(E$8,L_HOLS,0))),"H",IF(INDEX(L_WKNDVAL,WEEKDAY(E$8,1))=1,"WKND",INDEX(T_LEAVE[LEAVE CODE],SUMPRODUCT(--(T_LEAVE[NAME]=$B28),--(T_LEAVE[DATE]&lt;=E$8),--(T_LEAVE[DATE]&gt;=E$8),ROW(T_LEAVE[LEAVE CODE]))-ROW(T_LEAVE[#Headers]))))))),"")</f>
        <v/>
      </c>
      <c r="F28" s="75" t="str">
        <f>IFERROR(IF(F$8="","NA",IF(F$8&lt;INDEX(T_EMP[START DATE],ROW($B28)-ROW($B$8)),"NE",IF(AND(INDEX(T_EMP[TERMINATION DATE],ROW($B28)-ROW($B$8))&gt;0,F$8&gt;INDEX(T_EMP[TERMINATION DATE],ROW($B28)-ROW($B$8))),"NE",IF(NOT(ISERROR(MATCH(F$8,L_HOLS,0))),"H",IF(INDEX(L_WKNDVAL,WEEKDAY(F$8,1))=1,"WKND",INDEX(T_LEAVE[LEAVE CODE],SUMPRODUCT(--(T_LEAVE[NAME]=$B28),--(T_LEAVE[DATE]&lt;=F$8),--(T_LEAVE[DATE]&gt;=F$8),ROW(T_LEAVE[LEAVE CODE]))-ROW(T_LEAVE[#Headers]))))))),"")</f>
        <v/>
      </c>
      <c r="G28" s="75" t="str">
        <f>IFERROR(IF(G$8="","NA",IF(G$8&lt;INDEX(T_EMP[START DATE],ROW($B28)-ROW($B$8)),"NE",IF(AND(INDEX(T_EMP[TERMINATION DATE],ROW($B28)-ROW($B$8))&gt;0,G$8&gt;INDEX(T_EMP[TERMINATION DATE],ROW($B28)-ROW($B$8))),"NE",IF(NOT(ISERROR(MATCH(G$8,L_HOLS,0))),"H",IF(INDEX(L_WKNDVAL,WEEKDAY(G$8,1))=1,"WKND",INDEX(T_LEAVE[LEAVE CODE],SUMPRODUCT(--(T_LEAVE[NAME]=$B28),--(T_LEAVE[DATE]&lt;=G$8),--(T_LEAVE[DATE]&gt;=G$8),ROW(T_LEAVE[LEAVE CODE]))-ROW(T_LEAVE[#Headers]))))))),"")</f>
        <v/>
      </c>
      <c r="H28" s="75" t="str">
        <f>IFERROR(IF(H$8="","NA",IF(H$8&lt;INDEX(T_EMP[START DATE],ROW($B28)-ROW($B$8)),"NE",IF(AND(INDEX(T_EMP[TERMINATION DATE],ROW($B28)-ROW($B$8))&gt;0,H$8&gt;INDEX(T_EMP[TERMINATION DATE],ROW($B28)-ROW($B$8))),"NE",IF(NOT(ISERROR(MATCH(H$8,L_HOLS,0))),"H",IF(INDEX(L_WKNDVAL,WEEKDAY(H$8,1))=1,"WKND",INDEX(T_LEAVE[LEAVE CODE],SUMPRODUCT(--(T_LEAVE[NAME]=$B28),--(T_LEAVE[DATE]&lt;=H$8),--(T_LEAVE[DATE]&gt;=H$8),ROW(T_LEAVE[LEAVE CODE]))-ROW(T_LEAVE[#Headers]))))))),"")</f>
        <v/>
      </c>
      <c r="I28" s="75" t="str">
        <f>IFERROR(IF(I$8="","NA",IF(I$8&lt;INDEX(T_EMP[START DATE],ROW($B28)-ROW($B$8)),"NE",IF(AND(INDEX(T_EMP[TERMINATION DATE],ROW($B28)-ROW($B$8))&gt;0,I$8&gt;INDEX(T_EMP[TERMINATION DATE],ROW($B28)-ROW($B$8))),"NE",IF(NOT(ISERROR(MATCH(I$8,L_HOLS,0))),"H",IF(INDEX(L_WKNDVAL,WEEKDAY(I$8,1))=1,"WKND",INDEX(T_LEAVE[LEAVE CODE],SUMPRODUCT(--(T_LEAVE[NAME]=$B28),--(T_LEAVE[DATE]&lt;=I$8),--(T_LEAVE[DATE]&gt;=I$8),ROW(T_LEAVE[LEAVE CODE]))-ROW(T_LEAVE[#Headers]))))))),"")</f>
        <v/>
      </c>
      <c r="J28" s="75" t="str">
        <f>IFERROR(IF(J$8="","NA",IF(J$8&lt;INDEX(T_EMP[START DATE],ROW($B28)-ROW($B$8)),"NE",IF(AND(INDEX(T_EMP[TERMINATION DATE],ROW($B28)-ROW($B$8))&gt;0,J$8&gt;INDEX(T_EMP[TERMINATION DATE],ROW($B28)-ROW($B$8))),"NE",IF(NOT(ISERROR(MATCH(J$8,L_HOLS,0))),"H",IF(INDEX(L_WKNDVAL,WEEKDAY(J$8,1))=1,"WKND",INDEX(T_LEAVE[LEAVE CODE],SUMPRODUCT(--(T_LEAVE[NAME]=$B28),--(T_LEAVE[DATE]&lt;=J$8),--(T_LEAVE[DATE]&gt;=J$8),ROW(T_LEAVE[LEAVE CODE]))-ROW(T_LEAVE[#Headers]))))))),"")</f>
        <v/>
      </c>
      <c r="K28" s="75" t="str">
        <f>IFERROR(IF(K$8="","NA",IF(K$8&lt;INDEX(T_EMP[START DATE],ROW($B28)-ROW($B$8)),"NE",IF(AND(INDEX(T_EMP[TERMINATION DATE],ROW($B28)-ROW($B$8))&gt;0,K$8&gt;INDEX(T_EMP[TERMINATION DATE],ROW($B28)-ROW($B$8))),"NE",IF(NOT(ISERROR(MATCH(K$8,L_HOLS,0))),"H",IF(INDEX(L_WKNDVAL,WEEKDAY(K$8,1))=1,"WKND",INDEX(T_LEAVE[LEAVE CODE],SUMPRODUCT(--(T_LEAVE[NAME]=$B28),--(T_LEAVE[DATE]&lt;=K$8),--(T_LEAVE[DATE]&gt;=K$8),ROW(T_LEAVE[LEAVE CODE]))-ROW(T_LEAVE[#Headers]))))))),"")</f>
        <v/>
      </c>
      <c r="L28" s="75" t="str">
        <f>IFERROR(IF(L$8="","NA",IF(L$8&lt;INDEX(T_EMP[START DATE],ROW($B28)-ROW($B$8)),"NE",IF(AND(INDEX(T_EMP[TERMINATION DATE],ROW($B28)-ROW($B$8))&gt;0,L$8&gt;INDEX(T_EMP[TERMINATION DATE],ROW($B28)-ROW($B$8))),"NE",IF(NOT(ISERROR(MATCH(L$8,L_HOLS,0))),"H",IF(INDEX(L_WKNDVAL,WEEKDAY(L$8,1))=1,"WKND",INDEX(T_LEAVE[LEAVE CODE],SUMPRODUCT(--(T_LEAVE[NAME]=$B28),--(T_LEAVE[DATE]&lt;=L$8),--(T_LEAVE[DATE]&gt;=L$8),ROW(T_LEAVE[LEAVE CODE]))-ROW(T_LEAVE[#Headers]))))))),"")</f>
        <v/>
      </c>
      <c r="M28" s="75" t="str">
        <f>IFERROR(IF(M$8="","NA",IF(M$8&lt;INDEX(T_EMP[START DATE],ROW($B28)-ROW($B$8)),"NE",IF(AND(INDEX(T_EMP[TERMINATION DATE],ROW($B28)-ROW($B$8))&gt;0,M$8&gt;INDEX(T_EMP[TERMINATION DATE],ROW($B28)-ROW($B$8))),"NE",IF(NOT(ISERROR(MATCH(M$8,L_HOLS,0))),"H",IF(INDEX(L_WKNDVAL,WEEKDAY(M$8,1))=1,"WKND",INDEX(T_LEAVE[LEAVE CODE],SUMPRODUCT(--(T_LEAVE[NAME]=$B28),--(T_LEAVE[DATE]&lt;=M$8),--(T_LEAVE[DATE]&gt;=M$8),ROW(T_LEAVE[LEAVE CODE]))-ROW(T_LEAVE[#Headers]))))))),"")</f>
        <v/>
      </c>
      <c r="N28" s="75" t="str">
        <f>IFERROR(IF(N$8="","NA",IF(N$8&lt;INDEX(T_EMP[START DATE],ROW($B28)-ROW($B$8)),"NE",IF(AND(INDEX(T_EMP[TERMINATION DATE],ROW($B28)-ROW($B$8))&gt;0,N$8&gt;INDEX(T_EMP[TERMINATION DATE],ROW($B28)-ROW($B$8))),"NE",IF(NOT(ISERROR(MATCH(N$8,L_HOLS,0))),"H",IF(INDEX(L_WKNDVAL,WEEKDAY(N$8,1))=1,"WKND",INDEX(T_LEAVE[LEAVE CODE],SUMPRODUCT(--(T_LEAVE[NAME]=$B28),--(T_LEAVE[DATE]&lt;=N$8),--(T_LEAVE[DATE]&gt;=N$8),ROW(T_LEAVE[LEAVE CODE]))-ROW(T_LEAVE[#Headers]))))))),"")</f>
        <v/>
      </c>
      <c r="O28" s="75" t="str">
        <f>IFERROR(IF(O$8="","NA",IF(O$8&lt;INDEX(T_EMP[START DATE],ROW($B28)-ROW($B$8)),"NE",IF(AND(INDEX(T_EMP[TERMINATION DATE],ROW($B28)-ROW($B$8))&gt;0,O$8&gt;INDEX(T_EMP[TERMINATION DATE],ROW($B28)-ROW($B$8))),"NE",IF(NOT(ISERROR(MATCH(O$8,L_HOLS,0))),"H",IF(INDEX(L_WKNDVAL,WEEKDAY(O$8,1))=1,"WKND",INDEX(T_LEAVE[LEAVE CODE],SUMPRODUCT(--(T_LEAVE[NAME]=$B28),--(T_LEAVE[DATE]&lt;=O$8),--(T_LEAVE[DATE]&gt;=O$8),ROW(T_LEAVE[LEAVE CODE]))-ROW(T_LEAVE[#Headers]))))))),"")</f>
        <v/>
      </c>
      <c r="P28" s="75" t="str">
        <f>IFERROR(IF(P$8="","NA",IF(P$8&lt;INDEX(T_EMP[START DATE],ROW($B28)-ROW($B$8)),"NE",IF(AND(INDEX(T_EMP[TERMINATION DATE],ROW($B28)-ROW($B$8))&gt;0,P$8&gt;INDEX(T_EMP[TERMINATION DATE],ROW($B28)-ROW($B$8))),"NE",IF(NOT(ISERROR(MATCH(P$8,L_HOLS,0))),"H",IF(INDEX(L_WKNDVAL,WEEKDAY(P$8,1))=1,"WKND",INDEX(T_LEAVE[LEAVE CODE],SUMPRODUCT(--(T_LEAVE[NAME]=$B28),--(T_LEAVE[DATE]&lt;=P$8),--(T_LEAVE[DATE]&gt;=P$8),ROW(T_LEAVE[LEAVE CODE]))-ROW(T_LEAVE[#Headers]))))))),"")</f>
        <v>H</v>
      </c>
      <c r="Q28" s="75" t="str">
        <f>IFERROR(IF(Q$8="","NA",IF(Q$8&lt;INDEX(T_EMP[START DATE],ROW($B28)-ROW($B$8)),"NE",IF(AND(INDEX(T_EMP[TERMINATION DATE],ROW($B28)-ROW($B$8))&gt;0,Q$8&gt;INDEX(T_EMP[TERMINATION DATE],ROW($B28)-ROW($B$8))),"NE",IF(NOT(ISERROR(MATCH(Q$8,L_HOLS,0))),"H",IF(INDEX(L_WKNDVAL,WEEKDAY(Q$8,1))=1,"WKND",INDEX(T_LEAVE[LEAVE CODE],SUMPRODUCT(--(T_LEAVE[NAME]=$B28),--(T_LEAVE[DATE]&lt;=Q$8),--(T_LEAVE[DATE]&gt;=Q$8),ROW(T_LEAVE[LEAVE CODE]))-ROW(T_LEAVE[#Headers]))))))),"")</f>
        <v/>
      </c>
      <c r="R28" s="75" t="str">
        <f>IFERROR(IF(R$8="","NA",IF(R$8&lt;INDEX(T_EMP[START DATE],ROW($B28)-ROW($B$8)),"NE",IF(AND(INDEX(T_EMP[TERMINATION DATE],ROW($B28)-ROW($B$8))&gt;0,R$8&gt;INDEX(T_EMP[TERMINATION DATE],ROW($B28)-ROW($B$8))),"NE",IF(NOT(ISERROR(MATCH(R$8,L_HOLS,0))),"H",IF(INDEX(L_WKNDVAL,WEEKDAY(R$8,1))=1,"WKND",INDEX(T_LEAVE[LEAVE CODE],SUMPRODUCT(--(T_LEAVE[NAME]=$B28),--(T_LEAVE[DATE]&lt;=R$8),--(T_LEAVE[DATE]&gt;=R$8),ROW(T_LEAVE[LEAVE CODE]))-ROW(T_LEAVE[#Headers]))))))),"")</f>
        <v/>
      </c>
      <c r="S28" s="75" t="str">
        <f>IFERROR(IF(S$8="","NA",IF(S$8&lt;INDEX(T_EMP[START DATE],ROW($B28)-ROW($B$8)),"NE",IF(AND(INDEX(T_EMP[TERMINATION DATE],ROW($B28)-ROW($B$8))&gt;0,S$8&gt;INDEX(T_EMP[TERMINATION DATE],ROW($B28)-ROW($B$8))),"NE",IF(NOT(ISERROR(MATCH(S$8,L_HOLS,0))),"H",IF(INDEX(L_WKNDVAL,WEEKDAY(S$8,1))=1,"WKND",INDEX(T_LEAVE[LEAVE CODE],SUMPRODUCT(--(T_LEAVE[NAME]=$B28),--(T_LEAVE[DATE]&lt;=S$8),--(T_LEAVE[DATE]&gt;=S$8),ROW(T_LEAVE[LEAVE CODE]))-ROW(T_LEAVE[#Headers]))))))),"")</f>
        <v/>
      </c>
      <c r="T28" s="75" t="str">
        <f>IFERROR(IF(T$8="","NA",IF(T$8&lt;INDEX(T_EMP[START DATE],ROW($B28)-ROW($B$8)),"NE",IF(AND(INDEX(T_EMP[TERMINATION DATE],ROW($B28)-ROW($B$8))&gt;0,T$8&gt;INDEX(T_EMP[TERMINATION DATE],ROW($B28)-ROW($B$8))),"NE",IF(NOT(ISERROR(MATCH(T$8,L_HOLS,0))),"H",IF(INDEX(L_WKNDVAL,WEEKDAY(T$8,1))=1,"WKND",INDEX(T_LEAVE[LEAVE CODE],SUMPRODUCT(--(T_LEAVE[NAME]=$B28),--(T_LEAVE[DATE]&lt;=T$8),--(T_LEAVE[DATE]&gt;=T$8),ROW(T_LEAVE[LEAVE CODE]))-ROW(T_LEAVE[#Headers]))))))),"")</f>
        <v/>
      </c>
      <c r="U28" s="75" t="str">
        <f>IFERROR(IF(U$8="","NA",IF(U$8&lt;INDEX(T_EMP[START DATE],ROW($B28)-ROW($B$8)),"NE",IF(AND(INDEX(T_EMP[TERMINATION DATE],ROW($B28)-ROW($B$8))&gt;0,U$8&gt;INDEX(T_EMP[TERMINATION DATE],ROW($B28)-ROW($B$8))),"NE",IF(NOT(ISERROR(MATCH(U$8,L_HOLS,0))),"H",IF(INDEX(L_WKNDVAL,WEEKDAY(U$8,1))=1,"WKND",INDEX(T_LEAVE[LEAVE CODE],SUMPRODUCT(--(T_LEAVE[NAME]=$B28),--(T_LEAVE[DATE]&lt;=U$8),--(T_LEAVE[DATE]&gt;=U$8),ROW(T_LEAVE[LEAVE CODE]))-ROW(T_LEAVE[#Headers]))))))),"")</f>
        <v/>
      </c>
      <c r="V28" s="75" t="str">
        <f>IFERROR(IF(V$8="","NA",IF(V$8&lt;INDEX(T_EMP[START DATE],ROW($B28)-ROW($B$8)),"NE",IF(AND(INDEX(T_EMP[TERMINATION DATE],ROW($B28)-ROW($B$8))&gt;0,V$8&gt;INDEX(T_EMP[TERMINATION DATE],ROW($B28)-ROW($B$8))),"NE",IF(NOT(ISERROR(MATCH(V$8,L_HOLS,0))),"H",IF(INDEX(L_WKNDVAL,WEEKDAY(V$8,1))=1,"WKND",INDEX(T_LEAVE[LEAVE CODE],SUMPRODUCT(--(T_LEAVE[NAME]=$B28),--(T_LEAVE[DATE]&lt;=V$8),--(T_LEAVE[DATE]&gt;=V$8),ROW(T_LEAVE[LEAVE CODE]))-ROW(T_LEAVE[#Headers]))))))),"")</f>
        <v/>
      </c>
      <c r="W28" s="75" t="str">
        <f>IFERROR(IF(W$8="","NA",IF(W$8&lt;INDEX(T_EMP[START DATE],ROW($B28)-ROW($B$8)),"NE",IF(AND(INDEX(T_EMP[TERMINATION DATE],ROW($B28)-ROW($B$8))&gt;0,W$8&gt;INDEX(T_EMP[TERMINATION DATE],ROW($B28)-ROW($B$8))),"NE",IF(NOT(ISERROR(MATCH(W$8,L_HOLS,0))),"H",IF(INDEX(L_WKNDVAL,WEEKDAY(W$8,1))=1,"WKND",INDEX(T_LEAVE[LEAVE CODE],SUMPRODUCT(--(T_LEAVE[NAME]=$B28),--(T_LEAVE[DATE]&lt;=W$8),--(T_LEAVE[DATE]&gt;=W$8),ROW(T_LEAVE[LEAVE CODE]))-ROW(T_LEAVE[#Headers]))))))),"")</f>
        <v/>
      </c>
      <c r="X28" s="75" t="str">
        <f>IFERROR(IF(X$8="","NA",IF(X$8&lt;INDEX(T_EMP[START DATE],ROW($B28)-ROW($B$8)),"NE",IF(AND(INDEX(T_EMP[TERMINATION DATE],ROW($B28)-ROW($B$8))&gt;0,X$8&gt;INDEX(T_EMP[TERMINATION DATE],ROW($B28)-ROW($B$8))),"NE",IF(NOT(ISERROR(MATCH(X$8,L_HOLS,0))),"H",IF(INDEX(L_WKNDVAL,WEEKDAY(X$8,1))=1,"WKND",INDEX(T_LEAVE[LEAVE CODE],SUMPRODUCT(--(T_LEAVE[NAME]=$B28),--(T_LEAVE[DATE]&lt;=X$8),--(T_LEAVE[DATE]&gt;=X$8),ROW(T_LEAVE[LEAVE CODE]))-ROW(T_LEAVE[#Headers]))))))),"")</f>
        <v/>
      </c>
      <c r="Y28" s="75" t="str">
        <f>IFERROR(IF(Y$8="","NA",IF(Y$8&lt;INDEX(T_EMP[START DATE],ROW($B28)-ROW($B$8)),"NE",IF(AND(INDEX(T_EMP[TERMINATION DATE],ROW($B28)-ROW($B$8))&gt;0,Y$8&gt;INDEX(T_EMP[TERMINATION DATE],ROW($B28)-ROW($B$8))),"NE",IF(NOT(ISERROR(MATCH(Y$8,L_HOLS,0))),"H",IF(INDEX(L_WKNDVAL,WEEKDAY(Y$8,1))=1,"WKND",INDEX(T_LEAVE[LEAVE CODE],SUMPRODUCT(--(T_LEAVE[NAME]=$B28),--(T_LEAVE[DATE]&lt;=Y$8),--(T_LEAVE[DATE]&gt;=Y$8),ROW(T_LEAVE[LEAVE CODE]))-ROW(T_LEAVE[#Headers]))))))),"")</f>
        <v/>
      </c>
      <c r="Z28" s="75" t="str">
        <f>IFERROR(IF(Z$8="","NA",IF(Z$8&lt;INDEX(T_EMP[START DATE],ROW($B28)-ROW($B$8)),"NE",IF(AND(INDEX(T_EMP[TERMINATION DATE],ROW($B28)-ROW($B$8))&gt;0,Z$8&gt;INDEX(T_EMP[TERMINATION DATE],ROW($B28)-ROW($B$8))),"NE",IF(NOT(ISERROR(MATCH(Z$8,L_HOLS,0))),"H",IF(INDEX(L_WKNDVAL,WEEKDAY(Z$8,1))=1,"WKND",INDEX(T_LEAVE[LEAVE CODE],SUMPRODUCT(--(T_LEAVE[NAME]=$B28),--(T_LEAVE[DATE]&lt;=Z$8),--(T_LEAVE[DATE]&gt;=Z$8),ROW(T_LEAVE[LEAVE CODE]))-ROW(T_LEAVE[#Headers]))))))),"")</f>
        <v/>
      </c>
      <c r="AA28" s="75" t="str">
        <f>IFERROR(IF(AA$8="","NA",IF(AA$8&lt;INDEX(T_EMP[START DATE],ROW($B28)-ROW($B$8)),"NE",IF(AND(INDEX(T_EMP[TERMINATION DATE],ROW($B28)-ROW($B$8))&gt;0,AA$8&gt;INDEX(T_EMP[TERMINATION DATE],ROW($B28)-ROW($B$8))),"NE",IF(NOT(ISERROR(MATCH(AA$8,L_HOLS,0))),"H",IF(INDEX(L_WKNDVAL,WEEKDAY(AA$8,1))=1,"WKND",INDEX(T_LEAVE[LEAVE CODE],SUMPRODUCT(--(T_LEAVE[NAME]=$B28),--(T_LEAVE[DATE]&lt;=AA$8),--(T_LEAVE[DATE]&gt;=AA$8),ROW(T_LEAVE[LEAVE CODE]))-ROW(T_LEAVE[#Headers]))))))),"")</f>
        <v/>
      </c>
      <c r="AB28" s="75" t="str">
        <f>IFERROR(IF(AB$8="","NA",IF(AB$8&lt;INDEX(T_EMP[START DATE],ROW($B28)-ROW($B$8)),"NE",IF(AND(INDEX(T_EMP[TERMINATION DATE],ROW($B28)-ROW($B$8))&gt;0,AB$8&gt;INDEX(T_EMP[TERMINATION DATE],ROW($B28)-ROW($B$8))),"NE",IF(NOT(ISERROR(MATCH(AB$8,L_HOLS,0))),"H",IF(INDEX(L_WKNDVAL,WEEKDAY(AB$8,1))=1,"WKND",INDEX(T_LEAVE[LEAVE CODE],SUMPRODUCT(--(T_LEAVE[NAME]=$B28),--(T_LEAVE[DATE]&lt;=AB$8),--(T_LEAVE[DATE]&gt;=AB$8),ROW(T_LEAVE[LEAVE CODE]))-ROW(T_LEAVE[#Headers]))))))),"")</f>
        <v/>
      </c>
      <c r="AC28" s="75" t="str">
        <f>IFERROR(IF(AC$8="","NA",IF(AC$8&lt;INDEX(T_EMP[START DATE],ROW($B28)-ROW($B$8)),"NE",IF(AND(INDEX(T_EMP[TERMINATION DATE],ROW($B28)-ROW($B$8))&gt;0,AC$8&gt;INDEX(T_EMP[TERMINATION DATE],ROW($B28)-ROW($B$8))),"NE",IF(NOT(ISERROR(MATCH(AC$8,L_HOLS,0))),"H",IF(INDEX(L_WKNDVAL,WEEKDAY(AC$8,1))=1,"WKND",INDEX(T_LEAVE[LEAVE CODE],SUMPRODUCT(--(T_LEAVE[NAME]=$B28),--(T_LEAVE[DATE]&lt;=AC$8),--(T_LEAVE[DATE]&gt;=AC$8),ROW(T_LEAVE[LEAVE CODE]))-ROW(T_LEAVE[#Headers]))))))),"")</f>
        <v/>
      </c>
      <c r="AD28" s="75" t="str">
        <f>IFERROR(IF(AD$8="","NA",IF(AD$8&lt;INDEX(T_EMP[START DATE],ROW($B28)-ROW($B$8)),"NE",IF(AND(INDEX(T_EMP[TERMINATION DATE],ROW($B28)-ROW($B$8))&gt;0,AD$8&gt;INDEX(T_EMP[TERMINATION DATE],ROW($B28)-ROW($B$8))),"NE",IF(NOT(ISERROR(MATCH(AD$8,L_HOLS,0))),"H",IF(INDEX(L_WKNDVAL,WEEKDAY(AD$8,1))=1,"WKND",INDEX(T_LEAVE[LEAVE CODE],SUMPRODUCT(--(T_LEAVE[NAME]=$B28),--(T_LEAVE[DATE]&lt;=AD$8),--(T_LEAVE[DATE]&gt;=AD$8),ROW(T_LEAVE[LEAVE CODE]))-ROW(T_LEAVE[#Headers]))))))),"")</f>
        <v/>
      </c>
      <c r="AE28" s="75" t="str">
        <f>IFERROR(IF(AE$8="","NA",IF(AE$8&lt;INDEX(T_EMP[START DATE],ROW($B28)-ROW($B$8)),"NE",IF(AND(INDEX(T_EMP[TERMINATION DATE],ROW($B28)-ROW($B$8))&gt;0,AE$8&gt;INDEX(T_EMP[TERMINATION DATE],ROW($B28)-ROW($B$8))),"NE",IF(NOT(ISERROR(MATCH(AE$8,L_HOLS,0))),"H",IF(INDEX(L_WKNDVAL,WEEKDAY(AE$8,1))=1,"WKND",INDEX(T_LEAVE[LEAVE CODE],SUMPRODUCT(--(T_LEAVE[NAME]=$B28),--(T_LEAVE[DATE]&lt;=AE$8),--(T_LEAVE[DATE]&gt;=AE$8),ROW(T_LEAVE[LEAVE CODE]))-ROW(T_LEAVE[#Headers]))))))),"")</f>
        <v/>
      </c>
      <c r="AF28" s="75" t="str">
        <f>IFERROR(IF(AF$8="","NA",IF(AF$8&lt;INDEX(T_EMP[START DATE],ROW($B28)-ROW($B$8)),"NE",IF(AND(INDEX(T_EMP[TERMINATION DATE],ROW($B28)-ROW($B$8))&gt;0,AF$8&gt;INDEX(T_EMP[TERMINATION DATE],ROW($B28)-ROW($B$8))),"NE",IF(NOT(ISERROR(MATCH(AF$8,L_HOLS,0))),"H",IF(INDEX(L_WKNDVAL,WEEKDAY(AF$8,1))=1,"WKND",INDEX(T_LEAVE[LEAVE CODE],SUMPRODUCT(--(T_LEAVE[NAME]=$B28),--(T_LEAVE[DATE]&lt;=AF$8),--(T_LEAVE[DATE]&gt;=AF$8),ROW(T_LEAVE[LEAVE CODE]))-ROW(T_LEAVE[#Headers]))))))),"")</f>
        <v/>
      </c>
      <c r="AG28" s="75" t="str">
        <f>IFERROR(IF(AG$8="","NA",IF(AG$8&lt;INDEX(T_EMP[START DATE],ROW($B28)-ROW($B$8)),"NE",IF(AND(INDEX(T_EMP[TERMINATION DATE],ROW($B28)-ROW($B$8))&gt;0,AG$8&gt;INDEX(T_EMP[TERMINATION DATE],ROW($B28)-ROW($B$8))),"NE",IF(NOT(ISERROR(MATCH(AG$8,L_HOLS,0))),"H",IF(INDEX(L_WKNDVAL,WEEKDAY(AG$8,1))=1,"WKND",INDEX(T_LEAVE[LEAVE CODE],SUMPRODUCT(--(T_LEAVE[NAME]=$B28),--(T_LEAVE[DATE]&lt;=AG$8),--(T_LEAVE[DATE]&gt;=AG$8),ROW(T_LEAVE[LEAVE CODE]))-ROW(T_LEAVE[#Headers]))))))),"")</f>
        <v/>
      </c>
      <c r="AH28" s="75" t="str">
        <f>IFERROR(IF(AH$8="","NA",IF(AH$8&lt;INDEX(T_EMP[START DATE],ROW($B28)-ROW($B$8)),"NE",IF(AND(INDEX(T_EMP[TERMINATION DATE],ROW($B28)-ROW($B$8))&gt;0,AH$8&gt;INDEX(T_EMP[TERMINATION DATE],ROW($B28)-ROW($B$8))),"NE",IF(NOT(ISERROR(MATCH(AH$8,L_HOLS,0))),"H",IF(INDEX(L_WKNDVAL,WEEKDAY(AH$8,1))=1,"WKND",INDEX(T_LEAVE[LEAVE CODE],SUMPRODUCT(--(T_LEAVE[NAME]=$B28),--(T_LEAVE[DATE]&lt;=AH$8),--(T_LEAVE[DATE]&gt;=AH$8),ROW(T_LEAVE[LEAVE CODE]))-ROW(T_LEAVE[#Headers]))))))),"")</f>
        <v/>
      </c>
      <c r="AJ28" s="88">
        <f>IF(OR($B28="",AJ$8=""),"",COUNTIFS($D28:$AH28,AJ$8)*INDEX(T_LEAVETYPE[DAY VALUE],1))</f>
        <v>0</v>
      </c>
      <c r="AK28" s="88">
        <f>IF(OR($B28="",AK$8=""),"",COUNTIFS($D28:$AH28,AK$8)*INDEX(T_LEAVETYPE[DAY VALUE],2))</f>
        <v>0</v>
      </c>
      <c r="AL28" s="88">
        <f>IF(OR($B28="",AL$8=""),"",COUNTIFS($D28:$AH28,AL$8)*INDEX(T_LEAVETYPE[DAY VALUE],3))</f>
        <v>0</v>
      </c>
      <c r="AM28" s="88">
        <f>IF(OR($B28="",AM$8=""),"",COUNTIFS($D28:$AH28,AM$8)*INDEX(T_LEAVETYPE[DAY VALUE],4))</f>
        <v>0</v>
      </c>
      <c r="AN28" s="88">
        <f>IF(OR($B28="",AN$8=""),"",COUNTIFS($D28:$AH28,AN$8)*INDEX(T_LEAVETYPE[DAY VALUE],5))</f>
        <v>0</v>
      </c>
      <c r="AO28" s="88">
        <f>IF(OR($B28="",AO$8=""),"",COUNTIFS($D28:$AH28,AO$8)*INDEX(T_LEAVETYPE[DAY VALUE],6))</f>
        <v>0</v>
      </c>
      <c r="AP28" s="88">
        <f>IF(OR($B28="",AP$8=""),"",COUNTIFS($D28:$AH28,AP$8)*INDEX(T_LEAVETYPE[DAY VALUE],7))</f>
        <v>0</v>
      </c>
      <c r="AQ28" s="88">
        <f>IF(OR($B28="",AQ$8=""),"",COUNTIFS($D28:$AH28,AQ$8)*INDEX(T_LEAVETYPE[DAY VALUE],8))</f>
        <v>0</v>
      </c>
      <c r="AR28" s="89">
        <f t="shared" si="3"/>
        <v>0</v>
      </c>
    </row>
    <row r="29" spans="1:44" x14ac:dyDescent="0.25">
      <c r="A29" s="90">
        <f t="shared" si="4"/>
        <v>21</v>
      </c>
      <c r="B29" s="74" t="str">
        <f>IFERROR(INDEX(T_EMP[NAME],ROW(B29)-ROW($B$8)),"")</f>
        <v>JENNIFER , TABIA</v>
      </c>
      <c r="C29" s="91" t="str">
        <f>IFERROR(INDEX(T_EMP[DEPARTMENT],ROW(B29)-ROW($C$8)),"")</f>
        <v>IB SUPPORT</v>
      </c>
      <c r="D29" s="75" t="str">
        <f>IFERROR(IF(D$8="","NA",IF(D$8&lt;INDEX(T_EMP[START DATE],ROW($B29)-ROW($B$8)),"NE",IF(AND(INDEX(T_EMP[TERMINATION DATE],ROW($B29)-ROW($B$8))&gt;0,D$8&gt;INDEX(T_EMP[TERMINATION DATE],ROW($B29)-ROW($B$8))),"NE",IF(NOT(ISERROR(MATCH(D$8,L_HOLS,0))),"H",IF(INDEX(L_WKNDVAL,WEEKDAY(D$8,1))=1,"WKND",INDEX(T_LEAVE[LEAVE CODE],SUMPRODUCT(--(T_LEAVE[NAME]=$B29),--(T_LEAVE[DATE]&lt;=D$8),--(T_LEAVE[DATE]&gt;=D$8),ROW(T_LEAVE[LEAVE CODE]))-ROW(T_LEAVE[#Headers]))))))),"")</f>
        <v>H</v>
      </c>
      <c r="E29" s="75" t="str">
        <f>IFERROR(IF(E$8="","NA",IF(E$8&lt;INDEX(T_EMP[START DATE],ROW($B29)-ROW($B$8)),"NE",IF(AND(INDEX(T_EMP[TERMINATION DATE],ROW($B29)-ROW($B$8))&gt;0,E$8&gt;INDEX(T_EMP[TERMINATION DATE],ROW($B29)-ROW($B$8))),"NE",IF(NOT(ISERROR(MATCH(E$8,L_HOLS,0))),"H",IF(INDEX(L_WKNDVAL,WEEKDAY(E$8,1))=1,"WKND",INDEX(T_LEAVE[LEAVE CODE],SUMPRODUCT(--(T_LEAVE[NAME]=$B29),--(T_LEAVE[DATE]&lt;=E$8),--(T_LEAVE[DATE]&gt;=E$8),ROW(T_LEAVE[LEAVE CODE]))-ROW(T_LEAVE[#Headers]))))))),"")</f>
        <v/>
      </c>
      <c r="F29" s="75" t="str">
        <f>IFERROR(IF(F$8="","NA",IF(F$8&lt;INDEX(T_EMP[START DATE],ROW($B29)-ROW($B$8)),"NE",IF(AND(INDEX(T_EMP[TERMINATION DATE],ROW($B29)-ROW($B$8))&gt;0,F$8&gt;INDEX(T_EMP[TERMINATION DATE],ROW($B29)-ROW($B$8))),"NE",IF(NOT(ISERROR(MATCH(F$8,L_HOLS,0))),"H",IF(INDEX(L_WKNDVAL,WEEKDAY(F$8,1))=1,"WKND",INDEX(T_LEAVE[LEAVE CODE],SUMPRODUCT(--(T_LEAVE[NAME]=$B29),--(T_LEAVE[DATE]&lt;=F$8),--(T_LEAVE[DATE]&gt;=F$8),ROW(T_LEAVE[LEAVE CODE]))-ROW(T_LEAVE[#Headers]))))))),"")</f>
        <v/>
      </c>
      <c r="G29" s="75" t="str">
        <f>IFERROR(IF(G$8="","NA",IF(G$8&lt;INDEX(T_EMP[START DATE],ROW($B29)-ROW($B$8)),"NE",IF(AND(INDEX(T_EMP[TERMINATION DATE],ROW($B29)-ROW($B$8))&gt;0,G$8&gt;INDEX(T_EMP[TERMINATION DATE],ROW($B29)-ROW($B$8))),"NE",IF(NOT(ISERROR(MATCH(G$8,L_HOLS,0))),"H",IF(INDEX(L_WKNDVAL,WEEKDAY(G$8,1))=1,"WKND",INDEX(T_LEAVE[LEAVE CODE],SUMPRODUCT(--(T_LEAVE[NAME]=$B29),--(T_LEAVE[DATE]&lt;=G$8),--(T_LEAVE[DATE]&gt;=G$8),ROW(T_LEAVE[LEAVE CODE]))-ROW(T_LEAVE[#Headers]))))))),"")</f>
        <v/>
      </c>
      <c r="H29" s="75" t="str">
        <f>IFERROR(IF(H$8="","NA",IF(H$8&lt;INDEX(T_EMP[START DATE],ROW($B29)-ROW($B$8)),"NE",IF(AND(INDEX(T_EMP[TERMINATION DATE],ROW($B29)-ROW($B$8))&gt;0,H$8&gt;INDEX(T_EMP[TERMINATION DATE],ROW($B29)-ROW($B$8))),"NE",IF(NOT(ISERROR(MATCH(H$8,L_HOLS,0))),"H",IF(INDEX(L_WKNDVAL,WEEKDAY(H$8,1))=1,"WKND",INDEX(T_LEAVE[LEAVE CODE],SUMPRODUCT(--(T_LEAVE[NAME]=$B29),--(T_LEAVE[DATE]&lt;=H$8),--(T_LEAVE[DATE]&gt;=H$8),ROW(T_LEAVE[LEAVE CODE]))-ROW(T_LEAVE[#Headers]))))))),"")</f>
        <v/>
      </c>
      <c r="I29" s="75" t="str">
        <f>IFERROR(IF(I$8="","NA",IF(I$8&lt;INDEX(T_EMP[START DATE],ROW($B29)-ROW($B$8)),"NE",IF(AND(INDEX(T_EMP[TERMINATION DATE],ROW($B29)-ROW($B$8))&gt;0,I$8&gt;INDEX(T_EMP[TERMINATION DATE],ROW($B29)-ROW($B$8))),"NE",IF(NOT(ISERROR(MATCH(I$8,L_HOLS,0))),"H",IF(INDEX(L_WKNDVAL,WEEKDAY(I$8,1))=1,"WKND",INDEX(T_LEAVE[LEAVE CODE],SUMPRODUCT(--(T_LEAVE[NAME]=$B29),--(T_LEAVE[DATE]&lt;=I$8),--(T_LEAVE[DATE]&gt;=I$8),ROW(T_LEAVE[LEAVE CODE]))-ROW(T_LEAVE[#Headers]))))))),"")</f>
        <v/>
      </c>
      <c r="J29" s="75" t="str">
        <f>IFERROR(IF(J$8="","NA",IF(J$8&lt;INDEX(T_EMP[START DATE],ROW($B29)-ROW($B$8)),"NE",IF(AND(INDEX(T_EMP[TERMINATION DATE],ROW($B29)-ROW($B$8))&gt;0,J$8&gt;INDEX(T_EMP[TERMINATION DATE],ROW($B29)-ROW($B$8))),"NE",IF(NOT(ISERROR(MATCH(J$8,L_HOLS,0))),"H",IF(INDEX(L_WKNDVAL,WEEKDAY(J$8,1))=1,"WKND",INDEX(T_LEAVE[LEAVE CODE],SUMPRODUCT(--(T_LEAVE[NAME]=$B29),--(T_LEAVE[DATE]&lt;=J$8),--(T_LEAVE[DATE]&gt;=J$8),ROW(T_LEAVE[LEAVE CODE]))-ROW(T_LEAVE[#Headers]))))))),"")</f>
        <v/>
      </c>
      <c r="K29" s="75" t="str">
        <f>IFERROR(IF(K$8="","NA",IF(K$8&lt;INDEX(T_EMP[START DATE],ROW($B29)-ROW($B$8)),"NE",IF(AND(INDEX(T_EMP[TERMINATION DATE],ROW($B29)-ROW($B$8))&gt;0,K$8&gt;INDEX(T_EMP[TERMINATION DATE],ROW($B29)-ROW($B$8))),"NE",IF(NOT(ISERROR(MATCH(K$8,L_HOLS,0))),"H",IF(INDEX(L_WKNDVAL,WEEKDAY(K$8,1))=1,"WKND",INDEX(T_LEAVE[LEAVE CODE],SUMPRODUCT(--(T_LEAVE[NAME]=$B29),--(T_LEAVE[DATE]&lt;=K$8),--(T_LEAVE[DATE]&gt;=K$8),ROW(T_LEAVE[LEAVE CODE]))-ROW(T_LEAVE[#Headers]))))))),"")</f>
        <v/>
      </c>
      <c r="L29" s="75" t="str">
        <f>IFERROR(IF(L$8="","NA",IF(L$8&lt;INDEX(T_EMP[START DATE],ROW($B29)-ROW($B$8)),"NE",IF(AND(INDEX(T_EMP[TERMINATION DATE],ROW($B29)-ROW($B$8))&gt;0,L$8&gt;INDEX(T_EMP[TERMINATION DATE],ROW($B29)-ROW($B$8))),"NE",IF(NOT(ISERROR(MATCH(L$8,L_HOLS,0))),"H",IF(INDEX(L_WKNDVAL,WEEKDAY(L$8,1))=1,"WKND",INDEX(T_LEAVE[LEAVE CODE],SUMPRODUCT(--(T_LEAVE[NAME]=$B29),--(T_LEAVE[DATE]&lt;=L$8),--(T_LEAVE[DATE]&gt;=L$8),ROW(T_LEAVE[LEAVE CODE]))-ROW(T_LEAVE[#Headers]))))))),"")</f>
        <v/>
      </c>
      <c r="M29" s="75" t="str">
        <f>IFERROR(IF(M$8="","NA",IF(M$8&lt;INDEX(T_EMP[START DATE],ROW($B29)-ROW($B$8)),"NE",IF(AND(INDEX(T_EMP[TERMINATION DATE],ROW($B29)-ROW($B$8))&gt;0,M$8&gt;INDEX(T_EMP[TERMINATION DATE],ROW($B29)-ROW($B$8))),"NE",IF(NOT(ISERROR(MATCH(M$8,L_HOLS,0))),"H",IF(INDEX(L_WKNDVAL,WEEKDAY(M$8,1))=1,"WKND",INDEX(T_LEAVE[LEAVE CODE],SUMPRODUCT(--(T_LEAVE[NAME]=$B29),--(T_LEAVE[DATE]&lt;=M$8),--(T_LEAVE[DATE]&gt;=M$8),ROW(T_LEAVE[LEAVE CODE]))-ROW(T_LEAVE[#Headers]))))))),"")</f>
        <v/>
      </c>
      <c r="N29" s="75" t="str">
        <f>IFERROR(IF(N$8="","NA",IF(N$8&lt;INDEX(T_EMP[START DATE],ROW($B29)-ROW($B$8)),"NE",IF(AND(INDEX(T_EMP[TERMINATION DATE],ROW($B29)-ROW($B$8))&gt;0,N$8&gt;INDEX(T_EMP[TERMINATION DATE],ROW($B29)-ROW($B$8))),"NE",IF(NOT(ISERROR(MATCH(N$8,L_HOLS,0))),"H",IF(INDEX(L_WKNDVAL,WEEKDAY(N$8,1))=1,"WKND",INDEX(T_LEAVE[LEAVE CODE],SUMPRODUCT(--(T_LEAVE[NAME]=$B29),--(T_LEAVE[DATE]&lt;=N$8),--(T_LEAVE[DATE]&gt;=N$8),ROW(T_LEAVE[LEAVE CODE]))-ROW(T_LEAVE[#Headers]))))))),"")</f>
        <v/>
      </c>
      <c r="O29" s="75" t="str">
        <f>IFERROR(IF(O$8="","NA",IF(O$8&lt;INDEX(T_EMP[START DATE],ROW($B29)-ROW($B$8)),"NE",IF(AND(INDEX(T_EMP[TERMINATION DATE],ROW($B29)-ROW($B$8))&gt;0,O$8&gt;INDEX(T_EMP[TERMINATION DATE],ROW($B29)-ROW($B$8))),"NE",IF(NOT(ISERROR(MATCH(O$8,L_HOLS,0))),"H",IF(INDEX(L_WKNDVAL,WEEKDAY(O$8,1))=1,"WKND",INDEX(T_LEAVE[LEAVE CODE],SUMPRODUCT(--(T_LEAVE[NAME]=$B29),--(T_LEAVE[DATE]&lt;=O$8),--(T_LEAVE[DATE]&gt;=O$8),ROW(T_LEAVE[LEAVE CODE]))-ROW(T_LEAVE[#Headers]))))))),"")</f>
        <v/>
      </c>
      <c r="P29" s="75" t="str">
        <f>IFERROR(IF(P$8="","NA",IF(P$8&lt;INDEX(T_EMP[START DATE],ROW($B29)-ROW($B$8)),"NE",IF(AND(INDEX(T_EMP[TERMINATION DATE],ROW($B29)-ROW($B$8))&gt;0,P$8&gt;INDEX(T_EMP[TERMINATION DATE],ROW($B29)-ROW($B$8))),"NE",IF(NOT(ISERROR(MATCH(P$8,L_HOLS,0))),"H",IF(INDEX(L_WKNDVAL,WEEKDAY(P$8,1))=1,"WKND",INDEX(T_LEAVE[LEAVE CODE],SUMPRODUCT(--(T_LEAVE[NAME]=$B29),--(T_LEAVE[DATE]&lt;=P$8),--(T_LEAVE[DATE]&gt;=P$8),ROW(T_LEAVE[LEAVE CODE]))-ROW(T_LEAVE[#Headers]))))))),"")</f>
        <v>H</v>
      </c>
      <c r="Q29" s="75" t="str">
        <f>IFERROR(IF(Q$8="","NA",IF(Q$8&lt;INDEX(T_EMP[START DATE],ROW($B29)-ROW($B$8)),"NE",IF(AND(INDEX(T_EMP[TERMINATION DATE],ROW($B29)-ROW($B$8))&gt;0,Q$8&gt;INDEX(T_EMP[TERMINATION DATE],ROW($B29)-ROW($B$8))),"NE",IF(NOT(ISERROR(MATCH(Q$8,L_HOLS,0))),"H",IF(INDEX(L_WKNDVAL,WEEKDAY(Q$8,1))=1,"WKND",INDEX(T_LEAVE[LEAVE CODE],SUMPRODUCT(--(T_LEAVE[NAME]=$B29),--(T_LEAVE[DATE]&lt;=Q$8),--(T_LEAVE[DATE]&gt;=Q$8),ROW(T_LEAVE[LEAVE CODE]))-ROW(T_LEAVE[#Headers]))))))),"")</f>
        <v/>
      </c>
      <c r="R29" s="75" t="str">
        <f>IFERROR(IF(R$8="","NA",IF(R$8&lt;INDEX(T_EMP[START DATE],ROW($B29)-ROW($B$8)),"NE",IF(AND(INDEX(T_EMP[TERMINATION DATE],ROW($B29)-ROW($B$8))&gt;0,R$8&gt;INDEX(T_EMP[TERMINATION DATE],ROW($B29)-ROW($B$8))),"NE",IF(NOT(ISERROR(MATCH(R$8,L_HOLS,0))),"H",IF(INDEX(L_WKNDVAL,WEEKDAY(R$8,1))=1,"WKND",INDEX(T_LEAVE[LEAVE CODE],SUMPRODUCT(--(T_LEAVE[NAME]=$B29),--(T_LEAVE[DATE]&lt;=R$8),--(T_LEAVE[DATE]&gt;=R$8),ROW(T_LEAVE[LEAVE CODE]))-ROW(T_LEAVE[#Headers]))))))),"")</f>
        <v/>
      </c>
      <c r="S29" s="75" t="str">
        <f>IFERROR(IF(S$8="","NA",IF(S$8&lt;INDEX(T_EMP[START DATE],ROW($B29)-ROW($B$8)),"NE",IF(AND(INDEX(T_EMP[TERMINATION DATE],ROW($B29)-ROW($B$8))&gt;0,S$8&gt;INDEX(T_EMP[TERMINATION DATE],ROW($B29)-ROW($B$8))),"NE",IF(NOT(ISERROR(MATCH(S$8,L_HOLS,0))),"H",IF(INDEX(L_WKNDVAL,WEEKDAY(S$8,1))=1,"WKND",INDEX(T_LEAVE[LEAVE CODE],SUMPRODUCT(--(T_LEAVE[NAME]=$B29),--(T_LEAVE[DATE]&lt;=S$8),--(T_LEAVE[DATE]&gt;=S$8),ROW(T_LEAVE[LEAVE CODE]))-ROW(T_LEAVE[#Headers]))))))),"")</f>
        <v/>
      </c>
      <c r="T29" s="75" t="str">
        <f>IFERROR(IF(T$8="","NA",IF(T$8&lt;INDEX(T_EMP[START DATE],ROW($B29)-ROW($B$8)),"NE",IF(AND(INDEX(T_EMP[TERMINATION DATE],ROW($B29)-ROW($B$8))&gt;0,T$8&gt;INDEX(T_EMP[TERMINATION DATE],ROW($B29)-ROW($B$8))),"NE",IF(NOT(ISERROR(MATCH(T$8,L_HOLS,0))),"H",IF(INDEX(L_WKNDVAL,WEEKDAY(T$8,1))=1,"WKND",INDEX(T_LEAVE[LEAVE CODE],SUMPRODUCT(--(T_LEAVE[NAME]=$B29),--(T_LEAVE[DATE]&lt;=T$8),--(T_LEAVE[DATE]&gt;=T$8),ROW(T_LEAVE[LEAVE CODE]))-ROW(T_LEAVE[#Headers]))))))),"")</f>
        <v/>
      </c>
      <c r="U29" s="75" t="str">
        <f>IFERROR(IF(U$8="","NA",IF(U$8&lt;INDEX(T_EMP[START DATE],ROW($B29)-ROW($B$8)),"NE",IF(AND(INDEX(T_EMP[TERMINATION DATE],ROW($B29)-ROW($B$8))&gt;0,U$8&gt;INDEX(T_EMP[TERMINATION DATE],ROW($B29)-ROW($B$8))),"NE",IF(NOT(ISERROR(MATCH(U$8,L_HOLS,0))),"H",IF(INDEX(L_WKNDVAL,WEEKDAY(U$8,1))=1,"WKND",INDEX(T_LEAVE[LEAVE CODE],SUMPRODUCT(--(T_LEAVE[NAME]=$B29),--(T_LEAVE[DATE]&lt;=U$8),--(T_LEAVE[DATE]&gt;=U$8),ROW(T_LEAVE[LEAVE CODE]))-ROW(T_LEAVE[#Headers]))))))),"")</f>
        <v/>
      </c>
      <c r="V29" s="75" t="str">
        <f>IFERROR(IF(V$8="","NA",IF(V$8&lt;INDEX(T_EMP[START DATE],ROW($B29)-ROW($B$8)),"NE",IF(AND(INDEX(T_EMP[TERMINATION DATE],ROW($B29)-ROW($B$8))&gt;0,V$8&gt;INDEX(T_EMP[TERMINATION DATE],ROW($B29)-ROW($B$8))),"NE",IF(NOT(ISERROR(MATCH(V$8,L_HOLS,0))),"H",IF(INDEX(L_WKNDVAL,WEEKDAY(V$8,1))=1,"WKND",INDEX(T_LEAVE[LEAVE CODE],SUMPRODUCT(--(T_LEAVE[NAME]=$B29),--(T_LEAVE[DATE]&lt;=V$8),--(T_LEAVE[DATE]&gt;=V$8),ROW(T_LEAVE[LEAVE CODE]))-ROW(T_LEAVE[#Headers]))))))),"")</f>
        <v/>
      </c>
      <c r="W29" s="75" t="str">
        <f>IFERROR(IF(W$8="","NA",IF(W$8&lt;INDEX(T_EMP[START DATE],ROW($B29)-ROW($B$8)),"NE",IF(AND(INDEX(T_EMP[TERMINATION DATE],ROW($B29)-ROW($B$8))&gt;0,W$8&gt;INDEX(T_EMP[TERMINATION DATE],ROW($B29)-ROW($B$8))),"NE",IF(NOT(ISERROR(MATCH(W$8,L_HOLS,0))),"H",IF(INDEX(L_WKNDVAL,WEEKDAY(W$8,1))=1,"WKND",INDEX(T_LEAVE[LEAVE CODE],SUMPRODUCT(--(T_LEAVE[NAME]=$B29),--(T_LEAVE[DATE]&lt;=W$8),--(T_LEAVE[DATE]&gt;=W$8),ROW(T_LEAVE[LEAVE CODE]))-ROW(T_LEAVE[#Headers]))))))),"")</f>
        <v/>
      </c>
      <c r="X29" s="75" t="str">
        <f>IFERROR(IF(X$8="","NA",IF(X$8&lt;INDEX(T_EMP[START DATE],ROW($B29)-ROW($B$8)),"NE",IF(AND(INDEX(T_EMP[TERMINATION DATE],ROW($B29)-ROW($B$8))&gt;0,X$8&gt;INDEX(T_EMP[TERMINATION DATE],ROW($B29)-ROW($B$8))),"NE",IF(NOT(ISERROR(MATCH(X$8,L_HOLS,0))),"H",IF(INDEX(L_WKNDVAL,WEEKDAY(X$8,1))=1,"WKND",INDEX(T_LEAVE[LEAVE CODE],SUMPRODUCT(--(T_LEAVE[NAME]=$B29),--(T_LEAVE[DATE]&lt;=X$8),--(T_LEAVE[DATE]&gt;=X$8),ROW(T_LEAVE[LEAVE CODE]))-ROW(T_LEAVE[#Headers]))))))),"")</f>
        <v/>
      </c>
      <c r="Y29" s="75" t="str">
        <f>IFERROR(IF(Y$8="","NA",IF(Y$8&lt;INDEX(T_EMP[START DATE],ROW($B29)-ROW($B$8)),"NE",IF(AND(INDEX(T_EMP[TERMINATION DATE],ROW($B29)-ROW($B$8))&gt;0,Y$8&gt;INDEX(T_EMP[TERMINATION DATE],ROW($B29)-ROW($B$8))),"NE",IF(NOT(ISERROR(MATCH(Y$8,L_HOLS,0))),"H",IF(INDEX(L_WKNDVAL,WEEKDAY(Y$8,1))=1,"WKND",INDEX(T_LEAVE[LEAVE CODE],SUMPRODUCT(--(T_LEAVE[NAME]=$B29),--(T_LEAVE[DATE]&lt;=Y$8),--(T_LEAVE[DATE]&gt;=Y$8),ROW(T_LEAVE[LEAVE CODE]))-ROW(T_LEAVE[#Headers]))))))),"")</f>
        <v/>
      </c>
      <c r="Z29" s="75" t="str">
        <f>IFERROR(IF(Z$8="","NA",IF(Z$8&lt;INDEX(T_EMP[START DATE],ROW($B29)-ROW($B$8)),"NE",IF(AND(INDEX(T_EMP[TERMINATION DATE],ROW($B29)-ROW($B$8))&gt;0,Z$8&gt;INDEX(T_EMP[TERMINATION DATE],ROW($B29)-ROW($B$8))),"NE",IF(NOT(ISERROR(MATCH(Z$8,L_HOLS,0))),"H",IF(INDEX(L_WKNDVAL,WEEKDAY(Z$8,1))=1,"WKND",INDEX(T_LEAVE[LEAVE CODE],SUMPRODUCT(--(T_LEAVE[NAME]=$B29),--(T_LEAVE[DATE]&lt;=Z$8),--(T_LEAVE[DATE]&gt;=Z$8),ROW(T_LEAVE[LEAVE CODE]))-ROW(T_LEAVE[#Headers]))))))),"")</f>
        <v/>
      </c>
      <c r="AA29" s="75" t="str">
        <f>IFERROR(IF(AA$8="","NA",IF(AA$8&lt;INDEX(T_EMP[START DATE],ROW($B29)-ROW($B$8)),"NE",IF(AND(INDEX(T_EMP[TERMINATION DATE],ROW($B29)-ROW($B$8))&gt;0,AA$8&gt;INDEX(T_EMP[TERMINATION DATE],ROW($B29)-ROW($B$8))),"NE",IF(NOT(ISERROR(MATCH(AA$8,L_HOLS,0))),"H",IF(INDEX(L_WKNDVAL,WEEKDAY(AA$8,1))=1,"WKND",INDEX(T_LEAVE[LEAVE CODE],SUMPRODUCT(--(T_LEAVE[NAME]=$B29),--(T_LEAVE[DATE]&lt;=AA$8),--(T_LEAVE[DATE]&gt;=AA$8),ROW(T_LEAVE[LEAVE CODE]))-ROW(T_LEAVE[#Headers]))))))),"")</f>
        <v/>
      </c>
      <c r="AB29" s="75" t="str">
        <f>IFERROR(IF(AB$8="","NA",IF(AB$8&lt;INDEX(T_EMP[START DATE],ROW($B29)-ROW($B$8)),"NE",IF(AND(INDEX(T_EMP[TERMINATION DATE],ROW($B29)-ROW($B$8))&gt;0,AB$8&gt;INDEX(T_EMP[TERMINATION DATE],ROW($B29)-ROW($B$8))),"NE",IF(NOT(ISERROR(MATCH(AB$8,L_HOLS,0))),"H",IF(INDEX(L_WKNDVAL,WEEKDAY(AB$8,1))=1,"WKND",INDEX(T_LEAVE[LEAVE CODE],SUMPRODUCT(--(T_LEAVE[NAME]=$B29),--(T_LEAVE[DATE]&lt;=AB$8),--(T_LEAVE[DATE]&gt;=AB$8),ROW(T_LEAVE[LEAVE CODE]))-ROW(T_LEAVE[#Headers]))))))),"")</f>
        <v/>
      </c>
      <c r="AC29" s="75" t="str">
        <f>IFERROR(IF(AC$8="","NA",IF(AC$8&lt;INDEX(T_EMP[START DATE],ROW($B29)-ROW($B$8)),"NE",IF(AND(INDEX(T_EMP[TERMINATION DATE],ROW($B29)-ROW($B$8))&gt;0,AC$8&gt;INDEX(T_EMP[TERMINATION DATE],ROW($B29)-ROW($B$8))),"NE",IF(NOT(ISERROR(MATCH(AC$8,L_HOLS,0))),"H",IF(INDEX(L_WKNDVAL,WEEKDAY(AC$8,1))=1,"WKND",INDEX(T_LEAVE[LEAVE CODE],SUMPRODUCT(--(T_LEAVE[NAME]=$B29),--(T_LEAVE[DATE]&lt;=AC$8),--(T_LEAVE[DATE]&gt;=AC$8),ROW(T_LEAVE[LEAVE CODE]))-ROW(T_LEAVE[#Headers]))))))),"")</f>
        <v/>
      </c>
      <c r="AD29" s="75" t="str">
        <f>IFERROR(IF(AD$8="","NA",IF(AD$8&lt;INDEX(T_EMP[START DATE],ROW($B29)-ROW($B$8)),"NE",IF(AND(INDEX(T_EMP[TERMINATION DATE],ROW($B29)-ROW($B$8))&gt;0,AD$8&gt;INDEX(T_EMP[TERMINATION DATE],ROW($B29)-ROW($B$8))),"NE",IF(NOT(ISERROR(MATCH(AD$8,L_HOLS,0))),"H",IF(INDEX(L_WKNDVAL,WEEKDAY(AD$8,1))=1,"WKND",INDEX(T_LEAVE[LEAVE CODE],SUMPRODUCT(--(T_LEAVE[NAME]=$B29),--(T_LEAVE[DATE]&lt;=AD$8),--(T_LEAVE[DATE]&gt;=AD$8),ROW(T_LEAVE[LEAVE CODE]))-ROW(T_LEAVE[#Headers]))))))),"")</f>
        <v/>
      </c>
      <c r="AE29" s="75" t="str">
        <f>IFERROR(IF(AE$8="","NA",IF(AE$8&lt;INDEX(T_EMP[START DATE],ROW($B29)-ROW($B$8)),"NE",IF(AND(INDEX(T_EMP[TERMINATION DATE],ROW($B29)-ROW($B$8))&gt;0,AE$8&gt;INDEX(T_EMP[TERMINATION DATE],ROW($B29)-ROW($B$8))),"NE",IF(NOT(ISERROR(MATCH(AE$8,L_HOLS,0))),"H",IF(INDEX(L_WKNDVAL,WEEKDAY(AE$8,1))=1,"WKND",INDEX(T_LEAVE[LEAVE CODE],SUMPRODUCT(--(T_LEAVE[NAME]=$B29),--(T_LEAVE[DATE]&lt;=AE$8),--(T_LEAVE[DATE]&gt;=AE$8),ROW(T_LEAVE[LEAVE CODE]))-ROW(T_LEAVE[#Headers]))))))),"")</f>
        <v/>
      </c>
      <c r="AF29" s="75" t="str">
        <f>IFERROR(IF(AF$8="","NA",IF(AF$8&lt;INDEX(T_EMP[START DATE],ROW($B29)-ROW($B$8)),"NE",IF(AND(INDEX(T_EMP[TERMINATION DATE],ROW($B29)-ROW($B$8))&gt;0,AF$8&gt;INDEX(T_EMP[TERMINATION DATE],ROW($B29)-ROW($B$8))),"NE",IF(NOT(ISERROR(MATCH(AF$8,L_HOLS,0))),"H",IF(INDEX(L_WKNDVAL,WEEKDAY(AF$8,1))=1,"WKND",INDEX(T_LEAVE[LEAVE CODE],SUMPRODUCT(--(T_LEAVE[NAME]=$B29),--(T_LEAVE[DATE]&lt;=AF$8),--(T_LEAVE[DATE]&gt;=AF$8),ROW(T_LEAVE[LEAVE CODE]))-ROW(T_LEAVE[#Headers]))))))),"")</f>
        <v/>
      </c>
      <c r="AG29" s="75" t="str">
        <f>IFERROR(IF(AG$8="","NA",IF(AG$8&lt;INDEX(T_EMP[START DATE],ROW($B29)-ROW($B$8)),"NE",IF(AND(INDEX(T_EMP[TERMINATION DATE],ROW($B29)-ROW($B$8))&gt;0,AG$8&gt;INDEX(T_EMP[TERMINATION DATE],ROW($B29)-ROW($B$8))),"NE",IF(NOT(ISERROR(MATCH(AG$8,L_HOLS,0))),"H",IF(INDEX(L_WKNDVAL,WEEKDAY(AG$8,1))=1,"WKND",INDEX(T_LEAVE[LEAVE CODE],SUMPRODUCT(--(T_LEAVE[NAME]=$B29),--(T_LEAVE[DATE]&lt;=AG$8),--(T_LEAVE[DATE]&gt;=AG$8),ROW(T_LEAVE[LEAVE CODE]))-ROW(T_LEAVE[#Headers]))))))),"")</f>
        <v/>
      </c>
      <c r="AH29" s="75" t="str">
        <f>IFERROR(IF(AH$8="","NA",IF(AH$8&lt;INDEX(T_EMP[START DATE],ROW($B29)-ROW($B$8)),"NE",IF(AND(INDEX(T_EMP[TERMINATION DATE],ROW($B29)-ROW($B$8))&gt;0,AH$8&gt;INDEX(T_EMP[TERMINATION DATE],ROW($B29)-ROW($B$8))),"NE",IF(NOT(ISERROR(MATCH(AH$8,L_HOLS,0))),"H",IF(INDEX(L_WKNDVAL,WEEKDAY(AH$8,1))=1,"WKND",INDEX(T_LEAVE[LEAVE CODE],SUMPRODUCT(--(T_LEAVE[NAME]=$B29),--(T_LEAVE[DATE]&lt;=AH$8),--(T_LEAVE[DATE]&gt;=AH$8),ROW(T_LEAVE[LEAVE CODE]))-ROW(T_LEAVE[#Headers]))))))),"")</f>
        <v/>
      </c>
      <c r="AJ29" s="88">
        <f>IF(OR($B29="",AJ$8=""),"",COUNTIFS($D29:$AH29,AJ$8)*INDEX(T_LEAVETYPE[DAY VALUE],1))</f>
        <v>0</v>
      </c>
      <c r="AK29" s="88">
        <f>IF(OR($B29="",AK$8=""),"",COUNTIFS($D29:$AH29,AK$8)*INDEX(T_LEAVETYPE[DAY VALUE],2))</f>
        <v>0</v>
      </c>
      <c r="AL29" s="88">
        <f>IF(OR($B29="",AL$8=""),"",COUNTIFS($D29:$AH29,AL$8)*INDEX(T_LEAVETYPE[DAY VALUE],3))</f>
        <v>0</v>
      </c>
      <c r="AM29" s="88">
        <f>IF(OR($B29="",AM$8=""),"",COUNTIFS($D29:$AH29,AM$8)*INDEX(T_LEAVETYPE[DAY VALUE],4))</f>
        <v>0</v>
      </c>
      <c r="AN29" s="88">
        <f>IF(OR($B29="",AN$8=""),"",COUNTIFS($D29:$AH29,AN$8)*INDEX(T_LEAVETYPE[DAY VALUE],5))</f>
        <v>0</v>
      </c>
      <c r="AO29" s="88">
        <f>IF(OR($B29="",AO$8=""),"",COUNTIFS($D29:$AH29,AO$8)*INDEX(T_LEAVETYPE[DAY VALUE],6))</f>
        <v>0</v>
      </c>
      <c r="AP29" s="88">
        <f>IF(OR($B29="",AP$8=""),"",COUNTIFS($D29:$AH29,AP$8)*INDEX(T_LEAVETYPE[DAY VALUE],7))</f>
        <v>0</v>
      </c>
      <c r="AQ29" s="88">
        <f>IF(OR($B29="",AQ$8=""),"",COUNTIFS($D29:$AH29,AQ$8)*INDEX(T_LEAVETYPE[DAY VALUE],8))</f>
        <v>0</v>
      </c>
      <c r="AR29" s="89">
        <f t="shared" si="3"/>
        <v>0</v>
      </c>
    </row>
    <row r="30" spans="1:44" x14ac:dyDescent="0.25">
      <c r="A30" s="90">
        <f t="shared" si="4"/>
        <v>22</v>
      </c>
      <c r="B30" s="74" t="str">
        <f>IFERROR(INDEX(T_EMP[NAME],ROW(B30)-ROW($B$8)),"")</f>
        <v>SANTOS, JERICK</v>
      </c>
      <c r="C30" s="91" t="str">
        <f>IFERROR(INDEX(T_EMP[DEPARTMENT],ROW(B30)-ROW($C$8)),"")</f>
        <v>IB SUPPORT</v>
      </c>
      <c r="D30" s="75" t="str">
        <f>IFERROR(IF(D$8="","NA",IF(D$8&lt;INDEX(T_EMP[START DATE],ROW($B30)-ROW($B$8)),"NE",IF(AND(INDEX(T_EMP[TERMINATION DATE],ROW($B30)-ROW($B$8))&gt;0,D$8&gt;INDEX(T_EMP[TERMINATION DATE],ROW($B30)-ROW($B$8))),"NE",IF(NOT(ISERROR(MATCH(D$8,L_HOLS,0))),"H",IF(INDEX(L_WKNDVAL,WEEKDAY(D$8,1))=1,"WKND",INDEX(T_LEAVE[LEAVE CODE],SUMPRODUCT(--(T_LEAVE[NAME]=$B30),--(T_LEAVE[DATE]&lt;=D$8),--(T_LEAVE[DATE]&gt;=D$8),ROW(T_LEAVE[LEAVE CODE]))-ROW(T_LEAVE[#Headers]))))))),"")</f>
        <v>H</v>
      </c>
      <c r="E30" s="75" t="str">
        <f>IFERROR(IF(E$8="","NA",IF(E$8&lt;INDEX(T_EMP[START DATE],ROW($B30)-ROW($B$8)),"NE",IF(AND(INDEX(T_EMP[TERMINATION DATE],ROW($B30)-ROW($B$8))&gt;0,E$8&gt;INDEX(T_EMP[TERMINATION DATE],ROW($B30)-ROW($B$8))),"NE",IF(NOT(ISERROR(MATCH(E$8,L_HOLS,0))),"H",IF(INDEX(L_WKNDVAL,WEEKDAY(E$8,1))=1,"WKND",INDEX(T_LEAVE[LEAVE CODE],SUMPRODUCT(--(T_LEAVE[NAME]=$B30),--(T_LEAVE[DATE]&lt;=E$8),--(T_LEAVE[DATE]&gt;=E$8),ROW(T_LEAVE[LEAVE CODE]))-ROW(T_LEAVE[#Headers]))))))),"")</f>
        <v/>
      </c>
      <c r="F30" s="75" t="str">
        <f>IFERROR(IF(F$8="","NA",IF(F$8&lt;INDEX(T_EMP[START DATE],ROW($B30)-ROW($B$8)),"NE",IF(AND(INDEX(T_EMP[TERMINATION DATE],ROW($B30)-ROW($B$8))&gt;0,F$8&gt;INDEX(T_EMP[TERMINATION DATE],ROW($B30)-ROW($B$8))),"NE",IF(NOT(ISERROR(MATCH(F$8,L_HOLS,0))),"H",IF(INDEX(L_WKNDVAL,WEEKDAY(F$8,1))=1,"WKND",INDEX(T_LEAVE[LEAVE CODE],SUMPRODUCT(--(T_LEAVE[NAME]=$B30),--(T_LEAVE[DATE]&lt;=F$8),--(T_LEAVE[DATE]&gt;=F$8),ROW(T_LEAVE[LEAVE CODE]))-ROW(T_LEAVE[#Headers]))))))),"")</f>
        <v/>
      </c>
      <c r="G30" s="75" t="str">
        <f>IFERROR(IF(G$8="","NA",IF(G$8&lt;INDEX(T_EMP[START DATE],ROW($B30)-ROW($B$8)),"NE",IF(AND(INDEX(T_EMP[TERMINATION DATE],ROW($B30)-ROW($B$8))&gt;0,G$8&gt;INDEX(T_EMP[TERMINATION DATE],ROW($B30)-ROW($B$8))),"NE",IF(NOT(ISERROR(MATCH(G$8,L_HOLS,0))),"H",IF(INDEX(L_WKNDVAL,WEEKDAY(G$8,1))=1,"WKND",INDEX(T_LEAVE[LEAVE CODE],SUMPRODUCT(--(T_LEAVE[NAME]=$B30),--(T_LEAVE[DATE]&lt;=G$8),--(T_LEAVE[DATE]&gt;=G$8),ROW(T_LEAVE[LEAVE CODE]))-ROW(T_LEAVE[#Headers]))))))),"")</f>
        <v/>
      </c>
      <c r="H30" s="75" t="str">
        <f>IFERROR(IF(H$8="","NA",IF(H$8&lt;INDEX(T_EMP[START DATE],ROW($B30)-ROW($B$8)),"NE",IF(AND(INDEX(T_EMP[TERMINATION DATE],ROW($B30)-ROW($B$8))&gt;0,H$8&gt;INDEX(T_EMP[TERMINATION DATE],ROW($B30)-ROW($B$8))),"NE",IF(NOT(ISERROR(MATCH(H$8,L_HOLS,0))),"H",IF(INDEX(L_WKNDVAL,WEEKDAY(H$8,1))=1,"WKND",INDEX(T_LEAVE[LEAVE CODE],SUMPRODUCT(--(T_LEAVE[NAME]=$B30),--(T_LEAVE[DATE]&lt;=H$8),--(T_LEAVE[DATE]&gt;=H$8),ROW(T_LEAVE[LEAVE CODE]))-ROW(T_LEAVE[#Headers]))))))),"")</f>
        <v/>
      </c>
      <c r="I30" s="75" t="str">
        <f>IFERROR(IF(I$8="","NA",IF(I$8&lt;INDEX(T_EMP[START DATE],ROW($B30)-ROW($B$8)),"NE",IF(AND(INDEX(T_EMP[TERMINATION DATE],ROW($B30)-ROW($B$8))&gt;0,I$8&gt;INDEX(T_EMP[TERMINATION DATE],ROW($B30)-ROW($B$8))),"NE",IF(NOT(ISERROR(MATCH(I$8,L_HOLS,0))),"H",IF(INDEX(L_WKNDVAL,WEEKDAY(I$8,1))=1,"WKND",INDEX(T_LEAVE[LEAVE CODE],SUMPRODUCT(--(T_LEAVE[NAME]=$B30),--(T_LEAVE[DATE]&lt;=I$8),--(T_LEAVE[DATE]&gt;=I$8),ROW(T_LEAVE[LEAVE CODE]))-ROW(T_LEAVE[#Headers]))))))),"")</f>
        <v/>
      </c>
      <c r="J30" s="75" t="str">
        <f>IFERROR(IF(J$8="","NA",IF(J$8&lt;INDEX(T_EMP[START DATE],ROW($B30)-ROW($B$8)),"NE",IF(AND(INDEX(T_EMP[TERMINATION DATE],ROW($B30)-ROW($B$8))&gt;0,J$8&gt;INDEX(T_EMP[TERMINATION DATE],ROW($B30)-ROW($B$8))),"NE",IF(NOT(ISERROR(MATCH(J$8,L_HOLS,0))),"H",IF(INDEX(L_WKNDVAL,WEEKDAY(J$8,1))=1,"WKND",INDEX(T_LEAVE[LEAVE CODE],SUMPRODUCT(--(T_LEAVE[NAME]=$B30),--(T_LEAVE[DATE]&lt;=J$8),--(T_LEAVE[DATE]&gt;=J$8),ROW(T_LEAVE[LEAVE CODE]))-ROW(T_LEAVE[#Headers]))))))),"")</f>
        <v/>
      </c>
      <c r="K30" s="75" t="str">
        <f>IFERROR(IF(K$8="","NA",IF(K$8&lt;INDEX(T_EMP[START DATE],ROW($B30)-ROW($B$8)),"NE",IF(AND(INDEX(T_EMP[TERMINATION DATE],ROW($B30)-ROW($B$8))&gt;0,K$8&gt;INDEX(T_EMP[TERMINATION DATE],ROW($B30)-ROW($B$8))),"NE",IF(NOT(ISERROR(MATCH(K$8,L_HOLS,0))),"H",IF(INDEX(L_WKNDVAL,WEEKDAY(K$8,1))=1,"WKND",INDEX(T_LEAVE[LEAVE CODE],SUMPRODUCT(--(T_LEAVE[NAME]=$B30),--(T_LEAVE[DATE]&lt;=K$8),--(T_LEAVE[DATE]&gt;=K$8),ROW(T_LEAVE[LEAVE CODE]))-ROW(T_LEAVE[#Headers]))))))),"")</f>
        <v/>
      </c>
      <c r="L30" s="75" t="str">
        <f>IFERROR(IF(L$8="","NA",IF(L$8&lt;INDEX(T_EMP[START DATE],ROW($B30)-ROW($B$8)),"NE",IF(AND(INDEX(T_EMP[TERMINATION DATE],ROW($B30)-ROW($B$8))&gt;0,L$8&gt;INDEX(T_EMP[TERMINATION DATE],ROW($B30)-ROW($B$8))),"NE",IF(NOT(ISERROR(MATCH(L$8,L_HOLS,0))),"H",IF(INDEX(L_WKNDVAL,WEEKDAY(L$8,1))=1,"WKND",INDEX(T_LEAVE[LEAVE CODE],SUMPRODUCT(--(T_LEAVE[NAME]=$B30),--(T_LEAVE[DATE]&lt;=L$8),--(T_LEAVE[DATE]&gt;=L$8),ROW(T_LEAVE[LEAVE CODE]))-ROW(T_LEAVE[#Headers]))))))),"")</f>
        <v/>
      </c>
      <c r="M30" s="75" t="str">
        <f>IFERROR(IF(M$8="","NA",IF(M$8&lt;INDEX(T_EMP[START DATE],ROW($B30)-ROW($B$8)),"NE",IF(AND(INDEX(T_EMP[TERMINATION DATE],ROW($B30)-ROW($B$8))&gt;0,M$8&gt;INDEX(T_EMP[TERMINATION DATE],ROW($B30)-ROW($B$8))),"NE",IF(NOT(ISERROR(MATCH(M$8,L_HOLS,0))),"H",IF(INDEX(L_WKNDVAL,WEEKDAY(M$8,1))=1,"WKND",INDEX(T_LEAVE[LEAVE CODE],SUMPRODUCT(--(T_LEAVE[NAME]=$B30),--(T_LEAVE[DATE]&lt;=M$8),--(T_LEAVE[DATE]&gt;=M$8),ROW(T_LEAVE[LEAVE CODE]))-ROW(T_LEAVE[#Headers]))))))),"")</f>
        <v/>
      </c>
      <c r="N30" s="75" t="str">
        <f>IFERROR(IF(N$8="","NA",IF(N$8&lt;INDEX(T_EMP[START DATE],ROW($B30)-ROW($B$8)),"NE",IF(AND(INDEX(T_EMP[TERMINATION DATE],ROW($B30)-ROW($B$8))&gt;0,N$8&gt;INDEX(T_EMP[TERMINATION DATE],ROW($B30)-ROW($B$8))),"NE",IF(NOT(ISERROR(MATCH(N$8,L_HOLS,0))),"H",IF(INDEX(L_WKNDVAL,WEEKDAY(N$8,1))=1,"WKND",INDEX(T_LEAVE[LEAVE CODE],SUMPRODUCT(--(T_LEAVE[NAME]=$B30),--(T_LEAVE[DATE]&lt;=N$8),--(T_LEAVE[DATE]&gt;=N$8),ROW(T_LEAVE[LEAVE CODE]))-ROW(T_LEAVE[#Headers]))))))),"")</f>
        <v/>
      </c>
      <c r="O30" s="75" t="str">
        <f>IFERROR(IF(O$8="","NA",IF(O$8&lt;INDEX(T_EMP[START DATE],ROW($B30)-ROW($B$8)),"NE",IF(AND(INDEX(T_EMP[TERMINATION DATE],ROW($B30)-ROW($B$8))&gt;0,O$8&gt;INDEX(T_EMP[TERMINATION DATE],ROW($B30)-ROW($B$8))),"NE",IF(NOT(ISERROR(MATCH(O$8,L_HOLS,0))),"H",IF(INDEX(L_WKNDVAL,WEEKDAY(O$8,1))=1,"WKND",INDEX(T_LEAVE[LEAVE CODE],SUMPRODUCT(--(T_LEAVE[NAME]=$B30),--(T_LEAVE[DATE]&lt;=O$8),--(T_LEAVE[DATE]&gt;=O$8),ROW(T_LEAVE[LEAVE CODE]))-ROW(T_LEAVE[#Headers]))))))),"")</f>
        <v/>
      </c>
      <c r="P30" s="75" t="str">
        <f>IFERROR(IF(P$8="","NA",IF(P$8&lt;INDEX(T_EMP[START DATE],ROW($B30)-ROW($B$8)),"NE",IF(AND(INDEX(T_EMP[TERMINATION DATE],ROW($B30)-ROW($B$8))&gt;0,P$8&gt;INDEX(T_EMP[TERMINATION DATE],ROW($B30)-ROW($B$8))),"NE",IF(NOT(ISERROR(MATCH(P$8,L_HOLS,0))),"H",IF(INDEX(L_WKNDVAL,WEEKDAY(P$8,1))=1,"WKND",INDEX(T_LEAVE[LEAVE CODE],SUMPRODUCT(--(T_LEAVE[NAME]=$B30),--(T_LEAVE[DATE]&lt;=P$8),--(T_LEAVE[DATE]&gt;=P$8),ROW(T_LEAVE[LEAVE CODE]))-ROW(T_LEAVE[#Headers]))))))),"")</f>
        <v>H</v>
      </c>
      <c r="Q30" s="75" t="str">
        <f>IFERROR(IF(Q$8="","NA",IF(Q$8&lt;INDEX(T_EMP[START DATE],ROW($B30)-ROW($B$8)),"NE",IF(AND(INDEX(T_EMP[TERMINATION DATE],ROW($B30)-ROW($B$8))&gt;0,Q$8&gt;INDEX(T_EMP[TERMINATION DATE],ROW($B30)-ROW($B$8))),"NE",IF(NOT(ISERROR(MATCH(Q$8,L_HOLS,0))),"H",IF(INDEX(L_WKNDVAL,WEEKDAY(Q$8,1))=1,"WKND",INDEX(T_LEAVE[LEAVE CODE],SUMPRODUCT(--(T_LEAVE[NAME]=$B30),--(T_LEAVE[DATE]&lt;=Q$8),--(T_LEAVE[DATE]&gt;=Q$8),ROW(T_LEAVE[LEAVE CODE]))-ROW(T_LEAVE[#Headers]))))))),"")</f>
        <v/>
      </c>
      <c r="R30" s="75" t="str">
        <f>IFERROR(IF(R$8="","NA",IF(R$8&lt;INDEX(T_EMP[START DATE],ROW($B30)-ROW($B$8)),"NE",IF(AND(INDEX(T_EMP[TERMINATION DATE],ROW($B30)-ROW($B$8))&gt;0,R$8&gt;INDEX(T_EMP[TERMINATION DATE],ROW($B30)-ROW($B$8))),"NE",IF(NOT(ISERROR(MATCH(R$8,L_HOLS,0))),"H",IF(INDEX(L_WKNDVAL,WEEKDAY(R$8,1))=1,"WKND",INDEX(T_LEAVE[LEAVE CODE],SUMPRODUCT(--(T_LEAVE[NAME]=$B30),--(T_LEAVE[DATE]&lt;=R$8),--(T_LEAVE[DATE]&gt;=R$8),ROW(T_LEAVE[LEAVE CODE]))-ROW(T_LEAVE[#Headers]))))))),"")</f>
        <v/>
      </c>
      <c r="S30" s="75" t="str">
        <f>IFERROR(IF(S$8="","NA",IF(S$8&lt;INDEX(T_EMP[START DATE],ROW($B30)-ROW($B$8)),"NE",IF(AND(INDEX(T_EMP[TERMINATION DATE],ROW($B30)-ROW($B$8))&gt;0,S$8&gt;INDEX(T_EMP[TERMINATION DATE],ROW($B30)-ROW($B$8))),"NE",IF(NOT(ISERROR(MATCH(S$8,L_HOLS,0))),"H",IF(INDEX(L_WKNDVAL,WEEKDAY(S$8,1))=1,"WKND",INDEX(T_LEAVE[LEAVE CODE],SUMPRODUCT(--(T_LEAVE[NAME]=$B30),--(T_LEAVE[DATE]&lt;=S$8),--(T_LEAVE[DATE]&gt;=S$8),ROW(T_LEAVE[LEAVE CODE]))-ROW(T_LEAVE[#Headers]))))))),"")</f>
        <v/>
      </c>
      <c r="T30" s="75" t="str">
        <f>IFERROR(IF(T$8="","NA",IF(T$8&lt;INDEX(T_EMP[START DATE],ROW($B30)-ROW($B$8)),"NE",IF(AND(INDEX(T_EMP[TERMINATION DATE],ROW($B30)-ROW($B$8))&gt;0,T$8&gt;INDEX(T_EMP[TERMINATION DATE],ROW($B30)-ROW($B$8))),"NE",IF(NOT(ISERROR(MATCH(T$8,L_HOLS,0))),"H",IF(INDEX(L_WKNDVAL,WEEKDAY(T$8,1))=1,"WKND",INDEX(T_LEAVE[LEAVE CODE],SUMPRODUCT(--(T_LEAVE[NAME]=$B30),--(T_LEAVE[DATE]&lt;=T$8),--(T_LEAVE[DATE]&gt;=T$8),ROW(T_LEAVE[LEAVE CODE]))-ROW(T_LEAVE[#Headers]))))))),"")</f>
        <v/>
      </c>
      <c r="U30" s="75" t="str">
        <f>IFERROR(IF(U$8="","NA",IF(U$8&lt;INDEX(T_EMP[START DATE],ROW($B30)-ROW($B$8)),"NE",IF(AND(INDEX(T_EMP[TERMINATION DATE],ROW($B30)-ROW($B$8))&gt;0,U$8&gt;INDEX(T_EMP[TERMINATION DATE],ROW($B30)-ROW($B$8))),"NE",IF(NOT(ISERROR(MATCH(U$8,L_HOLS,0))),"H",IF(INDEX(L_WKNDVAL,WEEKDAY(U$8,1))=1,"WKND",INDEX(T_LEAVE[LEAVE CODE],SUMPRODUCT(--(T_LEAVE[NAME]=$B30),--(T_LEAVE[DATE]&lt;=U$8),--(T_LEAVE[DATE]&gt;=U$8),ROW(T_LEAVE[LEAVE CODE]))-ROW(T_LEAVE[#Headers]))))))),"")</f>
        <v/>
      </c>
      <c r="V30" s="75" t="str">
        <f>IFERROR(IF(V$8="","NA",IF(V$8&lt;INDEX(T_EMP[START DATE],ROW($B30)-ROW($B$8)),"NE",IF(AND(INDEX(T_EMP[TERMINATION DATE],ROW($B30)-ROW($B$8))&gt;0,V$8&gt;INDEX(T_EMP[TERMINATION DATE],ROW($B30)-ROW($B$8))),"NE",IF(NOT(ISERROR(MATCH(V$8,L_HOLS,0))),"H",IF(INDEX(L_WKNDVAL,WEEKDAY(V$8,1))=1,"WKND",INDEX(T_LEAVE[LEAVE CODE],SUMPRODUCT(--(T_LEAVE[NAME]=$B30),--(T_LEAVE[DATE]&lt;=V$8),--(T_LEAVE[DATE]&gt;=V$8),ROW(T_LEAVE[LEAVE CODE]))-ROW(T_LEAVE[#Headers]))))))),"")</f>
        <v/>
      </c>
      <c r="W30" s="75" t="str">
        <f>IFERROR(IF(W$8="","NA",IF(W$8&lt;INDEX(T_EMP[START DATE],ROW($B30)-ROW($B$8)),"NE",IF(AND(INDEX(T_EMP[TERMINATION DATE],ROW($B30)-ROW($B$8))&gt;0,W$8&gt;INDEX(T_EMP[TERMINATION DATE],ROW($B30)-ROW($B$8))),"NE",IF(NOT(ISERROR(MATCH(W$8,L_HOLS,0))),"H",IF(INDEX(L_WKNDVAL,WEEKDAY(W$8,1))=1,"WKND",INDEX(T_LEAVE[LEAVE CODE],SUMPRODUCT(--(T_LEAVE[NAME]=$B30),--(T_LEAVE[DATE]&lt;=W$8),--(T_LEAVE[DATE]&gt;=W$8),ROW(T_LEAVE[LEAVE CODE]))-ROW(T_LEAVE[#Headers]))))))),"")</f>
        <v/>
      </c>
      <c r="X30" s="75" t="str">
        <f>IFERROR(IF(X$8="","NA",IF(X$8&lt;INDEX(T_EMP[START DATE],ROW($B30)-ROW($B$8)),"NE",IF(AND(INDEX(T_EMP[TERMINATION DATE],ROW($B30)-ROW($B$8))&gt;0,X$8&gt;INDEX(T_EMP[TERMINATION DATE],ROW($B30)-ROW($B$8))),"NE",IF(NOT(ISERROR(MATCH(X$8,L_HOLS,0))),"H",IF(INDEX(L_WKNDVAL,WEEKDAY(X$8,1))=1,"WKND",INDEX(T_LEAVE[LEAVE CODE],SUMPRODUCT(--(T_LEAVE[NAME]=$B30),--(T_LEAVE[DATE]&lt;=X$8),--(T_LEAVE[DATE]&gt;=X$8),ROW(T_LEAVE[LEAVE CODE]))-ROW(T_LEAVE[#Headers]))))))),"")</f>
        <v/>
      </c>
      <c r="Y30" s="75" t="str">
        <f>IFERROR(IF(Y$8="","NA",IF(Y$8&lt;INDEX(T_EMP[START DATE],ROW($B30)-ROW($B$8)),"NE",IF(AND(INDEX(T_EMP[TERMINATION DATE],ROW($B30)-ROW($B$8))&gt;0,Y$8&gt;INDEX(T_EMP[TERMINATION DATE],ROW($B30)-ROW($B$8))),"NE",IF(NOT(ISERROR(MATCH(Y$8,L_HOLS,0))),"H",IF(INDEX(L_WKNDVAL,WEEKDAY(Y$8,1))=1,"WKND",INDEX(T_LEAVE[LEAVE CODE],SUMPRODUCT(--(T_LEAVE[NAME]=$B30),--(T_LEAVE[DATE]&lt;=Y$8),--(T_LEAVE[DATE]&gt;=Y$8),ROW(T_LEAVE[LEAVE CODE]))-ROW(T_LEAVE[#Headers]))))))),"")</f>
        <v/>
      </c>
      <c r="Z30" s="75" t="str">
        <f>IFERROR(IF(Z$8="","NA",IF(Z$8&lt;INDEX(T_EMP[START DATE],ROW($B30)-ROW($B$8)),"NE",IF(AND(INDEX(T_EMP[TERMINATION DATE],ROW($B30)-ROW($B$8))&gt;0,Z$8&gt;INDEX(T_EMP[TERMINATION DATE],ROW($B30)-ROW($B$8))),"NE",IF(NOT(ISERROR(MATCH(Z$8,L_HOLS,0))),"H",IF(INDEX(L_WKNDVAL,WEEKDAY(Z$8,1))=1,"WKND",INDEX(T_LEAVE[LEAVE CODE],SUMPRODUCT(--(T_LEAVE[NAME]=$B30),--(T_LEAVE[DATE]&lt;=Z$8),--(T_LEAVE[DATE]&gt;=Z$8),ROW(T_LEAVE[LEAVE CODE]))-ROW(T_LEAVE[#Headers]))))))),"")</f>
        <v/>
      </c>
      <c r="AA30" s="75" t="str">
        <f>IFERROR(IF(AA$8="","NA",IF(AA$8&lt;INDEX(T_EMP[START DATE],ROW($B30)-ROW($B$8)),"NE",IF(AND(INDEX(T_EMP[TERMINATION DATE],ROW($B30)-ROW($B$8))&gt;0,AA$8&gt;INDEX(T_EMP[TERMINATION DATE],ROW($B30)-ROW($B$8))),"NE",IF(NOT(ISERROR(MATCH(AA$8,L_HOLS,0))),"H",IF(INDEX(L_WKNDVAL,WEEKDAY(AA$8,1))=1,"WKND",INDEX(T_LEAVE[LEAVE CODE],SUMPRODUCT(--(T_LEAVE[NAME]=$B30),--(T_LEAVE[DATE]&lt;=AA$8),--(T_LEAVE[DATE]&gt;=AA$8),ROW(T_LEAVE[LEAVE CODE]))-ROW(T_LEAVE[#Headers]))))))),"")</f>
        <v/>
      </c>
      <c r="AB30" s="75" t="str">
        <f>IFERROR(IF(AB$8="","NA",IF(AB$8&lt;INDEX(T_EMP[START DATE],ROW($B30)-ROW($B$8)),"NE",IF(AND(INDEX(T_EMP[TERMINATION DATE],ROW($B30)-ROW($B$8))&gt;0,AB$8&gt;INDEX(T_EMP[TERMINATION DATE],ROW($B30)-ROW($B$8))),"NE",IF(NOT(ISERROR(MATCH(AB$8,L_HOLS,0))),"H",IF(INDEX(L_WKNDVAL,WEEKDAY(AB$8,1))=1,"WKND",INDEX(T_LEAVE[LEAVE CODE],SUMPRODUCT(--(T_LEAVE[NAME]=$B30),--(T_LEAVE[DATE]&lt;=AB$8),--(T_LEAVE[DATE]&gt;=AB$8),ROW(T_LEAVE[LEAVE CODE]))-ROW(T_LEAVE[#Headers]))))))),"")</f>
        <v/>
      </c>
      <c r="AC30" s="75" t="str">
        <f>IFERROR(IF(AC$8="","NA",IF(AC$8&lt;INDEX(T_EMP[START DATE],ROW($B30)-ROW($B$8)),"NE",IF(AND(INDEX(T_EMP[TERMINATION DATE],ROW($B30)-ROW($B$8))&gt;0,AC$8&gt;INDEX(T_EMP[TERMINATION DATE],ROW($B30)-ROW($B$8))),"NE",IF(NOT(ISERROR(MATCH(AC$8,L_HOLS,0))),"H",IF(INDEX(L_WKNDVAL,WEEKDAY(AC$8,1))=1,"WKND",INDEX(T_LEAVE[LEAVE CODE],SUMPRODUCT(--(T_LEAVE[NAME]=$B30),--(T_LEAVE[DATE]&lt;=AC$8),--(T_LEAVE[DATE]&gt;=AC$8),ROW(T_LEAVE[LEAVE CODE]))-ROW(T_LEAVE[#Headers]))))))),"")</f>
        <v/>
      </c>
      <c r="AD30" s="75" t="str">
        <f>IFERROR(IF(AD$8="","NA",IF(AD$8&lt;INDEX(T_EMP[START DATE],ROW($B30)-ROW($B$8)),"NE",IF(AND(INDEX(T_EMP[TERMINATION DATE],ROW($B30)-ROW($B$8))&gt;0,AD$8&gt;INDEX(T_EMP[TERMINATION DATE],ROW($B30)-ROW($B$8))),"NE",IF(NOT(ISERROR(MATCH(AD$8,L_HOLS,0))),"H",IF(INDEX(L_WKNDVAL,WEEKDAY(AD$8,1))=1,"WKND",INDEX(T_LEAVE[LEAVE CODE],SUMPRODUCT(--(T_LEAVE[NAME]=$B30),--(T_LEAVE[DATE]&lt;=AD$8),--(T_LEAVE[DATE]&gt;=AD$8),ROW(T_LEAVE[LEAVE CODE]))-ROW(T_LEAVE[#Headers]))))))),"")</f>
        <v/>
      </c>
      <c r="AE30" s="75" t="str">
        <f>IFERROR(IF(AE$8="","NA",IF(AE$8&lt;INDEX(T_EMP[START DATE],ROW($B30)-ROW($B$8)),"NE",IF(AND(INDEX(T_EMP[TERMINATION DATE],ROW($B30)-ROW($B$8))&gt;0,AE$8&gt;INDEX(T_EMP[TERMINATION DATE],ROW($B30)-ROW($B$8))),"NE",IF(NOT(ISERROR(MATCH(AE$8,L_HOLS,0))),"H",IF(INDEX(L_WKNDVAL,WEEKDAY(AE$8,1))=1,"WKND",INDEX(T_LEAVE[LEAVE CODE],SUMPRODUCT(--(T_LEAVE[NAME]=$B30),--(T_LEAVE[DATE]&lt;=AE$8),--(T_LEAVE[DATE]&gt;=AE$8),ROW(T_LEAVE[LEAVE CODE]))-ROW(T_LEAVE[#Headers]))))))),"")</f>
        <v/>
      </c>
      <c r="AF30" s="75" t="str">
        <f>IFERROR(IF(AF$8="","NA",IF(AF$8&lt;INDEX(T_EMP[START DATE],ROW($B30)-ROW($B$8)),"NE",IF(AND(INDEX(T_EMP[TERMINATION DATE],ROW($B30)-ROW($B$8))&gt;0,AF$8&gt;INDEX(T_EMP[TERMINATION DATE],ROW($B30)-ROW($B$8))),"NE",IF(NOT(ISERROR(MATCH(AF$8,L_HOLS,0))),"H",IF(INDEX(L_WKNDVAL,WEEKDAY(AF$8,1))=1,"WKND",INDEX(T_LEAVE[LEAVE CODE],SUMPRODUCT(--(T_LEAVE[NAME]=$B30),--(T_LEAVE[DATE]&lt;=AF$8),--(T_LEAVE[DATE]&gt;=AF$8),ROW(T_LEAVE[LEAVE CODE]))-ROW(T_LEAVE[#Headers]))))))),"")</f>
        <v/>
      </c>
      <c r="AG30" s="75" t="str">
        <f>IFERROR(IF(AG$8="","NA",IF(AG$8&lt;INDEX(T_EMP[START DATE],ROW($B30)-ROW($B$8)),"NE",IF(AND(INDEX(T_EMP[TERMINATION DATE],ROW($B30)-ROW($B$8))&gt;0,AG$8&gt;INDEX(T_EMP[TERMINATION DATE],ROW($B30)-ROW($B$8))),"NE",IF(NOT(ISERROR(MATCH(AG$8,L_HOLS,0))),"H",IF(INDEX(L_WKNDVAL,WEEKDAY(AG$8,1))=1,"WKND",INDEX(T_LEAVE[LEAVE CODE],SUMPRODUCT(--(T_LEAVE[NAME]=$B30),--(T_LEAVE[DATE]&lt;=AG$8),--(T_LEAVE[DATE]&gt;=AG$8),ROW(T_LEAVE[LEAVE CODE]))-ROW(T_LEAVE[#Headers]))))))),"")</f>
        <v/>
      </c>
      <c r="AH30" s="75" t="str">
        <f>IFERROR(IF(AH$8="","NA",IF(AH$8&lt;INDEX(T_EMP[START DATE],ROW($B30)-ROW($B$8)),"NE",IF(AND(INDEX(T_EMP[TERMINATION DATE],ROW($B30)-ROW($B$8))&gt;0,AH$8&gt;INDEX(T_EMP[TERMINATION DATE],ROW($B30)-ROW($B$8))),"NE",IF(NOT(ISERROR(MATCH(AH$8,L_HOLS,0))),"H",IF(INDEX(L_WKNDVAL,WEEKDAY(AH$8,1))=1,"WKND",INDEX(T_LEAVE[LEAVE CODE],SUMPRODUCT(--(T_LEAVE[NAME]=$B30),--(T_LEAVE[DATE]&lt;=AH$8),--(T_LEAVE[DATE]&gt;=AH$8),ROW(T_LEAVE[LEAVE CODE]))-ROW(T_LEAVE[#Headers]))))))),"")</f>
        <v/>
      </c>
      <c r="AJ30" s="88">
        <f>IF(OR($B30="",AJ$8=""),"",COUNTIFS($D30:$AH30,AJ$8)*INDEX(T_LEAVETYPE[DAY VALUE],1))</f>
        <v>0</v>
      </c>
      <c r="AK30" s="88">
        <f>IF(OR($B30="",AK$8=""),"",COUNTIFS($D30:$AH30,AK$8)*INDEX(T_LEAVETYPE[DAY VALUE],2))</f>
        <v>0</v>
      </c>
      <c r="AL30" s="88">
        <f>IF(OR($B30="",AL$8=""),"",COUNTIFS($D30:$AH30,AL$8)*INDEX(T_LEAVETYPE[DAY VALUE],3))</f>
        <v>0</v>
      </c>
      <c r="AM30" s="88">
        <f>IF(OR($B30="",AM$8=""),"",COUNTIFS($D30:$AH30,AM$8)*INDEX(T_LEAVETYPE[DAY VALUE],4))</f>
        <v>0</v>
      </c>
      <c r="AN30" s="88">
        <f>IF(OR($B30="",AN$8=""),"",COUNTIFS($D30:$AH30,AN$8)*INDEX(T_LEAVETYPE[DAY VALUE],5))</f>
        <v>0</v>
      </c>
      <c r="AO30" s="88">
        <f>IF(OR($B30="",AO$8=""),"",COUNTIFS($D30:$AH30,AO$8)*INDEX(T_LEAVETYPE[DAY VALUE],6))</f>
        <v>0</v>
      </c>
      <c r="AP30" s="88">
        <f>IF(OR($B30="",AP$8=""),"",COUNTIFS($D30:$AH30,AP$8)*INDEX(T_LEAVETYPE[DAY VALUE],7))</f>
        <v>0</v>
      </c>
      <c r="AQ30" s="88">
        <f>IF(OR($B30="",AQ$8=""),"",COUNTIFS($D30:$AH30,AQ$8)*INDEX(T_LEAVETYPE[DAY VALUE],8))</f>
        <v>0</v>
      </c>
      <c r="AR30" s="89">
        <f t="shared" si="3"/>
        <v>0</v>
      </c>
    </row>
    <row r="31" spans="1:44" x14ac:dyDescent="0.25">
      <c r="A31" s="90">
        <f t="shared" si="4"/>
        <v>23</v>
      </c>
      <c r="B31" s="74" t="str">
        <f>IFERROR(INDEX(T_EMP[NAME],ROW(B31)-ROW($B$8)),"")</f>
        <v>APACIBLE, JOEMARK</v>
      </c>
      <c r="C31" s="91" t="str">
        <f>IFERROR(INDEX(T_EMP[DEPARTMENT],ROW(B31)-ROW($C$8)),"")</f>
        <v>IB SUPPORT</v>
      </c>
      <c r="D31" s="75" t="str">
        <f>IFERROR(IF(D$8="","NA",IF(D$8&lt;INDEX(T_EMP[START DATE],ROW($B31)-ROW($B$8)),"NE",IF(AND(INDEX(T_EMP[TERMINATION DATE],ROW($B31)-ROW($B$8))&gt;0,D$8&gt;INDEX(T_EMP[TERMINATION DATE],ROW($B31)-ROW($B$8))),"NE",IF(NOT(ISERROR(MATCH(D$8,L_HOLS,0))),"H",IF(INDEX(L_WKNDVAL,WEEKDAY(D$8,1))=1,"WKND",INDEX(T_LEAVE[LEAVE CODE],SUMPRODUCT(--(T_LEAVE[NAME]=$B31),--(T_LEAVE[DATE]&lt;=D$8),--(T_LEAVE[DATE]&gt;=D$8),ROW(T_LEAVE[LEAVE CODE]))-ROW(T_LEAVE[#Headers]))))))),"")</f>
        <v>H</v>
      </c>
      <c r="E31" s="75" t="str">
        <f>IFERROR(IF(E$8="","NA",IF(E$8&lt;INDEX(T_EMP[START DATE],ROW($B31)-ROW($B$8)),"NE",IF(AND(INDEX(T_EMP[TERMINATION DATE],ROW($B31)-ROW($B$8))&gt;0,E$8&gt;INDEX(T_EMP[TERMINATION DATE],ROW($B31)-ROW($B$8))),"NE",IF(NOT(ISERROR(MATCH(E$8,L_HOLS,0))),"H",IF(INDEX(L_WKNDVAL,WEEKDAY(E$8,1))=1,"WKND",INDEX(T_LEAVE[LEAVE CODE],SUMPRODUCT(--(T_LEAVE[NAME]=$B31),--(T_LEAVE[DATE]&lt;=E$8),--(T_LEAVE[DATE]&gt;=E$8),ROW(T_LEAVE[LEAVE CODE]))-ROW(T_LEAVE[#Headers]))))))),"")</f>
        <v/>
      </c>
      <c r="F31" s="75" t="str">
        <f>IFERROR(IF(F$8="","NA",IF(F$8&lt;INDEX(T_EMP[START DATE],ROW($B31)-ROW($B$8)),"NE",IF(AND(INDEX(T_EMP[TERMINATION DATE],ROW($B31)-ROW($B$8))&gt;0,F$8&gt;INDEX(T_EMP[TERMINATION DATE],ROW($B31)-ROW($B$8))),"NE",IF(NOT(ISERROR(MATCH(F$8,L_HOLS,0))),"H",IF(INDEX(L_WKNDVAL,WEEKDAY(F$8,1))=1,"WKND",INDEX(T_LEAVE[LEAVE CODE],SUMPRODUCT(--(T_LEAVE[NAME]=$B31),--(T_LEAVE[DATE]&lt;=F$8),--(T_LEAVE[DATE]&gt;=F$8),ROW(T_LEAVE[LEAVE CODE]))-ROW(T_LEAVE[#Headers]))))))),"")</f>
        <v/>
      </c>
      <c r="G31" s="75" t="str">
        <f>IFERROR(IF(G$8="","NA",IF(G$8&lt;INDEX(T_EMP[START DATE],ROW($B31)-ROW($B$8)),"NE",IF(AND(INDEX(T_EMP[TERMINATION DATE],ROW($B31)-ROW($B$8))&gt;0,G$8&gt;INDEX(T_EMP[TERMINATION DATE],ROW($B31)-ROW($B$8))),"NE",IF(NOT(ISERROR(MATCH(G$8,L_HOLS,0))),"H",IF(INDEX(L_WKNDVAL,WEEKDAY(G$8,1))=1,"WKND",INDEX(T_LEAVE[LEAVE CODE],SUMPRODUCT(--(T_LEAVE[NAME]=$B31),--(T_LEAVE[DATE]&lt;=G$8),--(T_LEAVE[DATE]&gt;=G$8),ROW(T_LEAVE[LEAVE CODE]))-ROW(T_LEAVE[#Headers]))))))),"")</f>
        <v/>
      </c>
      <c r="H31" s="75" t="str">
        <f>IFERROR(IF(H$8="","NA",IF(H$8&lt;INDEX(T_EMP[START DATE],ROW($B31)-ROW($B$8)),"NE",IF(AND(INDEX(T_EMP[TERMINATION DATE],ROW($B31)-ROW($B$8))&gt;0,H$8&gt;INDEX(T_EMP[TERMINATION DATE],ROW($B31)-ROW($B$8))),"NE",IF(NOT(ISERROR(MATCH(H$8,L_HOLS,0))),"H",IF(INDEX(L_WKNDVAL,WEEKDAY(H$8,1))=1,"WKND",INDEX(T_LEAVE[LEAVE CODE],SUMPRODUCT(--(T_LEAVE[NAME]=$B31),--(T_LEAVE[DATE]&lt;=H$8),--(T_LEAVE[DATE]&gt;=H$8),ROW(T_LEAVE[LEAVE CODE]))-ROW(T_LEAVE[#Headers]))))))),"")</f>
        <v/>
      </c>
      <c r="I31" s="75" t="str">
        <f>IFERROR(IF(I$8="","NA",IF(I$8&lt;INDEX(T_EMP[START DATE],ROW($B31)-ROW($B$8)),"NE",IF(AND(INDEX(T_EMP[TERMINATION DATE],ROW($B31)-ROW($B$8))&gt;0,I$8&gt;INDEX(T_EMP[TERMINATION DATE],ROW($B31)-ROW($B$8))),"NE",IF(NOT(ISERROR(MATCH(I$8,L_HOLS,0))),"H",IF(INDEX(L_WKNDVAL,WEEKDAY(I$8,1))=1,"WKND",INDEX(T_LEAVE[LEAVE CODE],SUMPRODUCT(--(T_LEAVE[NAME]=$B31),--(T_LEAVE[DATE]&lt;=I$8),--(T_LEAVE[DATE]&gt;=I$8),ROW(T_LEAVE[LEAVE CODE]))-ROW(T_LEAVE[#Headers]))))))),"")</f>
        <v/>
      </c>
      <c r="J31" s="75" t="str">
        <f>IFERROR(IF(J$8="","NA",IF(J$8&lt;INDEX(T_EMP[START DATE],ROW($B31)-ROW($B$8)),"NE",IF(AND(INDEX(T_EMP[TERMINATION DATE],ROW($B31)-ROW($B$8))&gt;0,J$8&gt;INDEX(T_EMP[TERMINATION DATE],ROW($B31)-ROW($B$8))),"NE",IF(NOT(ISERROR(MATCH(J$8,L_HOLS,0))),"H",IF(INDEX(L_WKNDVAL,WEEKDAY(J$8,1))=1,"WKND",INDEX(T_LEAVE[LEAVE CODE],SUMPRODUCT(--(T_LEAVE[NAME]=$B31),--(T_LEAVE[DATE]&lt;=J$8),--(T_LEAVE[DATE]&gt;=J$8),ROW(T_LEAVE[LEAVE CODE]))-ROW(T_LEAVE[#Headers]))))))),"")</f>
        <v/>
      </c>
      <c r="K31" s="75" t="str">
        <f>IFERROR(IF(K$8="","NA",IF(K$8&lt;INDEX(T_EMP[START DATE],ROW($B31)-ROW($B$8)),"NE",IF(AND(INDEX(T_EMP[TERMINATION DATE],ROW($B31)-ROW($B$8))&gt;0,K$8&gt;INDEX(T_EMP[TERMINATION DATE],ROW($B31)-ROW($B$8))),"NE",IF(NOT(ISERROR(MATCH(K$8,L_HOLS,0))),"H",IF(INDEX(L_WKNDVAL,WEEKDAY(K$8,1))=1,"WKND",INDEX(T_LEAVE[LEAVE CODE],SUMPRODUCT(--(T_LEAVE[NAME]=$B31),--(T_LEAVE[DATE]&lt;=K$8),--(T_LEAVE[DATE]&gt;=K$8),ROW(T_LEAVE[LEAVE CODE]))-ROW(T_LEAVE[#Headers]))))))),"")</f>
        <v/>
      </c>
      <c r="L31" s="75" t="str">
        <f>IFERROR(IF(L$8="","NA",IF(L$8&lt;INDEX(T_EMP[START DATE],ROW($B31)-ROW($B$8)),"NE",IF(AND(INDEX(T_EMP[TERMINATION DATE],ROW($B31)-ROW($B$8))&gt;0,L$8&gt;INDEX(T_EMP[TERMINATION DATE],ROW($B31)-ROW($B$8))),"NE",IF(NOT(ISERROR(MATCH(L$8,L_HOLS,0))),"H",IF(INDEX(L_WKNDVAL,WEEKDAY(L$8,1))=1,"WKND",INDEX(T_LEAVE[LEAVE CODE],SUMPRODUCT(--(T_LEAVE[NAME]=$B31),--(T_LEAVE[DATE]&lt;=L$8),--(T_LEAVE[DATE]&gt;=L$8),ROW(T_LEAVE[LEAVE CODE]))-ROW(T_LEAVE[#Headers]))))))),"")</f>
        <v/>
      </c>
      <c r="M31" s="75" t="str">
        <f>IFERROR(IF(M$8="","NA",IF(M$8&lt;INDEX(T_EMP[START DATE],ROW($B31)-ROW($B$8)),"NE",IF(AND(INDEX(T_EMP[TERMINATION DATE],ROW($B31)-ROW($B$8))&gt;0,M$8&gt;INDEX(T_EMP[TERMINATION DATE],ROW($B31)-ROW($B$8))),"NE",IF(NOT(ISERROR(MATCH(M$8,L_HOLS,0))),"H",IF(INDEX(L_WKNDVAL,WEEKDAY(M$8,1))=1,"WKND",INDEX(T_LEAVE[LEAVE CODE],SUMPRODUCT(--(T_LEAVE[NAME]=$B31),--(T_LEAVE[DATE]&lt;=M$8),--(T_LEAVE[DATE]&gt;=M$8),ROW(T_LEAVE[LEAVE CODE]))-ROW(T_LEAVE[#Headers]))))))),"")</f>
        <v/>
      </c>
      <c r="N31" s="75" t="str">
        <f>IFERROR(IF(N$8="","NA",IF(N$8&lt;INDEX(T_EMP[START DATE],ROW($B31)-ROW($B$8)),"NE",IF(AND(INDEX(T_EMP[TERMINATION DATE],ROW($B31)-ROW($B$8))&gt;0,N$8&gt;INDEX(T_EMP[TERMINATION DATE],ROW($B31)-ROW($B$8))),"NE",IF(NOT(ISERROR(MATCH(N$8,L_HOLS,0))),"H",IF(INDEX(L_WKNDVAL,WEEKDAY(N$8,1))=1,"WKND",INDEX(T_LEAVE[LEAVE CODE],SUMPRODUCT(--(T_LEAVE[NAME]=$B31),--(T_LEAVE[DATE]&lt;=N$8),--(T_LEAVE[DATE]&gt;=N$8),ROW(T_LEAVE[LEAVE CODE]))-ROW(T_LEAVE[#Headers]))))))),"")</f>
        <v/>
      </c>
      <c r="O31" s="75" t="str">
        <f>IFERROR(IF(O$8="","NA",IF(O$8&lt;INDEX(T_EMP[START DATE],ROW($B31)-ROW($B$8)),"NE",IF(AND(INDEX(T_EMP[TERMINATION DATE],ROW($B31)-ROW($B$8))&gt;0,O$8&gt;INDEX(T_EMP[TERMINATION DATE],ROW($B31)-ROW($B$8))),"NE",IF(NOT(ISERROR(MATCH(O$8,L_HOLS,0))),"H",IF(INDEX(L_WKNDVAL,WEEKDAY(O$8,1))=1,"WKND",INDEX(T_LEAVE[LEAVE CODE],SUMPRODUCT(--(T_LEAVE[NAME]=$B31),--(T_LEAVE[DATE]&lt;=O$8),--(T_LEAVE[DATE]&gt;=O$8),ROW(T_LEAVE[LEAVE CODE]))-ROW(T_LEAVE[#Headers]))))))),"")</f>
        <v/>
      </c>
      <c r="P31" s="75" t="str">
        <f>IFERROR(IF(P$8="","NA",IF(P$8&lt;INDEX(T_EMP[START DATE],ROW($B31)-ROW($B$8)),"NE",IF(AND(INDEX(T_EMP[TERMINATION DATE],ROW($B31)-ROW($B$8))&gt;0,P$8&gt;INDEX(T_EMP[TERMINATION DATE],ROW($B31)-ROW($B$8))),"NE",IF(NOT(ISERROR(MATCH(P$8,L_HOLS,0))),"H",IF(INDEX(L_WKNDVAL,WEEKDAY(P$8,1))=1,"WKND",INDEX(T_LEAVE[LEAVE CODE],SUMPRODUCT(--(T_LEAVE[NAME]=$B31),--(T_LEAVE[DATE]&lt;=P$8),--(T_LEAVE[DATE]&gt;=P$8),ROW(T_LEAVE[LEAVE CODE]))-ROW(T_LEAVE[#Headers]))))))),"")</f>
        <v>H</v>
      </c>
      <c r="Q31" s="75" t="str">
        <f>IFERROR(IF(Q$8="","NA",IF(Q$8&lt;INDEX(T_EMP[START DATE],ROW($B31)-ROW($B$8)),"NE",IF(AND(INDEX(T_EMP[TERMINATION DATE],ROW($B31)-ROW($B$8))&gt;0,Q$8&gt;INDEX(T_EMP[TERMINATION DATE],ROW($B31)-ROW($B$8))),"NE",IF(NOT(ISERROR(MATCH(Q$8,L_HOLS,0))),"H",IF(INDEX(L_WKNDVAL,WEEKDAY(Q$8,1))=1,"WKND",INDEX(T_LEAVE[LEAVE CODE],SUMPRODUCT(--(T_LEAVE[NAME]=$B31),--(T_LEAVE[DATE]&lt;=Q$8),--(T_LEAVE[DATE]&gt;=Q$8),ROW(T_LEAVE[LEAVE CODE]))-ROW(T_LEAVE[#Headers]))))))),"")</f>
        <v/>
      </c>
      <c r="R31" s="75" t="str">
        <f>IFERROR(IF(R$8="","NA",IF(R$8&lt;INDEX(T_EMP[START DATE],ROW($B31)-ROW($B$8)),"NE",IF(AND(INDEX(T_EMP[TERMINATION DATE],ROW($B31)-ROW($B$8))&gt;0,R$8&gt;INDEX(T_EMP[TERMINATION DATE],ROW($B31)-ROW($B$8))),"NE",IF(NOT(ISERROR(MATCH(R$8,L_HOLS,0))),"H",IF(INDEX(L_WKNDVAL,WEEKDAY(R$8,1))=1,"WKND",INDEX(T_LEAVE[LEAVE CODE],SUMPRODUCT(--(T_LEAVE[NAME]=$B31),--(T_LEAVE[DATE]&lt;=R$8),--(T_LEAVE[DATE]&gt;=R$8),ROW(T_LEAVE[LEAVE CODE]))-ROW(T_LEAVE[#Headers]))))))),"")</f>
        <v/>
      </c>
      <c r="S31" s="75" t="str">
        <f>IFERROR(IF(S$8="","NA",IF(S$8&lt;INDEX(T_EMP[START DATE],ROW($B31)-ROW($B$8)),"NE",IF(AND(INDEX(T_EMP[TERMINATION DATE],ROW($B31)-ROW($B$8))&gt;0,S$8&gt;INDEX(T_EMP[TERMINATION DATE],ROW($B31)-ROW($B$8))),"NE",IF(NOT(ISERROR(MATCH(S$8,L_HOLS,0))),"H",IF(INDEX(L_WKNDVAL,WEEKDAY(S$8,1))=1,"WKND",INDEX(T_LEAVE[LEAVE CODE],SUMPRODUCT(--(T_LEAVE[NAME]=$B31),--(T_LEAVE[DATE]&lt;=S$8),--(T_LEAVE[DATE]&gt;=S$8),ROW(T_LEAVE[LEAVE CODE]))-ROW(T_LEAVE[#Headers]))))))),"")</f>
        <v/>
      </c>
      <c r="T31" s="75" t="str">
        <f>IFERROR(IF(T$8="","NA",IF(T$8&lt;INDEX(T_EMP[START DATE],ROW($B31)-ROW($B$8)),"NE",IF(AND(INDEX(T_EMP[TERMINATION DATE],ROW($B31)-ROW($B$8))&gt;0,T$8&gt;INDEX(T_EMP[TERMINATION DATE],ROW($B31)-ROW($B$8))),"NE",IF(NOT(ISERROR(MATCH(T$8,L_HOLS,0))),"H",IF(INDEX(L_WKNDVAL,WEEKDAY(T$8,1))=1,"WKND",INDEX(T_LEAVE[LEAVE CODE],SUMPRODUCT(--(T_LEAVE[NAME]=$B31),--(T_LEAVE[DATE]&lt;=T$8),--(T_LEAVE[DATE]&gt;=T$8),ROW(T_LEAVE[LEAVE CODE]))-ROW(T_LEAVE[#Headers]))))))),"")</f>
        <v/>
      </c>
      <c r="U31" s="75" t="str">
        <f>IFERROR(IF(U$8="","NA",IF(U$8&lt;INDEX(T_EMP[START DATE],ROW($B31)-ROW($B$8)),"NE",IF(AND(INDEX(T_EMP[TERMINATION DATE],ROW($B31)-ROW($B$8))&gt;0,U$8&gt;INDEX(T_EMP[TERMINATION DATE],ROW($B31)-ROW($B$8))),"NE",IF(NOT(ISERROR(MATCH(U$8,L_HOLS,0))),"H",IF(INDEX(L_WKNDVAL,WEEKDAY(U$8,1))=1,"WKND",INDEX(T_LEAVE[LEAVE CODE],SUMPRODUCT(--(T_LEAVE[NAME]=$B31),--(T_LEAVE[DATE]&lt;=U$8),--(T_LEAVE[DATE]&gt;=U$8),ROW(T_LEAVE[LEAVE CODE]))-ROW(T_LEAVE[#Headers]))))))),"")</f>
        <v/>
      </c>
      <c r="V31" s="75" t="str">
        <f>IFERROR(IF(V$8="","NA",IF(V$8&lt;INDEX(T_EMP[START DATE],ROW($B31)-ROW($B$8)),"NE",IF(AND(INDEX(T_EMP[TERMINATION DATE],ROW($B31)-ROW($B$8))&gt;0,V$8&gt;INDEX(T_EMP[TERMINATION DATE],ROW($B31)-ROW($B$8))),"NE",IF(NOT(ISERROR(MATCH(V$8,L_HOLS,0))),"H",IF(INDEX(L_WKNDVAL,WEEKDAY(V$8,1))=1,"WKND",INDEX(T_LEAVE[LEAVE CODE],SUMPRODUCT(--(T_LEAVE[NAME]=$B31),--(T_LEAVE[DATE]&lt;=V$8),--(T_LEAVE[DATE]&gt;=V$8),ROW(T_LEAVE[LEAVE CODE]))-ROW(T_LEAVE[#Headers]))))))),"")</f>
        <v/>
      </c>
      <c r="W31" s="75" t="str">
        <f>IFERROR(IF(W$8="","NA",IF(W$8&lt;INDEX(T_EMP[START DATE],ROW($B31)-ROW($B$8)),"NE",IF(AND(INDEX(T_EMP[TERMINATION DATE],ROW($B31)-ROW($B$8))&gt;0,W$8&gt;INDEX(T_EMP[TERMINATION DATE],ROW($B31)-ROW($B$8))),"NE",IF(NOT(ISERROR(MATCH(W$8,L_HOLS,0))),"H",IF(INDEX(L_WKNDVAL,WEEKDAY(W$8,1))=1,"WKND",INDEX(T_LEAVE[LEAVE CODE],SUMPRODUCT(--(T_LEAVE[NAME]=$B31),--(T_LEAVE[DATE]&lt;=W$8),--(T_LEAVE[DATE]&gt;=W$8),ROW(T_LEAVE[LEAVE CODE]))-ROW(T_LEAVE[#Headers]))))))),"")</f>
        <v/>
      </c>
      <c r="X31" s="75" t="str">
        <f>IFERROR(IF(X$8="","NA",IF(X$8&lt;INDEX(T_EMP[START DATE],ROW($B31)-ROW($B$8)),"NE",IF(AND(INDEX(T_EMP[TERMINATION DATE],ROW($B31)-ROW($B$8))&gt;0,X$8&gt;INDEX(T_EMP[TERMINATION DATE],ROW($B31)-ROW($B$8))),"NE",IF(NOT(ISERROR(MATCH(X$8,L_HOLS,0))),"H",IF(INDEX(L_WKNDVAL,WEEKDAY(X$8,1))=1,"WKND",INDEX(T_LEAVE[LEAVE CODE],SUMPRODUCT(--(T_LEAVE[NAME]=$B31),--(T_LEAVE[DATE]&lt;=X$8),--(T_LEAVE[DATE]&gt;=X$8),ROW(T_LEAVE[LEAVE CODE]))-ROW(T_LEAVE[#Headers]))))))),"")</f>
        <v/>
      </c>
      <c r="Y31" s="75" t="str">
        <f>IFERROR(IF(Y$8="","NA",IF(Y$8&lt;INDEX(T_EMP[START DATE],ROW($B31)-ROW($B$8)),"NE",IF(AND(INDEX(T_EMP[TERMINATION DATE],ROW($B31)-ROW($B$8))&gt;0,Y$8&gt;INDEX(T_EMP[TERMINATION DATE],ROW($B31)-ROW($B$8))),"NE",IF(NOT(ISERROR(MATCH(Y$8,L_HOLS,0))),"H",IF(INDEX(L_WKNDVAL,WEEKDAY(Y$8,1))=1,"WKND",INDEX(T_LEAVE[LEAVE CODE],SUMPRODUCT(--(T_LEAVE[NAME]=$B31),--(T_LEAVE[DATE]&lt;=Y$8),--(T_LEAVE[DATE]&gt;=Y$8),ROW(T_LEAVE[LEAVE CODE]))-ROW(T_LEAVE[#Headers]))))))),"")</f>
        <v/>
      </c>
      <c r="Z31" s="75" t="str">
        <f>IFERROR(IF(Z$8="","NA",IF(Z$8&lt;INDEX(T_EMP[START DATE],ROW($B31)-ROW($B$8)),"NE",IF(AND(INDEX(T_EMP[TERMINATION DATE],ROW($B31)-ROW($B$8))&gt;0,Z$8&gt;INDEX(T_EMP[TERMINATION DATE],ROW($B31)-ROW($B$8))),"NE",IF(NOT(ISERROR(MATCH(Z$8,L_HOLS,0))),"H",IF(INDEX(L_WKNDVAL,WEEKDAY(Z$8,1))=1,"WKND",INDEX(T_LEAVE[LEAVE CODE],SUMPRODUCT(--(T_LEAVE[NAME]=$B31),--(T_LEAVE[DATE]&lt;=Z$8),--(T_LEAVE[DATE]&gt;=Z$8),ROW(T_LEAVE[LEAVE CODE]))-ROW(T_LEAVE[#Headers]))))))),"")</f>
        <v/>
      </c>
      <c r="AA31" s="75" t="str">
        <f>IFERROR(IF(AA$8="","NA",IF(AA$8&lt;INDEX(T_EMP[START DATE],ROW($B31)-ROW($B$8)),"NE",IF(AND(INDEX(T_EMP[TERMINATION DATE],ROW($B31)-ROW($B$8))&gt;0,AA$8&gt;INDEX(T_EMP[TERMINATION DATE],ROW($B31)-ROW($B$8))),"NE",IF(NOT(ISERROR(MATCH(AA$8,L_HOLS,0))),"H",IF(INDEX(L_WKNDVAL,WEEKDAY(AA$8,1))=1,"WKND",INDEX(T_LEAVE[LEAVE CODE],SUMPRODUCT(--(T_LEAVE[NAME]=$B31),--(T_LEAVE[DATE]&lt;=AA$8),--(T_LEAVE[DATE]&gt;=AA$8),ROW(T_LEAVE[LEAVE CODE]))-ROW(T_LEAVE[#Headers]))))))),"")</f>
        <v/>
      </c>
      <c r="AB31" s="75" t="str">
        <f>IFERROR(IF(AB$8="","NA",IF(AB$8&lt;INDEX(T_EMP[START DATE],ROW($B31)-ROW($B$8)),"NE",IF(AND(INDEX(T_EMP[TERMINATION DATE],ROW($B31)-ROW($B$8))&gt;0,AB$8&gt;INDEX(T_EMP[TERMINATION DATE],ROW($B31)-ROW($B$8))),"NE",IF(NOT(ISERROR(MATCH(AB$8,L_HOLS,0))),"H",IF(INDEX(L_WKNDVAL,WEEKDAY(AB$8,1))=1,"WKND",INDEX(T_LEAVE[LEAVE CODE],SUMPRODUCT(--(T_LEAVE[NAME]=$B31),--(T_LEAVE[DATE]&lt;=AB$8),--(T_LEAVE[DATE]&gt;=AB$8),ROW(T_LEAVE[LEAVE CODE]))-ROW(T_LEAVE[#Headers]))))))),"")</f>
        <v/>
      </c>
      <c r="AC31" s="75" t="str">
        <f>IFERROR(IF(AC$8="","NA",IF(AC$8&lt;INDEX(T_EMP[START DATE],ROW($B31)-ROW($B$8)),"NE",IF(AND(INDEX(T_EMP[TERMINATION DATE],ROW($B31)-ROW($B$8))&gt;0,AC$8&gt;INDEX(T_EMP[TERMINATION DATE],ROW($B31)-ROW($B$8))),"NE",IF(NOT(ISERROR(MATCH(AC$8,L_HOLS,0))),"H",IF(INDEX(L_WKNDVAL,WEEKDAY(AC$8,1))=1,"WKND",INDEX(T_LEAVE[LEAVE CODE],SUMPRODUCT(--(T_LEAVE[NAME]=$B31),--(T_LEAVE[DATE]&lt;=AC$8),--(T_LEAVE[DATE]&gt;=AC$8),ROW(T_LEAVE[LEAVE CODE]))-ROW(T_LEAVE[#Headers]))))))),"")</f>
        <v/>
      </c>
      <c r="AD31" s="75" t="str">
        <f>IFERROR(IF(AD$8="","NA",IF(AD$8&lt;INDEX(T_EMP[START DATE],ROW($B31)-ROW($B$8)),"NE",IF(AND(INDEX(T_EMP[TERMINATION DATE],ROW($B31)-ROW($B$8))&gt;0,AD$8&gt;INDEX(T_EMP[TERMINATION DATE],ROW($B31)-ROW($B$8))),"NE",IF(NOT(ISERROR(MATCH(AD$8,L_HOLS,0))),"H",IF(INDEX(L_WKNDVAL,WEEKDAY(AD$8,1))=1,"WKND",INDEX(T_LEAVE[LEAVE CODE],SUMPRODUCT(--(T_LEAVE[NAME]=$B31),--(T_LEAVE[DATE]&lt;=AD$8),--(T_LEAVE[DATE]&gt;=AD$8),ROW(T_LEAVE[LEAVE CODE]))-ROW(T_LEAVE[#Headers]))))))),"")</f>
        <v/>
      </c>
      <c r="AE31" s="75" t="str">
        <f>IFERROR(IF(AE$8="","NA",IF(AE$8&lt;INDEX(T_EMP[START DATE],ROW($B31)-ROW($B$8)),"NE",IF(AND(INDEX(T_EMP[TERMINATION DATE],ROW($B31)-ROW($B$8))&gt;0,AE$8&gt;INDEX(T_EMP[TERMINATION DATE],ROW($B31)-ROW($B$8))),"NE",IF(NOT(ISERROR(MATCH(AE$8,L_HOLS,0))),"H",IF(INDEX(L_WKNDVAL,WEEKDAY(AE$8,1))=1,"WKND",INDEX(T_LEAVE[LEAVE CODE],SUMPRODUCT(--(T_LEAVE[NAME]=$B31),--(T_LEAVE[DATE]&lt;=AE$8),--(T_LEAVE[DATE]&gt;=AE$8),ROW(T_LEAVE[LEAVE CODE]))-ROW(T_LEAVE[#Headers]))))))),"")</f>
        <v/>
      </c>
      <c r="AF31" s="75" t="str">
        <f>IFERROR(IF(AF$8="","NA",IF(AF$8&lt;INDEX(T_EMP[START DATE],ROW($B31)-ROW($B$8)),"NE",IF(AND(INDEX(T_EMP[TERMINATION DATE],ROW($B31)-ROW($B$8))&gt;0,AF$8&gt;INDEX(T_EMP[TERMINATION DATE],ROW($B31)-ROW($B$8))),"NE",IF(NOT(ISERROR(MATCH(AF$8,L_HOLS,0))),"H",IF(INDEX(L_WKNDVAL,WEEKDAY(AF$8,1))=1,"WKND",INDEX(T_LEAVE[LEAVE CODE],SUMPRODUCT(--(T_LEAVE[NAME]=$B31),--(T_LEAVE[DATE]&lt;=AF$8),--(T_LEAVE[DATE]&gt;=AF$8),ROW(T_LEAVE[LEAVE CODE]))-ROW(T_LEAVE[#Headers]))))))),"")</f>
        <v/>
      </c>
      <c r="AG31" s="75" t="str">
        <f>IFERROR(IF(AG$8="","NA",IF(AG$8&lt;INDEX(T_EMP[START DATE],ROW($B31)-ROW($B$8)),"NE",IF(AND(INDEX(T_EMP[TERMINATION DATE],ROW($B31)-ROW($B$8))&gt;0,AG$8&gt;INDEX(T_EMP[TERMINATION DATE],ROW($B31)-ROW($B$8))),"NE",IF(NOT(ISERROR(MATCH(AG$8,L_HOLS,0))),"H",IF(INDEX(L_WKNDVAL,WEEKDAY(AG$8,1))=1,"WKND",INDEX(T_LEAVE[LEAVE CODE],SUMPRODUCT(--(T_LEAVE[NAME]=$B31),--(T_LEAVE[DATE]&lt;=AG$8),--(T_LEAVE[DATE]&gt;=AG$8),ROW(T_LEAVE[LEAVE CODE]))-ROW(T_LEAVE[#Headers]))))))),"")</f>
        <v/>
      </c>
      <c r="AH31" s="75" t="str">
        <f>IFERROR(IF(AH$8="","NA",IF(AH$8&lt;INDEX(T_EMP[START DATE],ROW($B31)-ROW($B$8)),"NE",IF(AND(INDEX(T_EMP[TERMINATION DATE],ROW($B31)-ROW($B$8))&gt;0,AH$8&gt;INDEX(T_EMP[TERMINATION DATE],ROW($B31)-ROW($B$8))),"NE",IF(NOT(ISERROR(MATCH(AH$8,L_HOLS,0))),"H",IF(INDEX(L_WKNDVAL,WEEKDAY(AH$8,1))=1,"WKND",INDEX(T_LEAVE[LEAVE CODE],SUMPRODUCT(--(T_LEAVE[NAME]=$B31),--(T_LEAVE[DATE]&lt;=AH$8),--(T_LEAVE[DATE]&gt;=AH$8),ROW(T_LEAVE[LEAVE CODE]))-ROW(T_LEAVE[#Headers]))))))),"")</f>
        <v/>
      </c>
      <c r="AJ31" s="88">
        <f>IF(OR($B31="",AJ$8=""),"",COUNTIFS($D31:$AH31,AJ$8)*INDEX(T_LEAVETYPE[DAY VALUE],1))</f>
        <v>0</v>
      </c>
      <c r="AK31" s="88">
        <f>IF(OR($B31="",AK$8=""),"",COUNTIFS($D31:$AH31,AK$8)*INDEX(T_LEAVETYPE[DAY VALUE],2))</f>
        <v>0</v>
      </c>
      <c r="AL31" s="88">
        <f>IF(OR($B31="",AL$8=""),"",COUNTIFS($D31:$AH31,AL$8)*INDEX(T_LEAVETYPE[DAY VALUE],3))</f>
        <v>0</v>
      </c>
      <c r="AM31" s="88">
        <f>IF(OR($B31="",AM$8=""),"",COUNTIFS($D31:$AH31,AM$8)*INDEX(T_LEAVETYPE[DAY VALUE],4))</f>
        <v>0</v>
      </c>
      <c r="AN31" s="88">
        <f>IF(OR($B31="",AN$8=""),"",COUNTIFS($D31:$AH31,AN$8)*INDEX(T_LEAVETYPE[DAY VALUE],5))</f>
        <v>0</v>
      </c>
      <c r="AO31" s="88">
        <f>IF(OR($B31="",AO$8=""),"",COUNTIFS($D31:$AH31,AO$8)*INDEX(T_LEAVETYPE[DAY VALUE],6))</f>
        <v>0</v>
      </c>
      <c r="AP31" s="88">
        <f>IF(OR($B31="",AP$8=""),"",COUNTIFS($D31:$AH31,AP$8)*INDEX(T_LEAVETYPE[DAY VALUE],7))</f>
        <v>0</v>
      </c>
      <c r="AQ31" s="88">
        <f>IF(OR($B31="",AQ$8=""),"",COUNTIFS($D31:$AH31,AQ$8)*INDEX(T_LEAVETYPE[DAY VALUE],8))</f>
        <v>0</v>
      </c>
      <c r="AR31" s="89">
        <f t="shared" si="3"/>
        <v>0</v>
      </c>
    </row>
    <row r="32" spans="1:44" x14ac:dyDescent="0.25">
      <c r="A32" s="90">
        <f t="shared" si="4"/>
        <v>24</v>
      </c>
      <c r="B32" s="74" t="str">
        <f>IFERROR(INDEX(T_EMP[NAME],ROW(B32)-ROW($B$8)),"")</f>
        <v>BELMONTE, JOSE MARI</v>
      </c>
      <c r="C32" s="91" t="str">
        <f>IFERROR(INDEX(T_EMP[DEPARTMENT],ROW(B32)-ROW($C$8)),"")</f>
        <v>IB SUPPORT</v>
      </c>
      <c r="D32" s="75" t="str">
        <f>IFERROR(IF(D$8="","NA",IF(D$8&lt;INDEX(T_EMP[START DATE],ROW($B32)-ROW($B$8)),"NE",IF(AND(INDEX(T_EMP[TERMINATION DATE],ROW($B32)-ROW($B$8))&gt;0,D$8&gt;INDEX(T_EMP[TERMINATION DATE],ROW($B32)-ROW($B$8))),"NE",IF(NOT(ISERROR(MATCH(D$8,L_HOLS,0))),"H",IF(INDEX(L_WKNDVAL,WEEKDAY(D$8,1))=1,"WKND",INDEX(T_LEAVE[LEAVE CODE],SUMPRODUCT(--(T_LEAVE[NAME]=$B32),--(T_LEAVE[DATE]&lt;=D$8),--(T_LEAVE[DATE]&gt;=D$8),ROW(T_LEAVE[LEAVE CODE]))-ROW(T_LEAVE[#Headers]))))))),"")</f>
        <v>H</v>
      </c>
      <c r="E32" s="75" t="str">
        <f>IFERROR(IF(E$8="","NA",IF(E$8&lt;INDEX(T_EMP[START DATE],ROW($B32)-ROW($B$8)),"NE",IF(AND(INDEX(T_EMP[TERMINATION DATE],ROW($B32)-ROW($B$8))&gt;0,E$8&gt;INDEX(T_EMP[TERMINATION DATE],ROW($B32)-ROW($B$8))),"NE",IF(NOT(ISERROR(MATCH(E$8,L_HOLS,0))),"H",IF(INDEX(L_WKNDVAL,WEEKDAY(E$8,1))=1,"WKND",INDEX(T_LEAVE[LEAVE CODE],SUMPRODUCT(--(T_LEAVE[NAME]=$B32),--(T_LEAVE[DATE]&lt;=E$8),--(T_LEAVE[DATE]&gt;=E$8),ROW(T_LEAVE[LEAVE CODE]))-ROW(T_LEAVE[#Headers]))))))),"")</f>
        <v/>
      </c>
      <c r="F32" s="75" t="str">
        <f>IFERROR(IF(F$8="","NA",IF(F$8&lt;INDEX(T_EMP[START DATE],ROW($B32)-ROW($B$8)),"NE",IF(AND(INDEX(T_EMP[TERMINATION DATE],ROW($B32)-ROW($B$8))&gt;0,F$8&gt;INDEX(T_EMP[TERMINATION DATE],ROW($B32)-ROW($B$8))),"NE",IF(NOT(ISERROR(MATCH(F$8,L_HOLS,0))),"H",IF(INDEX(L_WKNDVAL,WEEKDAY(F$8,1))=1,"WKND",INDEX(T_LEAVE[LEAVE CODE],SUMPRODUCT(--(T_LEAVE[NAME]=$B32),--(T_LEAVE[DATE]&lt;=F$8),--(T_LEAVE[DATE]&gt;=F$8),ROW(T_LEAVE[LEAVE CODE]))-ROW(T_LEAVE[#Headers]))))))),"")</f>
        <v/>
      </c>
      <c r="G32" s="75" t="str">
        <f>IFERROR(IF(G$8="","NA",IF(G$8&lt;INDEX(T_EMP[START DATE],ROW($B32)-ROW($B$8)),"NE",IF(AND(INDEX(T_EMP[TERMINATION DATE],ROW($B32)-ROW($B$8))&gt;0,G$8&gt;INDEX(T_EMP[TERMINATION DATE],ROW($B32)-ROW($B$8))),"NE",IF(NOT(ISERROR(MATCH(G$8,L_HOLS,0))),"H",IF(INDEX(L_WKNDVAL,WEEKDAY(G$8,1))=1,"WKND",INDEX(T_LEAVE[LEAVE CODE],SUMPRODUCT(--(T_LEAVE[NAME]=$B32),--(T_LEAVE[DATE]&lt;=G$8),--(T_LEAVE[DATE]&gt;=G$8),ROW(T_LEAVE[LEAVE CODE]))-ROW(T_LEAVE[#Headers]))))))),"")</f>
        <v/>
      </c>
      <c r="H32" s="75" t="str">
        <f>IFERROR(IF(H$8="","NA",IF(H$8&lt;INDEX(T_EMP[START DATE],ROW($B32)-ROW($B$8)),"NE",IF(AND(INDEX(T_EMP[TERMINATION DATE],ROW($B32)-ROW($B$8))&gt;0,H$8&gt;INDEX(T_EMP[TERMINATION DATE],ROW($B32)-ROW($B$8))),"NE",IF(NOT(ISERROR(MATCH(H$8,L_HOLS,0))),"H",IF(INDEX(L_WKNDVAL,WEEKDAY(H$8,1))=1,"WKND",INDEX(T_LEAVE[LEAVE CODE],SUMPRODUCT(--(T_LEAVE[NAME]=$B32),--(T_LEAVE[DATE]&lt;=H$8),--(T_LEAVE[DATE]&gt;=H$8),ROW(T_LEAVE[LEAVE CODE]))-ROW(T_LEAVE[#Headers]))))))),"")</f>
        <v/>
      </c>
      <c r="I32" s="75" t="str">
        <f>IFERROR(IF(I$8="","NA",IF(I$8&lt;INDEX(T_EMP[START DATE],ROW($B32)-ROW($B$8)),"NE",IF(AND(INDEX(T_EMP[TERMINATION DATE],ROW($B32)-ROW($B$8))&gt;0,I$8&gt;INDEX(T_EMP[TERMINATION DATE],ROW($B32)-ROW($B$8))),"NE",IF(NOT(ISERROR(MATCH(I$8,L_HOLS,0))),"H",IF(INDEX(L_WKNDVAL,WEEKDAY(I$8,1))=1,"WKND",INDEX(T_LEAVE[LEAVE CODE],SUMPRODUCT(--(T_LEAVE[NAME]=$B32),--(T_LEAVE[DATE]&lt;=I$8),--(T_LEAVE[DATE]&gt;=I$8),ROW(T_LEAVE[LEAVE CODE]))-ROW(T_LEAVE[#Headers]))))))),"")</f>
        <v/>
      </c>
      <c r="J32" s="75" t="str">
        <f>IFERROR(IF(J$8="","NA",IF(J$8&lt;INDEX(T_EMP[START DATE],ROW($B32)-ROW($B$8)),"NE",IF(AND(INDEX(T_EMP[TERMINATION DATE],ROW($B32)-ROW($B$8))&gt;0,J$8&gt;INDEX(T_EMP[TERMINATION DATE],ROW($B32)-ROW($B$8))),"NE",IF(NOT(ISERROR(MATCH(J$8,L_HOLS,0))),"H",IF(INDEX(L_WKNDVAL,WEEKDAY(J$8,1))=1,"WKND",INDEX(T_LEAVE[LEAVE CODE],SUMPRODUCT(--(T_LEAVE[NAME]=$B32),--(T_LEAVE[DATE]&lt;=J$8),--(T_LEAVE[DATE]&gt;=J$8),ROW(T_LEAVE[LEAVE CODE]))-ROW(T_LEAVE[#Headers]))))))),"")</f>
        <v/>
      </c>
      <c r="K32" s="75" t="str">
        <f>IFERROR(IF(K$8="","NA",IF(K$8&lt;INDEX(T_EMP[START DATE],ROW($B32)-ROW($B$8)),"NE",IF(AND(INDEX(T_EMP[TERMINATION DATE],ROW($B32)-ROW($B$8))&gt;0,K$8&gt;INDEX(T_EMP[TERMINATION DATE],ROW($B32)-ROW($B$8))),"NE",IF(NOT(ISERROR(MATCH(K$8,L_HOLS,0))),"H",IF(INDEX(L_WKNDVAL,WEEKDAY(K$8,1))=1,"WKND",INDEX(T_LEAVE[LEAVE CODE],SUMPRODUCT(--(T_LEAVE[NAME]=$B32),--(T_LEAVE[DATE]&lt;=K$8),--(T_LEAVE[DATE]&gt;=K$8),ROW(T_LEAVE[LEAVE CODE]))-ROW(T_LEAVE[#Headers]))))))),"")</f>
        <v/>
      </c>
      <c r="L32" s="75" t="str">
        <f>IFERROR(IF(L$8="","NA",IF(L$8&lt;INDEX(T_EMP[START DATE],ROW($B32)-ROW($B$8)),"NE",IF(AND(INDEX(T_EMP[TERMINATION DATE],ROW($B32)-ROW($B$8))&gt;0,L$8&gt;INDEX(T_EMP[TERMINATION DATE],ROW($B32)-ROW($B$8))),"NE",IF(NOT(ISERROR(MATCH(L$8,L_HOLS,0))),"H",IF(INDEX(L_WKNDVAL,WEEKDAY(L$8,1))=1,"WKND",INDEX(T_LEAVE[LEAVE CODE],SUMPRODUCT(--(T_LEAVE[NAME]=$B32),--(T_LEAVE[DATE]&lt;=L$8),--(T_LEAVE[DATE]&gt;=L$8),ROW(T_LEAVE[LEAVE CODE]))-ROW(T_LEAVE[#Headers]))))))),"")</f>
        <v/>
      </c>
      <c r="M32" s="75" t="str">
        <f>IFERROR(IF(M$8="","NA",IF(M$8&lt;INDEX(T_EMP[START DATE],ROW($B32)-ROW($B$8)),"NE",IF(AND(INDEX(T_EMP[TERMINATION DATE],ROW($B32)-ROW($B$8))&gt;0,M$8&gt;INDEX(T_EMP[TERMINATION DATE],ROW($B32)-ROW($B$8))),"NE",IF(NOT(ISERROR(MATCH(M$8,L_HOLS,0))),"H",IF(INDEX(L_WKNDVAL,WEEKDAY(M$8,1))=1,"WKND",INDEX(T_LEAVE[LEAVE CODE],SUMPRODUCT(--(T_LEAVE[NAME]=$B32),--(T_LEAVE[DATE]&lt;=M$8),--(T_LEAVE[DATE]&gt;=M$8),ROW(T_LEAVE[LEAVE CODE]))-ROW(T_LEAVE[#Headers]))))))),"")</f>
        <v/>
      </c>
      <c r="N32" s="75" t="str">
        <f>IFERROR(IF(N$8="","NA",IF(N$8&lt;INDEX(T_EMP[START DATE],ROW($B32)-ROW($B$8)),"NE",IF(AND(INDEX(T_EMP[TERMINATION DATE],ROW($B32)-ROW($B$8))&gt;0,N$8&gt;INDEX(T_EMP[TERMINATION DATE],ROW($B32)-ROW($B$8))),"NE",IF(NOT(ISERROR(MATCH(N$8,L_HOLS,0))),"H",IF(INDEX(L_WKNDVAL,WEEKDAY(N$8,1))=1,"WKND",INDEX(T_LEAVE[LEAVE CODE],SUMPRODUCT(--(T_LEAVE[NAME]=$B32),--(T_LEAVE[DATE]&lt;=N$8),--(T_LEAVE[DATE]&gt;=N$8),ROW(T_LEAVE[LEAVE CODE]))-ROW(T_LEAVE[#Headers]))))))),"")</f>
        <v/>
      </c>
      <c r="O32" s="75" t="str">
        <f>IFERROR(IF(O$8="","NA",IF(O$8&lt;INDEX(T_EMP[START DATE],ROW($B32)-ROW($B$8)),"NE",IF(AND(INDEX(T_EMP[TERMINATION DATE],ROW($B32)-ROW($B$8))&gt;0,O$8&gt;INDEX(T_EMP[TERMINATION DATE],ROW($B32)-ROW($B$8))),"NE",IF(NOT(ISERROR(MATCH(O$8,L_HOLS,0))),"H",IF(INDEX(L_WKNDVAL,WEEKDAY(O$8,1))=1,"WKND",INDEX(T_LEAVE[LEAVE CODE],SUMPRODUCT(--(T_LEAVE[NAME]=$B32),--(T_LEAVE[DATE]&lt;=O$8),--(T_LEAVE[DATE]&gt;=O$8),ROW(T_LEAVE[LEAVE CODE]))-ROW(T_LEAVE[#Headers]))))))),"")</f>
        <v/>
      </c>
      <c r="P32" s="75" t="str">
        <f>IFERROR(IF(P$8="","NA",IF(P$8&lt;INDEX(T_EMP[START DATE],ROW($B32)-ROW($B$8)),"NE",IF(AND(INDEX(T_EMP[TERMINATION DATE],ROW($B32)-ROW($B$8))&gt;0,P$8&gt;INDEX(T_EMP[TERMINATION DATE],ROW($B32)-ROW($B$8))),"NE",IF(NOT(ISERROR(MATCH(P$8,L_HOLS,0))),"H",IF(INDEX(L_WKNDVAL,WEEKDAY(P$8,1))=1,"WKND",INDEX(T_LEAVE[LEAVE CODE],SUMPRODUCT(--(T_LEAVE[NAME]=$B32),--(T_LEAVE[DATE]&lt;=P$8),--(T_LEAVE[DATE]&gt;=P$8),ROW(T_LEAVE[LEAVE CODE]))-ROW(T_LEAVE[#Headers]))))))),"")</f>
        <v>H</v>
      </c>
      <c r="Q32" s="75" t="str">
        <f>IFERROR(IF(Q$8="","NA",IF(Q$8&lt;INDEX(T_EMP[START DATE],ROW($B32)-ROW($B$8)),"NE",IF(AND(INDEX(T_EMP[TERMINATION DATE],ROW($B32)-ROW($B$8))&gt;0,Q$8&gt;INDEX(T_EMP[TERMINATION DATE],ROW($B32)-ROW($B$8))),"NE",IF(NOT(ISERROR(MATCH(Q$8,L_HOLS,0))),"H",IF(INDEX(L_WKNDVAL,WEEKDAY(Q$8,1))=1,"WKND",INDEX(T_LEAVE[LEAVE CODE],SUMPRODUCT(--(T_LEAVE[NAME]=$B32),--(T_LEAVE[DATE]&lt;=Q$8),--(T_LEAVE[DATE]&gt;=Q$8),ROW(T_LEAVE[LEAVE CODE]))-ROW(T_LEAVE[#Headers]))))))),"")</f>
        <v/>
      </c>
      <c r="R32" s="75" t="str">
        <f>IFERROR(IF(R$8="","NA",IF(R$8&lt;INDEX(T_EMP[START DATE],ROW($B32)-ROW($B$8)),"NE",IF(AND(INDEX(T_EMP[TERMINATION DATE],ROW($B32)-ROW($B$8))&gt;0,R$8&gt;INDEX(T_EMP[TERMINATION DATE],ROW($B32)-ROW($B$8))),"NE",IF(NOT(ISERROR(MATCH(R$8,L_HOLS,0))),"H",IF(INDEX(L_WKNDVAL,WEEKDAY(R$8,1))=1,"WKND",INDEX(T_LEAVE[LEAVE CODE],SUMPRODUCT(--(T_LEAVE[NAME]=$B32),--(T_LEAVE[DATE]&lt;=R$8),--(T_LEAVE[DATE]&gt;=R$8),ROW(T_LEAVE[LEAVE CODE]))-ROW(T_LEAVE[#Headers]))))))),"")</f>
        <v/>
      </c>
      <c r="S32" s="75" t="str">
        <f>IFERROR(IF(S$8="","NA",IF(S$8&lt;INDEX(T_EMP[START DATE],ROW($B32)-ROW($B$8)),"NE",IF(AND(INDEX(T_EMP[TERMINATION DATE],ROW($B32)-ROW($B$8))&gt;0,S$8&gt;INDEX(T_EMP[TERMINATION DATE],ROW($B32)-ROW($B$8))),"NE",IF(NOT(ISERROR(MATCH(S$8,L_HOLS,0))),"H",IF(INDEX(L_WKNDVAL,WEEKDAY(S$8,1))=1,"WKND",INDEX(T_LEAVE[LEAVE CODE],SUMPRODUCT(--(T_LEAVE[NAME]=$B32),--(T_LEAVE[DATE]&lt;=S$8),--(T_LEAVE[DATE]&gt;=S$8),ROW(T_LEAVE[LEAVE CODE]))-ROW(T_LEAVE[#Headers]))))))),"")</f>
        <v/>
      </c>
      <c r="T32" s="75" t="str">
        <f>IFERROR(IF(T$8="","NA",IF(T$8&lt;INDEX(T_EMP[START DATE],ROW($B32)-ROW($B$8)),"NE",IF(AND(INDEX(T_EMP[TERMINATION DATE],ROW($B32)-ROW($B$8))&gt;0,T$8&gt;INDEX(T_EMP[TERMINATION DATE],ROW($B32)-ROW($B$8))),"NE",IF(NOT(ISERROR(MATCH(T$8,L_HOLS,0))),"H",IF(INDEX(L_WKNDVAL,WEEKDAY(T$8,1))=1,"WKND",INDEX(T_LEAVE[LEAVE CODE],SUMPRODUCT(--(T_LEAVE[NAME]=$B32),--(T_LEAVE[DATE]&lt;=T$8),--(T_LEAVE[DATE]&gt;=T$8),ROW(T_LEAVE[LEAVE CODE]))-ROW(T_LEAVE[#Headers]))))))),"")</f>
        <v/>
      </c>
      <c r="U32" s="75" t="str">
        <f>IFERROR(IF(U$8="","NA",IF(U$8&lt;INDEX(T_EMP[START DATE],ROW($B32)-ROW($B$8)),"NE",IF(AND(INDEX(T_EMP[TERMINATION DATE],ROW($B32)-ROW($B$8))&gt;0,U$8&gt;INDEX(T_EMP[TERMINATION DATE],ROW($B32)-ROW($B$8))),"NE",IF(NOT(ISERROR(MATCH(U$8,L_HOLS,0))),"H",IF(INDEX(L_WKNDVAL,WEEKDAY(U$8,1))=1,"WKND",INDEX(T_LEAVE[LEAVE CODE],SUMPRODUCT(--(T_LEAVE[NAME]=$B32),--(T_LEAVE[DATE]&lt;=U$8),--(T_LEAVE[DATE]&gt;=U$8),ROW(T_LEAVE[LEAVE CODE]))-ROW(T_LEAVE[#Headers]))))))),"")</f>
        <v/>
      </c>
      <c r="V32" s="75" t="str">
        <f>IFERROR(IF(V$8="","NA",IF(V$8&lt;INDEX(T_EMP[START DATE],ROW($B32)-ROW($B$8)),"NE",IF(AND(INDEX(T_EMP[TERMINATION DATE],ROW($B32)-ROW($B$8))&gt;0,V$8&gt;INDEX(T_EMP[TERMINATION DATE],ROW($B32)-ROW($B$8))),"NE",IF(NOT(ISERROR(MATCH(V$8,L_HOLS,0))),"H",IF(INDEX(L_WKNDVAL,WEEKDAY(V$8,1))=1,"WKND",INDEX(T_LEAVE[LEAVE CODE],SUMPRODUCT(--(T_LEAVE[NAME]=$B32),--(T_LEAVE[DATE]&lt;=V$8),--(T_LEAVE[DATE]&gt;=V$8),ROW(T_LEAVE[LEAVE CODE]))-ROW(T_LEAVE[#Headers]))))))),"")</f>
        <v/>
      </c>
      <c r="W32" s="75" t="str">
        <f>IFERROR(IF(W$8="","NA",IF(W$8&lt;INDEX(T_EMP[START DATE],ROW($B32)-ROW($B$8)),"NE",IF(AND(INDEX(T_EMP[TERMINATION DATE],ROW($B32)-ROW($B$8))&gt;0,W$8&gt;INDEX(T_EMP[TERMINATION DATE],ROW($B32)-ROW($B$8))),"NE",IF(NOT(ISERROR(MATCH(W$8,L_HOLS,0))),"H",IF(INDEX(L_WKNDVAL,WEEKDAY(W$8,1))=1,"WKND",INDEX(T_LEAVE[LEAVE CODE],SUMPRODUCT(--(T_LEAVE[NAME]=$B32),--(T_LEAVE[DATE]&lt;=W$8),--(T_LEAVE[DATE]&gt;=W$8),ROW(T_LEAVE[LEAVE CODE]))-ROW(T_LEAVE[#Headers]))))))),"")</f>
        <v/>
      </c>
      <c r="X32" s="75" t="str">
        <f>IFERROR(IF(X$8="","NA",IF(X$8&lt;INDEX(T_EMP[START DATE],ROW($B32)-ROW($B$8)),"NE",IF(AND(INDEX(T_EMP[TERMINATION DATE],ROW($B32)-ROW($B$8))&gt;0,X$8&gt;INDEX(T_EMP[TERMINATION DATE],ROW($B32)-ROW($B$8))),"NE",IF(NOT(ISERROR(MATCH(X$8,L_HOLS,0))),"H",IF(INDEX(L_WKNDVAL,WEEKDAY(X$8,1))=1,"WKND",INDEX(T_LEAVE[LEAVE CODE],SUMPRODUCT(--(T_LEAVE[NAME]=$B32),--(T_LEAVE[DATE]&lt;=X$8),--(T_LEAVE[DATE]&gt;=X$8),ROW(T_LEAVE[LEAVE CODE]))-ROW(T_LEAVE[#Headers]))))))),"")</f>
        <v/>
      </c>
      <c r="Y32" s="75" t="str">
        <f>IFERROR(IF(Y$8="","NA",IF(Y$8&lt;INDEX(T_EMP[START DATE],ROW($B32)-ROW($B$8)),"NE",IF(AND(INDEX(T_EMP[TERMINATION DATE],ROW($B32)-ROW($B$8))&gt;0,Y$8&gt;INDEX(T_EMP[TERMINATION DATE],ROW($B32)-ROW($B$8))),"NE",IF(NOT(ISERROR(MATCH(Y$8,L_HOLS,0))),"H",IF(INDEX(L_WKNDVAL,WEEKDAY(Y$8,1))=1,"WKND",INDEX(T_LEAVE[LEAVE CODE],SUMPRODUCT(--(T_LEAVE[NAME]=$B32),--(T_LEAVE[DATE]&lt;=Y$8),--(T_LEAVE[DATE]&gt;=Y$8),ROW(T_LEAVE[LEAVE CODE]))-ROW(T_LEAVE[#Headers]))))))),"")</f>
        <v/>
      </c>
      <c r="Z32" s="75" t="str">
        <f>IFERROR(IF(Z$8="","NA",IF(Z$8&lt;INDEX(T_EMP[START DATE],ROW($B32)-ROW($B$8)),"NE",IF(AND(INDEX(T_EMP[TERMINATION DATE],ROW($B32)-ROW($B$8))&gt;0,Z$8&gt;INDEX(T_EMP[TERMINATION DATE],ROW($B32)-ROW($B$8))),"NE",IF(NOT(ISERROR(MATCH(Z$8,L_HOLS,0))),"H",IF(INDEX(L_WKNDVAL,WEEKDAY(Z$8,1))=1,"WKND",INDEX(T_LEAVE[LEAVE CODE],SUMPRODUCT(--(T_LEAVE[NAME]=$B32),--(T_LEAVE[DATE]&lt;=Z$8),--(T_LEAVE[DATE]&gt;=Z$8),ROW(T_LEAVE[LEAVE CODE]))-ROW(T_LEAVE[#Headers]))))))),"")</f>
        <v/>
      </c>
      <c r="AA32" s="75" t="str">
        <f>IFERROR(IF(AA$8="","NA",IF(AA$8&lt;INDEX(T_EMP[START DATE],ROW($B32)-ROW($B$8)),"NE",IF(AND(INDEX(T_EMP[TERMINATION DATE],ROW($B32)-ROW($B$8))&gt;0,AA$8&gt;INDEX(T_EMP[TERMINATION DATE],ROW($B32)-ROW($B$8))),"NE",IF(NOT(ISERROR(MATCH(AA$8,L_HOLS,0))),"H",IF(INDEX(L_WKNDVAL,WEEKDAY(AA$8,1))=1,"WKND",INDEX(T_LEAVE[LEAVE CODE],SUMPRODUCT(--(T_LEAVE[NAME]=$B32),--(T_LEAVE[DATE]&lt;=AA$8),--(T_LEAVE[DATE]&gt;=AA$8),ROW(T_LEAVE[LEAVE CODE]))-ROW(T_LEAVE[#Headers]))))))),"")</f>
        <v/>
      </c>
      <c r="AB32" s="75" t="str">
        <f>IFERROR(IF(AB$8="","NA",IF(AB$8&lt;INDEX(T_EMP[START DATE],ROW($B32)-ROW($B$8)),"NE",IF(AND(INDEX(T_EMP[TERMINATION DATE],ROW($B32)-ROW($B$8))&gt;0,AB$8&gt;INDEX(T_EMP[TERMINATION DATE],ROW($B32)-ROW($B$8))),"NE",IF(NOT(ISERROR(MATCH(AB$8,L_HOLS,0))),"H",IF(INDEX(L_WKNDVAL,WEEKDAY(AB$8,1))=1,"WKND",INDEX(T_LEAVE[LEAVE CODE],SUMPRODUCT(--(T_LEAVE[NAME]=$B32),--(T_LEAVE[DATE]&lt;=AB$8),--(T_LEAVE[DATE]&gt;=AB$8),ROW(T_LEAVE[LEAVE CODE]))-ROW(T_LEAVE[#Headers]))))))),"")</f>
        <v/>
      </c>
      <c r="AC32" s="75" t="str">
        <f>IFERROR(IF(AC$8="","NA",IF(AC$8&lt;INDEX(T_EMP[START DATE],ROW($B32)-ROW($B$8)),"NE",IF(AND(INDEX(T_EMP[TERMINATION DATE],ROW($B32)-ROW($B$8))&gt;0,AC$8&gt;INDEX(T_EMP[TERMINATION DATE],ROW($B32)-ROW($B$8))),"NE",IF(NOT(ISERROR(MATCH(AC$8,L_HOLS,0))),"H",IF(INDEX(L_WKNDVAL,WEEKDAY(AC$8,1))=1,"WKND",INDEX(T_LEAVE[LEAVE CODE],SUMPRODUCT(--(T_LEAVE[NAME]=$B32),--(T_LEAVE[DATE]&lt;=AC$8),--(T_LEAVE[DATE]&gt;=AC$8),ROW(T_LEAVE[LEAVE CODE]))-ROW(T_LEAVE[#Headers]))))))),"")</f>
        <v/>
      </c>
      <c r="AD32" s="75" t="str">
        <f>IFERROR(IF(AD$8="","NA",IF(AD$8&lt;INDEX(T_EMP[START DATE],ROW($B32)-ROW($B$8)),"NE",IF(AND(INDEX(T_EMP[TERMINATION DATE],ROW($B32)-ROW($B$8))&gt;0,AD$8&gt;INDEX(T_EMP[TERMINATION DATE],ROW($B32)-ROW($B$8))),"NE",IF(NOT(ISERROR(MATCH(AD$8,L_HOLS,0))),"H",IF(INDEX(L_WKNDVAL,WEEKDAY(AD$8,1))=1,"WKND",INDEX(T_LEAVE[LEAVE CODE],SUMPRODUCT(--(T_LEAVE[NAME]=$B32),--(T_LEAVE[DATE]&lt;=AD$8),--(T_LEAVE[DATE]&gt;=AD$8),ROW(T_LEAVE[LEAVE CODE]))-ROW(T_LEAVE[#Headers]))))))),"")</f>
        <v/>
      </c>
      <c r="AE32" s="75" t="str">
        <f>IFERROR(IF(AE$8="","NA",IF(AE$8&lt;INDEX(T_EMP[START DATE],ROW($B32)-ROW($B$8)),"NE",IF(AND(INDEX(T_EMP[TERMINATION DATE],ROW($B32)-ROW($B$8))&gt;0,AE$8&gt;INDEX(T_EMP[TERMINATION DATE],ROW($B32)-ROW($B$8))),"NE",IF(NOT(ISERROR(MATCH(AE$8,L_HOLS,0))),"H",IF(INDEX(L_WKNDVAL,WEEKDAY(AE$8,1))=1,"WKND",INDEX(T_LEAVE[LEAVE CODE],SUMPRODUCT(--(T_LEAVE[NAME]=$B32),--(T_LEAVE[DATE]&lt;=AE$8),--(T_LEAVE[DATE]&gt;=AE$8),ROW(T_LEAVE[LEAVE CODE]))-ROW(T_LEAVE[#Headers]))))))),"")</f>
        <v/>
      </c>
      <c r="AF32" s="75" t="str">
        <f>IFERROR(IF(AF$8="","NA",IF(AF$8&lt;INDEX(T_EMP[START DATE],ROW($B32)-ROW($B$8)),"NE",IF(AND(INDEX(T_EMP[TERMINATION DATE],ROW($B32)-ROW($B$8))&gt;0,AF$8&gt;INDEX(T_EMP[TERMINATION DATE],ROW($B32)-ROW($B$8))),"NE",IF(NOT(ISERROR(MATCH(AF$8,L_HOLS,0))),"H",IF(INDEX(L_WKNDVAL,WEEKDAY(AF$8,1))=1,"WKND",INDEX(T_LEAVE[LEAVE CODE],SUMPRODUCT(--(T_LEAVE[NAME]=$B32),--(T_LEAVE[DATE]&lt;=AF$8),--(T_LEAVE[DATE]&gt;=AF$8),ROW(T_LEAVE[LEAVE CODE]))-ROW(T_LEAVE[#Headers]))))))),"")</f>
        <v/>
      </c>
      <c r="AG32" s="75" t="str">
        <f>IFERROR(IF(AG$8="","NA",IF(AG$8&lt;INDEX(T_EMP[START DATE],ROW($B32)-ROW($B$8)),"NE",IF(AND(INDEX(T_EMP[TERMINATION DATE],ROW($B32)-ROW($B$8))&gt;0,AG$8&gt;INDEX(T_EMP[TERMINATION DATE],ROW($B32)-ROW($B$8))),"NE",IF(NOT(ISERROR(MATCH(AG$8,L_HOLS,0))),"H",IF(INDEX(L_WKNDVAL,WEEKDAY(AG$8,1))=1,"WKND",INDEX(T_LEAVE[LEAVE CODE],SUMPRODUCT(--(T_LEAVE[NAME]=$B32),--(T_LEAVE[DATE]&lt;=AG$8),--(T_LEAVE[DATE]&gt;=AG$8),ROW(T_LEAVE[LEAVE CODE]))-ROW(T_LEAVE[#Headers]))))))),"")</f>
        <v/>
      </c>
      <c r="AH32" s="75" t="str">
        <f>IFERROR(IF(AH$8="","NA",IF(AH$8&lt;INDEX(T_EMP[START DATE],ROW($B32)-ROW($B$8)),"NE",IF(AND(INDEX(T_EMP[TERMINATION DATE],ROW($B32)-ROW($B$8))&gt;0,AH$8&gt;INDEX(T_EMP[TERMINATION DATE],ROW($B32)-ROW($B$8))),"NE",IF(NOT(ISERROR(MATCH(AH$8,L_HOLS,0))),"H",IF(INDEX(L_WKNDVAL,WEEKDAY(AH$8,1))=1,"WKND",INDEX(T_LEAVE[LEAVE CODE],SUMPRODUCT(--(T_LEAVE[NAME]=$B32),--(T_LEAVE[DATE]&lt;=AH$8),--(T_LEAVE[DATE]&gt;=AH$8),ROW(T_LEAVE[LEAVE CODE]))-ROW(T_LEAVE[#Headers]))))))),"")</f>
        <v/>
      </c>
      <c r="AJ32" s="88">
        <f>IF(OR($B32="",AJ$8=""),"",COUNTIFS($D32:$AH32,AJ$8)*INDEX(T_LEAVETYPE[DAY VALUE],1))</f>
        <v>0</v>
      </c>
      <c r="AK32" s="88">
        <f>IF(OR($B32="",AK$8=""),"",COUNTIFS($D32:$AH32,AK$8)*INDEX(T_LEAVETYPE[DAY VALUE],2))</f>
        <v>0</v>
      </c>
      <c r="AL32" s="88">
        <f>IF(OR($B32="",AL$8=""),"",COUNTIFS($D32:$AH32,AL$8)*INDEX(T_LEAVETYPE[DAY VALUE],3))</f>
        <v>0</v>
      </c>
      <c r="AM32" s="88">
        <f>IF(OR($B32="",AM$8=""),"",COUNTIFS($D32:$AH32,AM$8)*INDEX(T_LEAVETYPE[DAY VALUE],4))</f>
        <v>0</v>
      </c>
      <c r="AN32" s="88">
        <f>IF(OR($B32="",AN$8=""),"",COUNTIFS($D32:$AH32,AN$8)*INDEX(T_LEAVETYPE[DAY VALUE],5))</f>
        <v>0</v>
      </c>
      <c r="AO32" s="88">
        <f>IF(OR($B32="",AO$8=""),"",COUNTIFS($D32:$AH32,AO$8)*INDEX(T_LEAVETYPE[DAY VALUE],6))</f>
        <v>0</v>
      </c>
      <c r="AP32" s="88">
        <f>IF(OR($B32="",AP$8=""),"",COUNTIFS($D32:$AH32,AP$8)*INDEX(T_LEAVETYPE[DAY VALUE],7))</f>
        <v>0</v>
      </c>
      <c r="AQ32" s="88">
        <f>IF(OR($B32="",AQ$8=""),"",COUNTIFS($D32:$AH32,AQ$8)*INDEX(T_LEAVETYPE[DAY VALUE],8))</f>
        <v>0</v>
      </c>
      <c r="AR32" s="89">
        <f t="shared" si="3"/>
        <v>0</v>
      </c>
    </row>
    <row r="33" spans="1:44" x14ac:dyDescent="0.25">
      <c r="A33" s="90">
        <f t="shared" si="4"/>
        <v>25</v>
      </c>
      <c r="B33" s="74" t="str">
        <f>IFERROR(INDEX(T_EMP[NAME],ROW(B33)-ROW($B$8)),"")</f>
        <v>BAUTISTA, JOY MARI</v>
      </c>
      <c r="C33" s="91" t="str">
        <f>IFERROR(INDEX(T_EMP[DEPARTMENT],ROW(B33)-ROW($C$8)),"")</f>
        <v>IB SUPPORT</v>
      </c>
      <c r="D33" s="75" t="str">
        <f>IFERROR(IF(D$8="","NA",IF(D$8&lt;INDEX(T_EMP[START DATE],ROW($B33)-ROW($B$8)),"NE",IF(AND(INDEX(T_EMP[TERMINATION DATE],ROW($B33)-ROW($B$8))&gt;0,D$8&gt;INDEX(T_EMP[TERMINATION DATE],ROW($B33)-ROW($B$8))),"NE",IF(NOT(ISERROR(MATCH(D$8,L_HOLS,0))),"H",IF(INDEX(L_WKNDVAL,WEEKDAY(D$8,1))=1,"WKND",INDEX(T_LEAVE[LEAVE CODE],SUMPRODUCT(--(T_LEAVE[NAME]=$B33),--(T_LEAVE[DATE]&lt;=D$8),--(T_LEAVE[DATE]&gt;=D$8),ROW(T_LEAVE[LEAVE CODE]))-ROW(T_LEAVE[#Headers]))))))),"")</f>
        <v>H</v>
      </c>
      <c r="E33" s="75" t="str">
        <f>IFERROR(IF(E$8="","NA",IF(E$8&lt;INDEX(T_EMP[START DATE],ROW($B33)-ROW($B$8)),"NE",IF(AND(INDEX(T_EMP[TERMINATION DATE],ROW($B33)-ROW($B$8))&gt;0,E$8&gt;INDEX(T_EMP[TERMINATION DATE],ROW($B33)-ROW($B$8))),"NE",IF(NOT(ISERROR(MATCH(E$8,L_HOLS,0))),"H",IF(INDEX(L_WKNDVAL,WEEKDAY(E$8,1))=1,"WKND",INDEX(T_LEAVE[LEAVE CODE],SUMPRODUCT(--(T_LEAVE[NAME]=$B33),--(T_LEAVE[DATE]&lt;=E$8),--(T_LEAVE[DATE]&gt;=E$8),ROW(T_LEAVE[LEAVE CODE]))-ROW(T_LEAVE[#Headers]))))))),"")</f>
        <v/>
      </c>
      <c r="F33" s="75" t="str">
        <f>IFERROR(IF(F$8="","NA",IF(F$8&lt;INDEX(T_EMP[START DATE],ROW($B33)-ROW($B$8)),"NE",IF(AND(INDEX(T_EMP[TERMINATION DATE],ROW($B33)-ROW($B$8))&gt;0,F$8&gt;INDEX(T_EMP[TERMINATION DATE],ROW($B33)-ROW($B$8))),"NE",IF(NOT(ISERROR(MATCH(F$8,L_HOLS,0))),"H",IF(INDEX(L_WKNDVAL,WEEKDAY(F$8,1))=1,"WKND",INDEX(T_LEAVE[LEAVE CODE],SUMPRODUCT(--(T_LEAVE[NAME]=$B33),--(T_LEAVE[DATE]&lt;=F$8),--(T_LEAVE[DATE]&gt;=F$8),ROW(T_LEAVE[LEAVE CODE]))-ROW(T_LEAVE[#Headers]))))))),"")</f>
        <v/>
      </c>
      <c r="G33" s="75" t="str">
        <f>IFERROR(IF(G$8="","NA",IF(G$8&lt;INDEX(T_EMP[START DATE],ROW($B33)-ROW($B$8)),"NE",IF(AND(INDEX(T_EMP[TERMINATION DATE],ROW($B33)-ROW($B$8))&gt;0,G$8&gt;INDEX(T_EMP[TERMINATION DATE],ROW($B33)-ROW($B$8))),"NE",IF(NOT(ISERROR(MATCH(G$8,L_HOLS,0))),"H",IF(INDEX(L_WKNDVAL,WEEKDAY(G$8,1))=1,"WKND",INDEX(T_LEAVE[LEAVE CODE],SUMPRODUCT(--(T_LEAVE[NAME]=$B33),--(T_LEAVE[DATE]&lt;=G$8),--(T_LEAVE[DATE]&gt;=G$8),ROW(T_LEAVE[LEAVE CODE]))-ROW(T_LEAVE[#Headers]))))))),"")</f>
        <v/>
      </c>
      <c r="H33" s="75" t="str">
        <f>IFERROR(IF(H$8="","NA",IF(H$8&lt;INDEX(T_EMP[START DATE],ROW($B33)-ROW($B$8)),"NE",IF(AND(INDEX(T_EMP[TERMINATION DATE],ROW($B33)-ROW($B$8))&gt;0,H$8&gt;INDEX(T_EMP[TERMINATION DATE],ROW($B33)-ROW($B$8))),"NE",IF(NOT(ISERROR(MATCH(H$8,L_HOLS,0))),"H",IF(INDEX(L_WKNDVAL,WEEKDAY(H$8,1))=1,"WKND",INDEX(T_LEAVE[LEAVE CODE],SUMPRODUCT(--(T_LEAVE[NAME]=$B33),--(T_LEAVE[DATE]&lt;=H$8),--(T_LEAVE[DATE]&gt;=H$8),ROW(T_LEAVE[LEAVE CODE]))-ROW(T_LEAVE[#Headers]))))))),"")</f>
        <v/>
      </c>
      <c r="I33" s="75" t="str">
        <f>IFERROR(IF(I$8="","NA",IF(I$8&lt;INDEX(T_EMP[START DATE],ROW($B33)-ROW($B$8)),"NE",IF(AND(INDEX(T_EMP[TERMINATION DATE],ROW($B33)-ROW($B$8))&gt;0,I$8&gt;INDEX(T_EMP[TERMINATION DATE],ROW($B33)-ROW($B$8))),"NE",IF(NOT(ISERROR(MATCH(I$8,L_HOLS,0))),"H",IF(INDEX(L_WKNDVAL,WEEKDAY(I$8,1))=1,"WKND",INDEX(T_LEAVE[LEAVE CODE],SUMPRODUCT(--(T_LEAVE[NAME]=$B33),--(T_LEAVE[DATE]&lt;=I$8),--(T_LEAVE[DATE]&gt;=I$8),ROW(T_LEAVE[LEAVE CODE]))-ROW(T_LEAVE[#Headers]))))))),"")</f>
        <v/>
      </c>
      <c r="J33" s="75" t="str">
        <f>IFERROR(IF(J$8="","NA",IF(J$8&lt;INDEX(T_EMP[START DATE],ROW($B33)-ROW($B$8)),"NE",IF(AND(INDEX(T_EMP[TERMINATION DATE],ROW($B33)-ROW($B$8))&gt;0,J$8&gt;INDEX(T_EMP[TERMINATION DATE],ROW($B33)-ROW($B$8))),"NE",IF(NOT(ISERROR(MATCH(J$8,L_HOLS,0))),"H",IF(INDEX(L_WKNDVAL,WEEKDAY(J$8,1))=1,"WKND",INDEX(T_LEAVE[LEAVE CODE],SUMPRODUCT(--(T_LEAVE[NAME]=$B33),--(T_LEAVE[DATE]&lt;=J$8),--(T_LEAVE[DATE]&gt;=J$8),ROW(T_LEAVE[LEAVE CODE]))-ROW(T_LEAVE[#Headers]))))))),"")</f>
        <v/>
      </c>
      <c r="K33" s="75" t="str">
        <f>IFERROR(IF(K$8="","NA",IF(K$8&lt;INDEX(T_EMP[START DATE],ROW($B33)-ROW($B$8)),"NE",IF(AND(INDEX(T_EMP[TERMINATION DATE],ROW($B33)-ROW($B$8))&gt;0,K$8&gt;INDEX(T_EMP[TERMINATION DATE],ROW($B33)-ROW($B$8))),"NE",IF(NOT(ISERROR(MATCH(K$8,L_HOLS,0))),"H",IF(INDEX(L_WKNDVAL,WEEKDAY(K$8,1))=1,"WKND",INDEX(T_LEAVE[LEAVE CODE],SUMPRODUCT(--(T_LEAVE[NAME]=$B33),--(T_LEAVE[DATE]&lt;=K$8),--(T_LEAVE[DATE]&gt;=K$8),ROW(T_LEAVE[LEAVE CODE]))-ROW(T_LEAVE[#Headers]))))))),"")</f>
        <v/>
      </c>
      <c r="L33" s="75" t="str">
        <f>IFERROR(IF(L$8="","NA",IF(L$8&lt;INDEX(T_EMP[START DATE],ROW($B33)-ROW($B$8)),"NE",IF(AND(INDEX(T_EMP[TERMINATION DATE],ROW($B33)-ROW($B$8))&gt;0,L$8&gt;INDEX(T_EMP[TERMINATION DATE],ROW($B33)-ROW($B$8))),"NE",IF(NOT(ISERROR(MATCH(L$8,L_HOLS,0))),"H",IF(INDEX(L_WKNDVAL,WEEKDAY(L$8,1))=1,"WKND",INDEX(T_LEAVE[LEAVE CODE],SUMPRODUCT(--(T_LEAVE[NAME]=$B33),--(T_LEAVE[DATE]&lt;=L$8),--(T_LEAVE[DATE]&gt;=L$8),ROW(T_LEAVE[LEAVE CODE]))-ROW(T_LEAVE[#Headers]))))))),"")</f>
        <v/>
      </c>
      <c r="M33" s="75" t="str">
        <f>IFERROR(IF(M$8="","NA",IF(M$8&lt;INDEX(T_EMP[START DATE],ROW($B33)-ROW($B$8)),"NE",IF(AND(INDEX(T_EMP[TERMINATION DATE],ROW($B33)-ROW($B$8))&gt;0,M$8&gt;INDEX(T_EMP[TERMINATION DATE],ROW($B33)-ROW($B$8))),"NE",IF(NOT(ISERROR(MATCH(M$8,L_HOLS,0))),"H",IF(INDEX(L_WKNDVAL,WEEKDAY(M$8,1))=1,"WKND",INDEX(T_LEAVE[LEAVE CODE],SUMPRODUCT(--(T_LEAVE[NAME]=$B33),--(T_LEAVE[DATE]&lt;=M$8),--(T_LEAVE[DATE]&gt;=M$8),ROW(T_LEAVE[LEAVE CODE]))-ROW(T_LEAVE[#Headers]))))))),"")</f>
        <v/>
      </c>
      <c r="N33" s="75" t="str">
        <f>IFERROR(IF(N$8="","NA",IF(N$8&lt;INDEX(T_EMP[START DATE],ROW($B33)-ROW($B$8)),"NE",IF(AND(INDEX(T_EMP[TERMINATION DATE],ROW($B33)-ROW($B$8))&gt;0,N$8&gt;INDEX(T_EMP[TERMINATION DATE],ROW($B33)-ROW($B$8))),"NE",IF(NOT(ISERROR(MATCH(N$8,L_HOLS,0))),"H",IF(INDEX(L_WKNDVAL,WEEKDAY(N$8,1))=1,"WKND",INDEX(T_LEAVE[LEAVE CODE],SUMPRODUCT(--(T_LEAVE[NAME]=$B33),--(T_LEAVE[DATE]&lt;=N$8),--(T_LEAVE[DATE]&gt;=N$8),ROW(T_LEAVE[LEAVE CODE]))-ROW(T_LEAVE[#Headers]))))))),"")</f>
        <v/>
      </c>
      <c r="O33" s="75" t="str">
        <f>IFERROR(IF(O$8="","NA",IF(O$8&lt;INDEX(T_EMP[START DATE],ROW($B33)-ROW($B$8)),"NE",IF(AND(INDEX(T_EMP[TERMINATION DATE],ROW($B33)-ROW($B$8))&gt;0,O$8&gt;INDEX(T_EMP[TERMINATION DATE],ROW($B33)-ROW($B$8))),"NE",IF(NOT(ISERROR(MATCH(O$8,L_HOLS,0))),"H",IF(INDEX(L_WKNDVAL,WEEKDAY(O$8,1))=1,"WKND",INDEX(T_LEAVE[LEAVE CODE],SUMPRODUCT(--(T_LEAVE[NAME]=$B33),--(T_LEAVE[DATE]&lt;=O$8),--(T_LEAVE[DATE]&gt;=O$8),ROW(T_LEAVE[LEAVE CODE]))-ROW(T_LEAVE[#Headers]))))))),"")</f>
        <v/>
      </c>
      <c r="P33" s="75" t="str">
        <f>IFERROR(IF(P$8="","NA",IF(P$8&lt;INDEX(T_EMP[START DATE],ROW($B33)-ROW($B$8)),"NE",IF(AND(INDEX(T_EMP[TERMINATION DATE],ROW($B33)-ROW($B$8))&gt;0,P$8&gt;INDEX(T_EMP[TERMINATION DATE],ROW($B33)-ROW($B$8))),"NE",IF(NOT(ISERROR(MATCH(P$8,L_HOLS,0))),"H",IF(INDEX(L_WKNDVAL,WEEKDAY(P$8,1))=1,"WKND",INDEX(T_LEAVE[LEAVE CODE],SUMPRODUCT(--(T_LEAVE[NAME]=$B33),--(T_LEAVE[DATE]&lt;=P$8),--(T_LEAVE[DATE]&gt;=P$8),ROW(T_LEAVE[LEAVE CODE]))-ROW(T_LEAVE[#Headers]))))))),"")</f>
        <v>H</v>
      </c>
      <c r="Q33" s="75" t="str">
        <f>IFERROR(IF(Q$8="","NA",IF(Q$8&lt;INDEX(T_EMP[START DATE],ROW($B33)-ROW($B$8)),"NE",IF(AND(INDEX(T_EMP[TERMINATION DATE],ROW($B33)-ROW($B$8))&gt;0,Q$8&gt;INDEX(T_EMP[TERMINATION DATE],ROW($B33)-ROW($B$8))),"NE",IF(NOT(ISERROR(MATCH(Q$8,L_HOLS,0))),"H",IF(INDEX(L_WKNDVAL,WEEKDAY(Q$8,1))=1,"WKND",INDEX(T_LEAVE[LEAVE CODE],SUMPRODUCT(--(T_LEAVE[NAME]=$B33),--(T_LEAVE[DATE]&lt;=Q$8),--(T_LEAVE[DATE]&gt;=Q$8),ROW(T_LEAVE[LEAVE CODE]))-ROW(T_LEAVE[#Headers]))))))),"")</f>
        <v/>
      </c>
      <c r="R33" s="75" t="str">
        <f>IFERROR(IF(R$8="","NA",IF(R$8&lt;INDEX(T_EMP[START DATE],ROW($B33)-ROW($B$8)),"NE",IF(AND(INDEX(T_EMP[TERMINATION DATE],ROW($B33)-ROW($B$8))&gt;0,R$8&gt;INDEX(T_EMP[TERMINATION DATE],ROW($B33)-ROW($B$8))),"NE",IF(NOT(ISERROR(MATCH(R$8,L_HOLS,0))),"H",IF(INDEX(L_WKNDVAL,WEEKDAY(R$8,1))=1,"WKND",INDEX(T_LEAVE[LEAVE CODE],SUMPRODUCT(--(T_LEAVE[NAME]=$B33),--(T_LEAVE[DATE]&lt;=R$8),--(T_LEAVE[DATE]&gt;=R$8),ROW(T_LEAVE[LEAVE CODE]))-ROW(T_LEAVE[#Headers]))))))),"")</f>
        <v/>
      </c>
      <c r="S33" s="75" t="str">
        <f>IFERROR(IF(S$8="","NA",IF(S$8&lt;INDEX(T_EMP[START DATE],ROW($B33)-ROW($B$8)),"NE",IF(AND(INDEX(T_EMP[TERMINATION DATE],ROW($B33)-ROW($B$8))&gt;0,S$8&gt;INDEX(T_EMP[TERMINATION DATE],ROW($B33)-ROW($B$8))),"NE",IF(NOT(ISERROR(MATCH(S$8,L_HOLS,0))),"H",IF(INDEX(L_WKNDVAL,WEEKDAY(S$8,1))=1,"WKND",INDEX(T_LEAVE[LEAVE CODE],SUMPRODUCT(--(T_LEAVE[NAME]=$B33),--(T_LEAVE[DATE]&lt;=S$8),--(T_LEAVE[DATE]&gt;=S$8),ROW(T_LEAVE[LEAVE CODE]))-ROW(T_LEAVE[#Headers]))))))),"")</f>
        <v/>
      </c>
      <c r="T33" s="75" t="str">
        <f>IFERROR(IF(T$8="","NA",IF(T$8&lt;INDEX(T_EMP[START DATE],ROW($B33)-ROW($B$8)),"NE",IF(AND(INDEX(T_EMP[TERMINATION DATE],ROW($B33)-ROW($B$8))&gt;0,T$8&gt;INDEX(T_EMP[TERMINATION DATE],ROW($B33)-ROW($B$8))),"NE",IF(NOT(ISERROR(MATCH(T$8,L_HOLS,0))),"H",IF(INDEX(L_WKNDVAL,WEEKDAY(T$8,1))=1,"WKND",INDEX(T_LEAVE[LEAVE CODE],SUMPRODUCT(--(T_LEAVE[NAME]=$B33),--(T_LEAVE[DATE]&lt;=T$8),--(T_LEAVE[DATE]&gt;=T$8),ROW(T_LEAVE[LEAVE CODE]))-ROW(T_LEAVE[#Headers]))))))),"")</f>
        <v/>
      </c>
      <c r="U33" s="75" t="str">
        <f>IFERROR(IF(U$8="","NA",IF(U$8&lt;INDEX(T_EMP[START DATE],ROW($B33)-ROW($B$8)),"NE",IF(AND(INDEX(T_EMP[TERMINATION DATE],ROW($B33)-ROW($B$8))&gt;0,U$8&gt;INDEX(T_EMP[TERMINATION DATE],ROW($B33)-ROW($B$8))),"NE",IF(NOT(ISERROR(MATCH(U$8,L_HOLS,0))),"H",IF(INDEX(L_WKNDVAL,WEEKDAY(U$8,1))=1,"WKND",INDEX(T_LEAVE[LEAVE CODE],SUMPRODUCT(--(T_LEAVE[NAME]=$B33),--(T_LEAVE[DATE]&lt;=U$8),--(T_LEAVE[DATE]&gt;=U$8),ROW(T_LEAVE[LEAVE CODE]))-ROW(T_LEAVE[#Headers]))))))),"")</f>
        <v/>
      </c>
      <c r="V33" s="75" t="str">
        <f>IFERROR(IF(V$8="","NA",IF(V$8&lt;INDEX(T_EMP[START DATE],ROW($B33)-ROW($B$8)),"NE",IF(AND(INDEX(T_EMP[TERMINATION DATE],ROW($B33)-ROW($B$8))&gt;0,V$8&gt;INDEX(T_EMP[TERMINATION DATE],ROW($B33)-ROW($B$8))),"NE",IF(NOT(ISERROR(MATCH(V$8,L_HOLS,0))),"H",IF(INDEX(L_WKNDVAL,WEEKDAY(V$8,1))=1,"WKND",INDEX(T_LEAVE[LEAVE CODE],SUMPRODUCT(--(T_LEAVE[NAME]=$B33),--(T_LEAVE[DATE]&lt;=V$8),--(T_LEAVE[DATE]&gt;=V$8),ROW(T_LEAVE[LEAVE CODE]))-ROW(T_LEAVE[#Headers]))))))),"")</f>
        <v/>
      </c>
      <c r="W33" s="75" t="str">
        <f>IFERROR(IF(W$8="","NA",IF(W$8&lt;INDEX(T_EMP[START DATE],ROW($B33)-ROW($B$8)),"NE",IF(AND(INDEX(T_EMP[TERMINATION DATE],ROW($B33)-ROW($B$8))&gt;0,W$8&gt;INDEX(T_EMP[TERMINATION DATE],ROW($B33)-ROW($B$8))),"NE",IF(NOT(ISERROR(MATCH(W$8,L_HOLS,0))),"H",IF(INDEX(L_WKNDVAL,WEEKDAY(W$8,1))=1,"WKND",INDEX(T_LEAVE[LEAVE CODE],SUMPRODUCT(--(T_LEAVE[NAME]=$B33),--(T_LEAVE[DATE]&lt;=W$8),--(T_LEAVE[DATE]&gt;=W$8),ROW(T_LEAVE[LEAVE CODE]))-ROW(T_LEAVE[#Headers]))))))),"")</f>
        <v/>
      </c>
      <c r="X33" s="75" t="str">
        <f>IFERROR(IF(X$8="","NA",IF(X$8&lt;INDEX(T_EMP[START DATE],ROW($B33)-ROW($B$8)),"NE",IF(AND(INDEX(T_EMP[TERMINATION DATE],ROW($B33)-ROW($B$8))&gt;0,X$8&gt;INDEX(T_EMP[TERMINATION DATE],ROW($B33)-ROW($B$8))),"NE",IF(NOT(ISERROR(MATCH(X$8,L_HOLS,0))),"H",IF(INDEX(L_WKNDVAL,WEEKDAY(X$8,1))=1,"WKND",INDEX(T_LEAVE[LEAVE CODE],SUMPRODUCT(--(T_LEAVE[NAME]=$B33),--(T_LEAVE[DATE]&lt;=X$8),--(T_LEAVE[DATE]&gt;=X$8),ROW(T_LEAVE[LEAVE CODE]))-ROW(T_LEAVE[#Headers]))))))),"")</f>
        <v/>
      </c>
      <c r="Y33" s="75" t="str">
        <f>IFERROR(IF(Y$8="","NA",IF(Y$8&lt;INDEX(T_EMP[START DATE],ROW($B33)-ROW($B$8)),"NE",IF(AND(INDEX(T_EMP[TERMINATION DATE],ROW($B33)-ROW($B$8))&gt;0,Y$8&gt;INDEX(T_EMP[TERMINATION DATE],ROW($B33)-ROW($B$8))),"NE",IF(NOT(ISERROR(MATCH(Y$8,L_HOLS,0))),"H",IF(INDEX(L_WKNDVAL,WEEKDAY(Y$8,1))=1,"WKND",INDEX(T_LEAVE[LEAVE CODE],SUMPRODUCT(--(T_LEAVE[NAME]=$B33),--(T_LEAVE[DATE]&lt;=Y$8),--(T_LEAVE[DATE]&gt;=Y$8),ROW(T_LEAVE[LEAVE CODE]))-ROW(T_LEAVE[#Headers]))))))),"")</f>
        <v/>
      </c>
      <c r="Z33" s="75" t="str">
        <f>IFERROR(IF(Z$8="","NA",IF(Z$8&lt;INDEX(T_EMP[START DATE],ROW($B33)-ROW($B$8)),"NE",IF(AND(INDEX(T_EMP[TERMINATION DATE],ROW($B33)-ROW($B$8))&gt;0,Z$8&gt;INDEX(T_EMP[TERMINATION DATE],ROW($B33)-ROW($B$8))),"NE",IF(NOT(ISERROR(MATCH(Z$8,L_HOLS,0))),"H",IF(INDEX(L_WKNDVAL,WEEKDAY(Z$8,1))=1,"WKND",INDEX(T_LEAVE[LEAVE CODE],SUMPRODUCT(--(T_LEAVE[NAME]=$B33),--(T_LEAVE[DATE]&lt;=Z$8),--(T_LEAVE[DATE]&gt;=Z$8),ROW(T_LEAVE[LEAVE CODE]))-ROW(T_LEAVE[#Headers]))))))),"")</f>
        <v/>
      </c>
      <c r="AA33" s="75" t="str">
        <f>IFERROR(IF(AA$8="","NA",IF(AA$8&lt;INDEX(T_EMP[START DATE],ROW($B33)-ROW($B$8)),"NE",IF(AND(INDEX(T_EMP[TERMINATION DATE],ROW($B33)-ROW($B$8))&gt;0,AA$8&gt;INDEX(T_EMP[TERMINATION DATE],ROW($B33)-ROW($B$8))),"NE",IF(NOT(ISERROR(MATCH(AA$8,L_HOLS,0))),"H",IF(INDEX(L_WKNDVAL,WEEKDAY(AA$8,1))=1,"WKND",INDEX(T_LEAVE[LEAVE CODE],SUMPRODUCT(--(T_LEAVE[NAME]=$B33),--(T_LEAVE[DATE]&lt;=AA$8),--(T_LEAVE[DATE]&gt;=AA$8),ROW(T_LEAVE[LEAVE CODE]))-ROW(T_LEAVE[#Headers]))))))),"")</f>
        <v/>
      </c>
      <c r="AB33" s="75" t="str">
        <f>IFERROR(IF(AB$8="","NA",IF(AB$8&lt;INDEX(T_EMP[START DATE],ROW($B33)-ROW($B$8)),"NE",IF(AND(INDEX(T_EMP[TERMINATION DATE],ROW($B33)-ROW($B$8))&gt;0,AB$8&gt;INDEX(T_EMP[TERMINATION DATE],ROW($B33)-ROW($B$8))),"NE",IF(NOT(ISERROR(MATCH(AB$8,L_HOLS,0))),"H",IF(INDEX(L_WKNDVAL,WEEKDAY(AB$8,1))=1,"WKND",INDEX(T_LEAVE[LEAVE CODE],SUMPRODUCT(--(T_LEAVE[NAME]=$B33),--(T_LEAVE[DATE]&lt;=AB$8),--(T_LEAVE[DATE]&gt;=AB$8),ROW(T_LEAVE[LEAVE CODE]))-ROW(T_LEAVE[#Headers]))))))),"")</f>
        <v/>
      </c>
      <c r="AC33" s="75" t="str">
        <f>IFERROR(IF(AC$8="","NA",IF(AC$8&lt;INDEX(T_EMP[START DATE],ROW($B33)-ROW($B$8)),"NE",IF(AND(INDEX(T_EMP[TERMINATION DATE],ROW($B33)-ROW($B$8))&gt;0,AC$8&gt;INDEX(T_EMP[TERMINATION DATE],ROW($B33)-ROW($B$8))),"NE",IF(NOT(ISERROR(MATCH(AC$8,L_HOLS,0))),"H",IF(INDEX(L_WKNDVAL,WEEKDAY(AC$8,1))=1,"WKND",INDEX(T_LEAVE[LEAVE CODE],SUMPRODUCT(--(T_LEAVE[NAME]=$B33),--(T_LEAVE[DATE]&lt;=AC$8),--(T_LEAVE[DATE]&gt;=AC$8),ROW(T_LEAVE[LEAVE CODE]))-ROW(T_LEAVE[#Headers]))))))),"")</f>
        <v/>
      </c>
      <c r="AD33" s="75" t="str">
        <f>IFERROR(IF(AD$8="","NA",IF(AD$8&lt;INDEX(T_EMP[START DATE],ROW($B33)-ROW($B$8)),"NE",IF(AND(INDEX(T_EMP[TERMINATION DATE],ROW($B33)-ROW($B$8))&gt;0,AD$8&gt;INDEX(T_EMP[TERMINATION DATE],ROW($B33)-ROW($B$8))),"NE",IF(NOT(ISERROR(MATCH(AD$8,L_HOLS,0))),"H",IF(INDEX(L_WKNDVAL,WEEKDAY(AD$8,1))=1,"WKND",INDEX(T_LEAVE[LEAVE CODE],SUMPRODUCT(--(T_LEAVE[NAME]=$B33),--(T_LEAVE[DATE]&lt;=AD$8),--(T_LEAVE[DATE]&gt;=AD$8),ROW(T_LEAVE[LEAVE CODE]))-ROW(T_LEAVE[#Headers]))))))),"")</f>
        <v/>
      </c>
      <c r="AE33" s="75" t="str">
        <f>IFERROR(IF(AE$8="","NA",IF(AE$8&lt;INDEX(T_EMP[START DATE],ROW($B33)-ROW($B$8)),"NE",IF(AND(INDEX(T_EMP[TERMINATION DATE],ROW($B33)-ROW($B$8))&gt;0,AE$8&gt;INDEX(T_EMP[TERMINATION DATE],ROW($B33)-ROW($B$8))),"NE",IF(NOT(ISERROR(MATCH(AE$8,L_HOLS,0))),"H",IF(INDEX(L_WKNDVAL,WEEKDAY(AE$8,1))=1,"WKND",INDEX(T_LEAVE[LEAVE CODE],SUMPRODUCT(--(T_LEAVE[NAME]=$B33),--(T_LEAVE[DATE]&lt;=AE$8),--(T_LEAVE[DATE]&gt;=AE$8),ROW(T_LEAVE[LEAVE CODE]))-ROW(T_LEAVE[#Headers]))))))),"")</f>
        <v/>
      </c>
      <c r="AF33" s="75" t="str">
        <f>IFERROR(IF(AF$8="","NA",IF(AF$8&lt;INDEX(T_EMP[START DATE],ROW($B33)-ROW($B$8)),"NE",IF(AND(INDEX(T_EMP[TERMINATION DATE],ROW($B33)-ROW($B$8))&gt;0,AF$8&gt;INDEX(T_EMP[TERMINATION DATE],ROW($B33)-ROW($B$8))),"NE",IF(NOT(ISERROR(MATCH(AF$8,L_HOLS,0))),"H",IF(INDEX(L_WKNDVAL,WEEKDAY(AF$8,1))=1,"WKND",INDEX(T_LEAVE[LEAVE CODE],SUMPRODUCT(--(T_LEAVE[NAME]=$B33),--(T_LEAVE[DATE]&lt;=AF$8),--(T_LEAVE[DATE]&gt;=AF$8),ROW(T_LEAVE[LEAVE CODE]))-ROW(T_LEAVE[#Headers]))))))),"")</f>
        <v/>
      </c>
      <c r="AG33" s="75" t="str">
        <f>IFERROR(IF(AG$8="","NA",IF(AG$8&lt;INDEX(T_EMP[START DATE],ROW($B33)-ROW($B$8)),"NE",IF(AND(INDEX(T_EMP[TERMINATION DATE],ROW($B33)-ROW($B$8))&gt;0,AG$8&gt;INDEX(T_EMP[TERMINATION DATE],ROW($B33)-ROW($B$8))),"NE",IF(NOT(ISERROR(MATCH(AG$8,L_HOLS,0))),"H",IF(INDEX(L_WKNDVAL,WEEKDAY(AG$8,1))=1,"WKND",INDEX(T_LEAVE[LEAVE CODE],SUMPRODUCT(--(T_LEAVE[NAME]=$B33),--(T_LEAVE[DATE]&lt;=AG$8),--(T_LEAVE[DATE]&gt;=AG$8),ROW(T_LEAVE[LEAVE CODE]))-ROW(T_LEAVE[#Headers]))))))),"")</f>
        <v/>
      </c>
      <c r="AH33" s="75" t="str">
        <f>IFERROR(IF(AH$8="","NA",IF(AH$8&lt;INDEX(T_EMP[START DATE],ROW($B33)-ROW($B$8)),"NE",IF(AND(INDEX(T_EMP[TERMINATION DATE],ROW($B33)-ROW($B$8))&gt;0,AH$8&gt;INDEX(T_EMP[TERMINATION DATE],ROW($B33)-ROW($B$8))),"NE",IF(NOT(ISERROR(MATCH(AH$8,L_HOLS,0))),"H",IF(INDEX(L_WKNDVAL,WEEKDAY(AH$8,1))=1,"WKND",INDEX(T_LEAVE[LEAVE CODE],SUMPRODUCT(--(T_LEAVE[NAME]=$B33),--(T_LEAVE[DATE]&lt;=AH$8),--(T_LEAVE[DATE]&gt;=AH$8),ROW(T_LEAVE[LEAVE CODE]))-ROW(T_LEAVE[#Headers]))))))),"")</f>
        <v/>
      </c>
      <c r="AJ33" s="88">
        <f>IF(OR($B33="",AJ$8=""),"",COUNTIFS($D33:$AH33,AJ$8)*INDEX(T_LEAVETYPE[DAY VALUE],1))</f>
        <v>0</v>
      </c>
      <c r="AK33" s="88">
        <f>IF(OR($B33="",AK$8=""),"",COUNTIFS($D33:$AH33,AK$8)*INDEX(T_LEAVETYPE[DAY VALUE],2))</f>
        <v>0</v>
      </c>
      <c r="AL33" s="88">
        <f>IF(OR($B33="",AL$8=""),"",COUNTIFS($D33:$AH33,AL$8)*INDEX(T_LEAVETYPE[DAY VALUE],3))</f>
        <v>0</v>
      </c>
      <c r="AM33" s="88">
        <f>IF(OR($B33="",AM$8=""),"",COUNTIFS($D33:$AH33,AM$8)*INDEX(T_LEAVETYPE[DAY VALUE],4))</f>
        <v>0</v>
      </c>
      <c r="AN33" s="88">
        <f>IF(OR($B33="",AN$8=""),"",COUNTIFS($D33:$AH33,AN$8)*INDEX(T_LEAVETYPE[DAY VALUE],5))</f>
        <v>0</v>
      </c>
      <c r="AO33" s="88">
        <f>IF(OR($B33="",AO$8=""),"",COUNTIFS($D33:$AH33,AO$8)*INDEX(T_LEAVETYPE[DAY VALUE],6))</f>
        <v>0</v>
      </c>
      <c r="AP33" s="88">
        <f>IF(OR($B33="",AP$8=""),"",COUNTIFS($D33:$AH33,AP$8)*INDEX(T_LEAVETYPE[DAY VALUE],7))</f>
        <v>0</v>
      </c>
      <c r="AQ33" s="88">
        <f>IF(OR($B33="",AQ$8=""),"",COUNTIFS($D33:$AH33,AQ$8)*INDEX(T_LEAVETYPE[DAY VALUE],8))</f>
        <v>0</v>
      </c>
      <c r="AR33" s="89">
        <f t="shared" si="3"/>
        <v>0</v>
      </c>
    </row>
    <row r="34" spans="1:44" x14ac:dyDescent="0.25">
      <c r="A34" s="90">
        <f t="shared" si="4"/>
        <v>26</v>
      </c>
      <c r="B34" s="74" t="str">
        <f>IFERROR(INDEX(T_EMP[NAME],ROW(B34)-ROW($B$8)),"")</f>
        <v>HIPOLITO, JOYCE ANN KENETH</v>
      </c>
      <c r="C34" s="91" t="str">
        <f>IFERROR(INDEX(T_EMP[DEPARTMENT],ROW(B34)-ROW($C$8)),"")</f>
        <v>IB SUPPORT</v>
      </c>
      <c r="D34" s="75" t="str">
        <f>IFERROR(IF(D$8="","NA",IF(D$8&lt;INDEX(T_EMP[START DATE],ROW($B34)-ROW($B$8)),"NE",IF(AND(INDEX(T_EMP[TERMINATION DATE],ROW($B34)-ROW($B$8))&gt;0,D$8&gt;INDEX(T_EMP[TERMINATION DATE],ROW($B34)-ROW($B$8))),"NE",IF(NOT(ISERROR(MATCH(D$8,L_HOLS,0))),"H",IF(INDEX(L_WKNDVAL,WEEKDAY(D$8,1))=1,"WKND",INDEX(T_LEAVE[LEAVE CODE],SUMPRODUCT(--(T_LEAVE[NAME]=$B34),--(T_LEAVE[DATE]&lt;=D$8),--(T_LEAVE[DATE]&gt;=D$8),ROW(T_LEAVE[LEAVE CODE]))-ROW(T_LEAVE[#Headers]))))))),"")</f>
        <v>H</v>
      </c>
      <c r="E34" s="75" t="str">
        <f>IFERROR(IF(E$8="","NA",IF(E$8&lt;INDEX(T_EMP[START DATE],ROW($B34)-ROW($B$8)),"NE",IF(AND(INDEX(T_EMP[TERMINATION DATE],ROW($B34)-ROW($B$8))&gt;0,E$8&gt;INDEX(T_EMP[TERMINATION DATE],ROW($B34)-ROW($B$8))),"NE",IF(NOT(ISERROR(MATCH(E$8,L_HOLS,0))),"H",IF(INDEX(L_WKNDVAL,WEEKDAY(E$8,1))=1,"WKND",INDEX(T_LEAVE[LEAVE CODE],SUMPRODUCT(--(T_LEAVE[NAME]=$B34),--(T_LEAVE[DATE]&lt;=E$8),--(T_LEAVE[DATE]&gt;=E$8),ROW(T_LEAVE[LEAVE CODE]))-ROW(T_LEAVE[#Headers]))))))),"")</f>
        <v/>
      </c>
      <c r="F34" s="75" t="str">
        <f>IFERROR(IF(F$8="","NA",IF(F$8&lt;INDEX(T_EMP[START DATE],ROW($B34)-ROW($B$8)),"NE",IF(AND(INDEX(T_EMP[TERMINATION DATE],ROW($B34)-ROW($B$8))&gt;0,F$8&gt;INDEX(T_EMP[TERMINATION DATE],ROW($B34)-ROW($B$8))),"NE",IF(NOT(ISERROR(MATCH(F$8,L_HOLS,0))),"H",IF(INDEX(L_WKNDVAL,WEEKDAY(F$8,1))=1,"WKND",INDEX(T_LEAVE[LEAVE CODE],SUMPRODUCT(--(T_LEAVE[NAME]=$B34),--(T_LEAVE[DATE]&lt;=F$8),--(T_LEAVE[DATE]&gt;=F$8),ROW(T_LEAVE[LEAVE CODE]))-ROW(T_LEAVE[#Headers]))))))),"")</f>
        <v/>
      </c>
      <c r="G34" s="75" t="str">
        <f>IFERROR(IF(G$8="","NA",IF(G$8&lt;INDEX(T_EMP[START DATE],ROW($B34)-ROW($B$8)),"NE",IF(AND(INDEX(T_EMP[TERMINATION DATE],ROW($B34)-ROW($B$8))&gt;0,G$8&gt;INDEX(T_EMP[TERMINATION DATE],ROW($B34)-ROW($B$8))),"NE",IF(NOT(ISERROR(MATCH(G$8,L_HOLS,0))),"H",IF(INDEX(L_WKNDVAL,WEEKDAY(G$8,1))=1,"WKND",INDEX(T_LEAVE[LEAVE CODE],SUMPRODUCT(--(T_LEAVE[NAME]=$B34),--(T_LEAVE[DATE]&lt;=G$8),--(T_LEAVE[DATE]&gt;=G$8),ROW(T_LEAVE[LEAVE CODE]))-ROW(T_LEAVE[#Headers]))))))),"")</f>
        <v/>
      </c>
      <c r="H34" s="75" t="str">
        <f>IFERROR(IF(H$8="","NA",IF(H$8&lt;INDEX(T_EMP[START DATE],ROW($B34)-ROW($B$8)),"NE",IF(AND(INDEX(T_EMP[TERMINATION DATE],ROW($B34)-ROW($B$8))&gt;0,H$8&gt;INDEX(T_EMP[TERMINATION DATE],ROW($B34)-ROW($B$8))),"NE",IF(NOT(ISERROR(MATCH(H$8,L_HOLS,0))),"H",IF(INDEX(L_WKNDVAL,WEEKDAY(H$8,1))=1,"WKND",INDEX(T_LEAVE[LEAVE CODE],SUMPRODUCT(--(T_LEAVE[NAME]=$B34),--(T_LEAVE[DATE]&lt;=H$8),--(T_LEAVE[DATE]&gt;=H$8),ROW(T_LEAVE[LEAVE CODE]))-ROW(T_LEAVE[#Headers]))))))),"")</f>
        <v/>
      </c>
      <c r="I34" s="75" t="str">
        <f>IFERROR(IF(I$8="","NA",IF(I$8&lt;INDEX(T_EMP[START DATE],ROW($B34)-ROW($B$8)),"NE",IF(AND(INDEX(T_EMP[TERMINATION DATE],ROW($B34)-ROW($B$8))&gt;0,I$8&gt;INDEX(T_EMP[TERMINATION DATE],ROW($B34)-ROW($B$8))),"NE",IF(NOT(ISERROR(MATCH(I$8,L_HOLS,0))),"H",IF(INDEX(L_WKNDVAL,WEEKDAY(I$8,1))=1,"WKND",INDEX(T_LEAVE[LEAVE CODE],SUMPRODUCT(--(T_LEAVE[NAME]=$B34),--(T_LEAVE[DATE]&lt;=I$8),--(T_LEAVE[DATE]&gt;=I$8),ROW(T_LEAVE[LEAVE CODE]))-ROW(T_LEAVE[#Headers]))))))),"")</f>
        <v/>
      </c>
      <c r="J34" s="75" t="str">
        <f>IFERROR(IF(J$8="","NA",IF(J$8&lt;INDEX(T_EMP[START DATE],ROW($B34)-ROW($B$8)),"NE",IF(AND(INDEX(T_EMP[TERMINATION DATE],ROW($B34)-ROW($B$8))&gt;0,J$8&gt;INDEX(T_EMP[TERMINATION DATE],ROW($B34)-ROW($B$8))),"NE",IF(NOT(ISERROR(MATCH(J$8,L_HOLS,0))),"H",IF(INDEX(L_WKNDVAL,WEEKDAY(J$8,1))=1,"WKND",INDEX(T_LEAVE[LEAVE CODE],SUMPRODUCT(--(T_LEAVE[NAME]=$B34),--(T_LEAVE[DATE]&lt;=J$8),--(T_LEAVE[DATE]&gt;=J$8),ROW(T_LEAVE[LEAVE CODE]))-ROW(T_LEAVE[#Headers]))))))),"")</f>
        <v/>
      </c>
      <c r="K34" s="75" t="str">
        <f>IFERROR(IF(K$8="","NA",IF(K$8&lt;INDEX(T_EMP[START DATE],ROW($B34)-ROW($B$8)),"NE",IF(AND(INDEX(T_EMP[TERMINATION DATE],ROW($B34)-ROW($B$8))&gt;0,K$8&gt;INDEX(T_EMP[TERMINATION DATE],ROW($B34)-ROW($B$8))),"NE",IF(NOT(ISERROR(MATCH(K$8,L_HOLS,0))),"H",IF(INDEX(L_WKNDVAL,WEEKDAY(K$8,1))=1,"WKND",INDEX(T_LEAVE[LEAVE CODE],SUMPRODUCT(--(T_LEAVE[NAME]=$B34),--(T_LEAVE[DATE]&lt;=K$8),--(T_LEAVE[DATE]&gt;=K$8),ROW(T_LEAVE[LEAVE CODE]))-ROW(T_LEAVE[#Headers]))))))),"")</f>
        <v/>
      </c>
      <c r="L34" s="75" t="str">
        <f>IFERROR(IF(L$8="","NA",IF(L$8&lt;INDEX(T_EMP[START DATE],ROW($B34)-ROW($B$8)),"NE",IF(AND(INDEX(T_EMP[TERMINATION DATE],ROW($B34)-ROW($B$8))&gt;0,L$8&gt;INDEX(T_EMP[TERMINATION DATE],ROW($B34)-ROW($B$8))),"NE",IF(NOT(ISERROR(MATCH(L$8,L_HOLS,0))),"H",IF(INDEX(L_WKNDVAL,WEEKDAY(L$8,1))=1,"WKND",INDEX(T_LEAVE[LEAVE CODE],SUMPRODUCT(--(T_LEAVE[NAME]=$B34),--(T_LEAVE[DATE]&lt;=L$8),--(T_LEAVE[DATE]&gt;=L$8),ROW(T_LEAVE[LEAVE CODE]))-ROW(T_LEAVE[#Headers]))))))),"")</f>
        <v/>
      </c>
      <c r="M34" s="75" t="str">
        <f>IFERROR(IF(M$8="","NA",IF(M$8&lt;INDEX(T_EMP[START DATE],ROW($B34)-ROW($B$8)),"NE",IF(AND(INDEX(T_EMP[TERMINATION DATE],ROW($B34)-ROW($B$8))&gt;0,M$8&gt;INDEX(T_EMP[TERMINATION DATE],ROW($B34)-ROW($B$8))),"NE",IF(NOT(ISERROR(MATCH(M$8,L_HOLS,0))),"H",IF(INDEX(L_WKNDVAL,WEEKDAY(M$8,1))=1,"WKND",INDEX(T_LEAVE[LEAVE CODE],SUMPRODUCT(--(T_LEAVE[NAME]=$B34),--(T_LEAVE[DATE]&lt;=M$8),--(T_LEAVE[DATE]&gt;=M$8),ROW(T_LEAVE[LEAVE CODE]))-ROW(T_LEAVE[#Headers]))))))),"")</f>
        <v/>
      </c>
      <c r="N34" s="75" t="str">
        <f>IFERROR(IF(N$8="","NA",IF(N$8&lt;INDEX(T_EMP[START DATE],ROW($B34)-ROW($B$8)),"NE",IF(AND(INDEX(T_EMP[TERMINATION DATE],ROW($B34)-ROW($B$8))&gt;0,N$8&gt;INDEX(T_EMP[TERMINATION DATE],ROW($B34)-ROW($B$8))),"NE",IF(NOT(ISERROR(MATCH(N$8,L_HOLS,0))),"H",IF(INDEX(L_WKNDVAL,WEEKDAY(N$8,1))=1,"WKND",INDEX(T_LEAVE[LEAVE CODE],SUMPRODUCT(--(T_LEAVE[NAME]=$B34),--(T_LEAVE[DATE]&lt;=N$8),--(T_LEAVE[DATE]&gt;=N$8),ROW(T_LEAVE[LEAVE CODE]))-ROW(T_LEAVE[#Headers]))))))),"")</f>
        <v/>
      </c>
      <c r="O34" s="75" t="str">
        <f>IFERROR(IF(O$8="","NA",IF(O$8&lt;INDEX(T_EMP[START DATE],ROW($B34)-ROW($B$8)),"NE",IF(AND(INDEX(T_EMP[TERMINATION DATE],ROW($B34)-ROW($B$8))&gt;0,O$8&gt;INDEX(T_EMP[TERMINATION DATE],ROW($B34)-ROW($B$8))),"NE",IF(NOT(ISERROR(MATCH(O$8,L_HOLS,0))),"H",IF(INDEX(L_WKNDVAL,WEEKDAY(O$8,1))=1,"WKND",INDEX(T_LEAVE[LEAVE CODE],SUMPRODUCT(--(T_LEAVE[NAME]=$B34),--(T_LEAVE[DATE]&lt;=O$8),--(T_LEAVE[DATE]&gt;=O$8),ROW(T_LEAVE[LEAVE CODE]))-ROW(T_LEAVE[#Headers]))))))),"")</f>
        <v/>
      </c>
      <c r="P34" s="75" t="str">
        <f>IFERROR(IF(P$8="","NA",IF(P$8&lt;INDEX(T_EMP[START DATE],ROW($B34)-ROW($B$8)),"NE",IF(AND(INDEX(T_EMP[TERMINATION DATE],ROW($B34)-ROW($B$8))&gt;0,P$8&gt;INDEX(T_EMP[TERMINATION DATE],ROW($B34)-ROW($B$8))),"NE",IF(NOT(ISERROR(MATCH(P$8,L_HOLS,0))),"H",IF(INDEX(L_WKNDVAL,WEEKDAY(P$8,1))=1,"WKND",INDEX(T_LEAVE[LEAVE CODE],SUMPRODUCT(--(T_LEAVE[NAME]=$B34),--(T_LEAVE[DATE]&lt;=P$8),--(T_LEAVE[DATE]&gt;=P$8),ROW(T_LEAVE[LEAVE CODE]))-ROW(T_LEAVE[#Headers]))))))),"")</f>
        <v>H</v>
      </c>
      <c r="Q34" s="75" t="str">
        <f>IFERROR(IF(Q$8="","NA",IF(Q$8&lt;INDEX(T_EMP[START DATE],ROW($B34)-ROW($B$8)),"NE",IF(AND(INDEX(T_EMP[TERMINATION DATE],ROW($B34)-ROW($B$8))&gt;0,Q$8&gt;INDEX(T_EMP[TERMINATION DATE],ROW($B34)-ROW($B$8))),"NE",IF(NOT(ISERROR(MATCH(Q$8,L_HOLS,0))),"H",IF(INDEX(L_WKNDVAL,WEEKDAY(Q$8,1))=1,"WKND",INDEX(T_LEAVE[LEAVE CODE],SUMPRODUCT(--(T_LEAVE[NAME]=$B34),--(T_LEAVE[DATE]&lt;=Q$8),--(T_LEAVE[DATE]&gt;=Q$8),ROW(T_LEAVE[LEAVE CODE]))-ROW(T_LEAVE[#Headers]))))))),"")</f>
        <v/>
      </c>
      <c r="R34" s="75" t="str">
        <f>IFERROR(IF(R$8="","NA",IF(R$8&lt;INDEX(T_EMP[START DATE],ROW($B34)-ROW($B$8)),"NE",IF(AND(INDEX(T_EMP[TERMINATION DATE],ROW($B34)-ROW($B$8))&gt;0,R$8&gt;INDEX(T_EMP[TERMINATION DATE],ROW($B34)-ROW($B$8))),"NE",IF(NOT(ISERROR(MATCH(R$8,L_HOLS,0))),"H",IF(INDEX(L_WKNDVAL,WEEKDAY(R$8,1))=1,"WKND",INDEX(T_LEAVE[LEAVE CODE],SUMPRODUCT(--(T_LEAVE[NAME]=$B34),--(T_LEAVE[DATE]&lt;=R$8),--(T_LEAVE[DATE]&gt;=R$8),ROW(T_LEAVE[LEAVE CODE]))-ROW(T_LEAVE[#Headers]))))))),"")</f>
        <v/>
      </c>
      <c r="S34" s="75" t="str">
        <f>IFERROR(IF(S$8="","NA",IF(S$8&lt;INDEX(T_EMP[START DATE],ROW($B34)-ROW($B$8)),"NE",IF(AND(INDEX(T_EMP[TERMINATION DATE],ROW($B34)-ROW($B$8))&gt;0,S$8&gt;INDEX(T_EMP[TERMINATION DATE],ROW($B34)-ROW($B$8))),"NE",IF(NOT(ISERROR(MATCH(S$8,L_HOLS,0))),"H",IF(INDEX(L_WKNDVAL,WEEKDAY(S$8,1))=1,"WKND",INDEX(T_LEAVE[LEAVE CODE],SUMPRODUCT(--(T_LEAVE[NAME]=$B34),--(T_LEAVE[DATE]&lt;=S$8),--(T_LEAVE[DATE]&gt;=S$8),ROW(T_LEAVE[LEAVE CODE]))-ROW(T_LEAVE[#Headers]))))))),"")</f>
        <v/>
      </c>
      <c r="T34" s="75" t="str">
        <f>IFERROR(IF(T$8="","NA",IF(T$8&lt;INDEX(T_EMP[START DATE],ROW($B34)-ROW($B$8)),"NE",IF(AND(INDEX(T_EMP[TERMINATION DATE],ROW($B34)-ROW($B$8))&gt;0,T$8&gt;INDEX(T_EMP[TERMINATION DATE],ROW($B34)-ROW($B$8))),"NE",IF(NOT(ISERROR(MATCH(T$8,L_HOLS,0))),"H",IF(INDEX(L_WKNDVAL,WEEKDAY(T$8,1))=1,"WKND",INDEX(T_LEAVE[LEAVE CODE],SUMPRODUCT(--(T_LEAVE[NAME]=$B34),--(T_LEAVE[DATE]&lt;=T$8),--(T_LEAVE[DATE]&gt;=T$8),ROW(T_LEAVE[LEAVE CODE]))-ROW(T_LEAVE[#Headers]))))))),"")</f>
        <v/>
      </c>
      <c r="U34" s="75" t="str">
        <f>IFERROR(IF(U$8="","NA",IF(U$8&lt;INDEX(T_EMP[START DATE],ROW($B34)-ROW($B$8)),"NE",IF(AND(INDEX(T_EMP[TERMINATION DATE],ROW($B34)-ROW($B$8))&gt;0,U$8&gt;INDEX(T_EMP[TERMINATION DATE],ROW($B34)-ROW($B$8))),"NE",IF(NOT(ISERROR(MATCH(U$8,L_HOLS,0))),"H",IF(INDEX(L_WKNDVAL,WEEKDAY(U$8,1))=1,"WKND",INDEX(T_LEAVE[LEAVE CODE],SUMPRODUCT(--(T_LEAVE[NAME]=$B34),--(T_LEAVE[DATE]&lt;=U$8),--(T_LEAVE[DATE]&gt;=U$8),ROW(T_LEAVE[LEAVE CODE]))-ROW(T_LEAVE[#Headers]))))))),"")</f>
        <v/>
      </c>
      <c r="V34" s="75" t="str">
        <f>IFERROR(IF(V$8="","NA",IF(V$8&lt;INDEX(T_EMP[START DATE],ROW($B34)-ROW($B$8)),"NE",IF(AND(INDEX(T_EMP[TERMINATION DATE],ROW($B34)-ROW($B$8))&gt;0,V$8&gt;INDEX(T_EMP[TERMINATION DATE],ROW($B34)-ROW($B$8))),"NE",IF(NOT(ISERROR(MATCH(V$8,L_HOLS,0))),"H",IF(INDEX(L_WKNDVAL,WEEKDAY(V$8,1))=1,"WKND",INDEX(T_LEAVE[LEAVE CODE],SUMPRODUCT(--(T_LEAVE[NAME]=$B34),--(T_LEAVE[DATE]&lt;=V$8),--(T_LEAVE[DATE]&gt;=V$8),ROW(T_LEAVE[LEAVE CODE]))-ROW(T_LEAVE[#Headers]))))))),"")</f>
        <v/>
      </c>
      <c r="W34" s="75" t="str">
        <f>IFERROR(IF(W$8="","NA",IF(W$8&lt;INDEX(T_EMP[START DATE],ROW($B34)-ROW($B$8)),"NE",IF(AND(INDEX(T_EMP[TERMINATION DATE],ROW($B34)-ROW($B$8))&gt;0,W$8&gt;INDEX(T_EMP[TERMINATION DATE],ROW($B34)-ROW($B$8))),"NE",IF(NOT(ISERROR(MATCH(W$8,L_HOLS,0))),"H",IF(INDEX(L_WKNDVAL,WEEKDAY(W$8,1))=1,"WKND",INDEX(T_LEAVE[LEAVE CODE],SUMPRODUCT(--(T_LEAVE[NAME]=$B34),--(T_LEAVE[DATE]&lt;=W$8),--(T_LEAVE[DATE]&gt;=W$8),ROW(T_LEAVE[LEAVE CODE]))-ROW(T_LEAVE[#Headers]))))))),"")</f>
        <v/>
      </c>
      <c r="X34" s="75" t="str">
        <f>IFERROR(IF(X$8="","NA",IF(X$8&lt;INDEX(T_EMP[START DATE],ROW($B34)-ROW($B$8)),"NE",IF(AND(INDEX(T_EMP[TERMINATION DATE],ROW($B34)-ROW($B$8))&gt;0,X$8&gt;INDEX(T_EMP[TERMINATION DATE],ROW($B34)-ROW($B$8))),"NE",IF(NOT(ISERROR(MATCH(X$8,L_HOLS,0))),"H",IF(INDEX(L_WKNDVAL,WEEKDAY(X$8,1))=1,"WKND",INDEX(T_LEAVE[LEAVE CODE],SUMPRODUCT(--(T_LEAVE[NAME]=$B34),--(T_LEAVE[DATE]&lt;=X$8),--(T_LEAVE[DATE]&gt;=X$8),ROW(T_LEAVE[LEAVE CODE]))-ROW(T_LEAVE[#Headers]))))))),"")</f>
        <v/>
      </c>
      <c r="Y34" s="75" t="str">
        <f>IFERROR(IF(Y$8="","NA",IF(Y$8&lt;INDEX(T_EMP[START DATE],ROW($B34)-ROW($B$8)),"NE",IF(AND(INDEX(T_EMP[TERMINATION DATE],ROW($B34)-ROW($B$8))&gt;0,Y$8&gt;INDEX(T_EMP[TERMINATION DATE],ROW($B34)-ROW($B$8))),"NE",IF(NOT(ISERROR(MATCH(Y$8,L_HOLS,0))),"H",IF(INDEX(L_WKNDVAL,WEEKDAY(Y$8,1))=1,"WKND",INDEX(T_LEAVE[LEAVE CODE],SUMPRODUCT(--(T_LEAVE[NAME]=$B34),--(T_LEAVE[DATE]&lt;=Y$8),--(T_LEAVE[DATE]&gt;=Y$8),ROW(T_LEAVE[LEAVE CODE]))-ROW(T_LEAVE[#Headers]))))))),"")</f>
        <v/>
      </c>
      <c r="Z34" s="75" t="str">
        <f>IFERROR(IF(Z$8="","NA",IF(Z$8&lt;INDEX(T_EMP[START DATE],ROW($B34)-ROW($B$8)),"NE",IF(AND(INDEX(T_EMP[TERMINATION DATE],ROW($B34)-ROW($B$8))&gt;0,Z$8&gt;INDEX(T_EMP[TERMINATION DATE],ROW($B34)-ROW($B$8))),"NE",IF(NOT(ISERROR(MATCH(Z$8,L_HOLS,0))),"H",IF(INDEX(L_WKNDVAL,WEEKDAY(Z$8,1))=1,"WKND",INDEX(T_LEAVE[LEAVE CODE],SUMPRODUCT(--(T_LEAVE[NAME]=$B34),--(T_LEAVE[DATE]&lt;=Z$8),--(T_LEAVE[DATE]&gt;=Z$8),ROW(T_LEAVE[LEAVE CODE]))-ROW(T_LEAVE[#Headers]))))))),"")</f>
        <v/>
      </c>
      <c r="AA34" s="75" t="str">
        <f>IFERROR(IF(AA$8="","NA",IF(AA$8&lt;INDEX(T_EMP[START DATE],ROW($B34)-ROW($B$8)),"NE",IF(AND(INDEX(T_EMP[TERMINATION DATE],ROW($B34)-ROW($B$8))&gt;0,AA$8&gt;INDEX(T_EMP[TERMINATION DATE],ROW($B34)-ROW($B$8))),"NE",IF(NOT(ISERROR(MATCH(AA$8,L_HOLS,0))),"H",IF(INDEX(L_WKNDVAL,WEEKDAY(AA$8,1))=1,"WKND",INDEX(T_LEAVE[LEAVE CODE],SUMPRODUCT(--(T_LEAVE[NAME]=$B34),--(T_LEAVE[DATE]&lt;=AA$8),--(T_LEAVE[DATE]&gt;=AA$8),ROW(T_LEAVE[LEAVE CODE]))-ROW(T_LEAVE[#Headers]))))))),"")</f>
        <v/>
      </c>
      <c r="AB34" s="75" t="str">
        <f>IFERROR(IF(AB$8="","NA",IF(AB$8&lt;INDEX(T_EMP[START DATE],ROW($B34)-ROW($B$8)),"NE",IF(AND(INDEX(T_EMP[TERMINATION DATE],ROW($B34)-ROW($B$8))&gt;0,AB$8&gt;INDEX(T_EMP[TERMINATION DATE],ROW($B34)-ROW($B$8))),"NE",IF(NOT(ISERROR(MATCH(AB$8,L_HOLS,0))),"H",IF(INDEX(L_WKNDVAL,WEEKDAY(AB$8,1))=1,"WKND",INDEX(T_LEAVE[LEAVE CODE],SUMPRODUCT(--(T_LEAVE[NAME]=$B34),--(T_LEAVE[DATE]&lt;=AB$8),--(T_LEAVE[DATE]&gt;=AB$8),ROW(T_LEAVE[LEAVE CODE]))-ROW(T_LEAVE[#Headers]))))))),"")</f>
        <v/>
      </c>
      <c r="AC34" s="75" t="str">
        <f>IFERROR(IF(AC$8="","NA",IF(AC$8&lt;INDEX(T_EMP[START DATE],ROW($B34)-ROW($B$8)),"NE",IF(AND(INDEX(T_EMP[TERMINATION DATE],ROW($B34)-ROW($B$8))&gt;0,AC$8&gt;INDEX(T_EMP[TERMINATION DATE],ROW($B34)-ROW($B$8))),"NE",IF(NOT(ISERROR(MATCH(AC$8,L_HOLS,0))),"H",IF(INDEX(L_WKNDVAL,WEEKDAY(AC$8,1))=1,"WKND",INDEX(T_LEAVE[LEAVE CODE],SUMPRODUCT(--(T_LEAVE[NAME]=$B34),--(T_LEAVE[DATE]&lt;=AC$8),--(T_LEAVE[DATE]&gt;=AC$8),ROW(T_LEAVE[LEAVE CODE]))-ROW(T_LEAVE[#Headers]))))))),"")</f>
        <v/>
      </c>
      <c r="AD34" s="75" t="str">
        <f>IFERROR(IF(AD$8="","NA",IF(AD$8&lt;INDEX(T_EMP[START DATE],ROW($B34)-ROW($B$8)),"NE",IF(AND(INDEX(T_EMP[TERMINATION DATE],ROW($B34)-ROW($B$8))&gt;0,AD$8&gt;INDEX(T_EMP[TERMINATION DATE],ROW($B34)-ROW($B$8))),"NE",IF(NOT(ISERROR(MATCH(AD$8,L_HOLS,0))),"H",IF(INDEX(L_WKNDVAL,WEEKDAY(AD$8,1))=1,"WKND",INDEX(T_LEAVE[LEAVE CODE],SUMPRODUCT(--(T_LEAVE[NAME]=$B34),--(T_LEAVE[DATE]&lt;=AD$8),--(T_LEAVE[DATE]&gt;=AD$8),ROW(T_LEAVE[LEAVE CODE]))-ROW(T_LEAVE[#Headers]))))))),"")</f>
        <v/>
      </c>
      <c r="AE34" s="75" t="str">
        <f>IFERROR(IF(AE$8="","NA",IF(AE$8&lt;INDEX(T_EMP[START DATE],ROW($B34)-ROW($B$8)),"NE",IF(AND(INDEX(T_EMP[TERMINATION DATE],ROW($B34)-ROW($B$8))&gt;0,AE$8&gt;INDEX(T_EMP[TERMINATION DATE],ROW($B34)-ROW($B$8))),"NE",IF(NOT(ISERROR(MATCH(AE$8,L_HOLS,0))),"H",IF(INDEX(L_WKNDVAL,WEEKDAY(AE$8,1))=1,"WKND",INDEX(T_LEAVE[LEAVE CODE],SUMPRODUCT(--(T_LEAVE[NAME]=$B34),--(T_LEAVE[DATE]&lt;=AE$8),--(T_LEAVE[DATE]&gt;=AE$8),ROW(T_LEAVE[LEAVE CODE]))-ROW(T_LEAVE[#Headers]))))))),"")</f>
        <v/>
      </c>
      <c r="AF34" s="75" t="str">
        <f>IFERROR(IF(AF$8="","NA",IF(AF$8&lt;INDEX(T_EMP[START DATE],ROW($B34)-ROW($B$8)),"NE",IF(AND(INDEX(T_EMP[TERMINATION DATE],ROW($B34)-ROW($B$8))&gt;0,AF$8&gt;INDEX(T_EMP[TERMINATION DATE],ROW($B34)-ROW($B$8))),"NE",IF(NOT(ISERROR(MATCH(AF$8,L_HOLS,0))),"H",IF(INDEX(L_WKNDVAL,WEEKDAY(AF$8,1))=1,"WKND",INDEX(T_LEAVE[LEAVE CODE],SUMPRODUCT(--(T_LEAVE[NAME]=$B34),--(T_LEAVE[DATE]&lt;=AF$8),--(T_LEAVE[DATE]&gt;=AF$8),ROW(T_LEAVE[LEAVE CODE]))-ROW(T_LEAVE[#Headers]))))))),"")</f>
        <v/>
      </c>
      <c r="AG34" s="75" t="str">
        <f>IFERROR(IF(AG$8="","NA",IF(AG$8&lt;INDEX(T_EMP[START DATE],ROW($B34)-ROW($B$8)),"NE",IF(AND(INDEX(T_EMP[TERMINATION DATE],ROW($B34)-ROW($B$8))&gt;0,AG$8&gt;INDEX(T_EMP[TERMINATION DATE],ROW($B34)-ROW($B$8))),"NE",IF(NOT(ISERROR(MATCH(AG$8,L_HOLS,0))),"H",IF(INDEX(L_WKNDVAL,WEEKDAY(AG$8,1))=1,"WKND",INDEX(T_LEAVE[LEAVE CODE],SUMPRODUCT(--(T_LEAVE[NAME]=$B34),--(T_LEAVE[DATE]&lt;=AG$8),--(T_LEAVE[DATE]&gt;=AG$8),ROW(T_LEAVE[LEAVE CODE]))-ROW(T_LEAVE[#Headers]))))))),"")</f>
        <v/>
      </c>
      <c r="AH34" s="75" t="str">
        <f>IFERROR(IF(AH$8="","NA",IF(AH$8&lt;INDEX(T_EMP[START DATE],ROW($B34)-ROW($B$8)),"NE",IF(AND(INDEX(T_EMP[TERMINATION DATE],ROW($B34)-ROW($B$8))&gt;0,AH$8&gt;INDEX(T_EMP[TERMINATION DATE],ROW($B34)-ROW($B$8))),"NE",IF(NOT(ISERROR(MATCH(AH$8,L_HOLS,0))),"H",IF(INDEX(L_WKNDVAL,WEEKDAY(AH$8,1))=1,"WKND",INDEX(T_LEAVE[LEAVE CODE],SUMPRODUCT(--(T_LEAVE[NAME]=$B34),--(T_LEAVE[DATE]&lt;=AH$8),--(T_LEAVE[DATE]&gt;=AH$8),ROW(T_LEAVE[LEAVE CODE]))-ROW(T_LEAVE[#Headers]))))))),"")</f>
        <v/>
      </c>
      <c r="AJ34" s="88">
        <f>IF(OR($B34="",AJ$8=""),"",COUNTIFS($D34:$AH34,AJ$8)*INDEX(T_LEAVETYPE[DAY VALUE],1))</f>
        <v>0</v>
      </c>
      <c r="AK34" s="88">
        <f>IF(OR($B34="",AK$8=""),"",COUNTIFS($D34:$AH34,AK$8)*INDEX(T_LEAVETYPE[DAY VALUE],2))</f>
        <v>0</v>
      </c>
      <c r="AL34" s="88">
        <f>IF(OR($B34="",AL$8=""),"",COUNTIFS($D34:$AH34,AL$8)*INDEX(T_LEAVETYPE[DAY VALUE],3))</f>
        <v>0</v>
      </c>
      <c r="AM34" s="88">
        <f>IF(OR($B34="",AM$8=""),"",COUNTIFS($D34:$AH34,AM$8)*INDEX(T_LEAVETYPE[DAY VALUE],4))</f>
        <v>0</v>
      </c>
      <c r="AN34" s="88">
        <f>IF(OR($B34="",AN$8=""),"",COUNTIFS($D34:$AH34,AN$8)*INDEX(T_LEAVETYPE[DAY VALUE],5))</f>
        <v>0</v>
      </c>
      <c r="AO34" s="88">
        <f>IF(OR($B34="",AO$8=""),"",COUNTIFS($D34:$AH34,AO$8)*INDEX(T_LEAVETYPE[DAY VALUE],6))</f>
        <v>0</v>
      </c>
      <c r="AP34" s="88">
        <f>IF(OR($B34="",AP$8=""),"",COUNTIFS($D34:$AH34,AP$8)*INDEX(T_LEAVETYPE[DAY VALUE],7))</f>
        <v>0</v>
      </c>
      <c r="AQ34" s="88">
        <f>IF(OR($B34="",AQ$8=""),"",COUNTIFS($D34:$AH34,AQ$8)*INDEX(T_LEAVETYPE[DAY VALUE],8))</f>
        <v>0</v>
      </c>
      <c r="AR34" s="89">
        <f t="shared" si="3"/>
        <v>0</v>
      </c>
    </row>
    <row r="35" spans="1:44" x14ac:dyDescent="0.25">
      <c r="A35" s="90">
        <f t="shared" si="4"/>
        <v>27</v>
      </c>
      <c r="B35" s="74" t="str">
        <f>IFERROR(INDEX(T_EMP[NAME],ROW(B35)-ROW($B$8)),"")</f>
        <v>CHUA, BERNARD</v>
      </c>
      <c r="C35" s="91" t="str">
        <f>IFERROR(INDEX(T_EMP[DEPARTMENT],ROW(B35)-ROW($C$8)),"")</f>
        <v>IB SUPPORT</v>
      </c>
      <c r="D35" s="75" t="str">
        <f>IFERROR(IF(D$8="","NA",IF(D$8&lt;INDEX(T_EMP[START DATE],ROW($B35)-ROW($B$8)),"NE",IF(AND(INDEX(T_EMP[TERMINATION DATE],ROW($B35)-ROW($B$8))&gt;0,D$8&gt;INDEX(T_EMP[TERMINATION DATE],ROW($B35)-ROW($B$8))),"NE",IF(NOT(ISERROR(MATCH(D$8,L_HOLS,0))),"H",IF(INDEX(L_WKNDVAL,WEEKDAY(D$8,1))=1,"WKND",INDEX(T_LEAVE[LEAVE CODE],SUMPRODUCT(--(T_LEAVE[NAME]=$B35),--(T_LEAVE[DATE]&lt;=D$8),--(T_LEAVE[DATE]&gt;=D$8),ROW(T_LEAVE[LEAVE CODE]))-ROW(T_LEAVE[#Headers]))))))),"")</f>
        <v>H</v>
      </c>
      <c r="E35" s="75" t="str">
        <f>IFERROR(IF(E$8="","NA",IF(E$8&lt;INDEX(T_EMP[START DATE],ROW($B35)-ROW($B$8)),"NE",IF(AND(INDEX(T_EMP[TERMINATION DATE],ROW($B35)-ROW($B$8))&gt;0,E$8&gt;INDEX(T_EMP[TERMINATION DATE],ROW($B35)-ROW($B$8))),"NE",IF(NOT(ISERROR(MATCH(E$8,L_HOLS,0))),"H",IF(INDEX(L_WKNDVAL,WEEKDAY(E$8,1))=1,"WKND",INDEX(T_LEAVE[LEAVE CODE],SUMPRODUCT(--(T_LEAVE[NAME]=$B35),--(T_LEAVE[DATE]&lt;=E$8),--(T_LEAVE[DATE]&gt;=E$8),ROW(T_LEAVE[LEAVE CODE]))-ROW(T_LEAVE[#Headers]))))))),"")</f>
        <v/>
      </c>
      <c r="F35" s="75" t="str">
        <f>IFERROR(IF(F$8="","NA",IF(F$8&lt;INDEX(T_EMP[START DATE],ROW($B35)-ROW($B$8)),"NE",IF(AND(INDEX(T_EMP[TERMINATION DATE],ROW($B35)-ROW($B$8))&gt;0,F$8&gt;INDEX(T_EMP[TERMINATION DATE],ROW($B35)-ROW($B$8))),"NE",IF(NOT(ISERROR(MATCH(F$8,L_HOLS,0))),"H",IF(INDEX(L_WKNDVAL,WEEKDAY(F$8,1))=1,"WKND",INDEX(T_LEAVE[LEAVE CODE],SUMPRODUCT(--(T_LEAVE[NAME]=$B35),--(T_LEAVE[DATE]&lt;=F$8),--(T_LEAVE[DATE]&gt;=F$8),ROW(T_LEAVE[LEAVE CODE]))-ROW(T_LEAVE[#Headers]))))))),"")</f>
        <v/>
      </c>
      <c r="G35" s="75" t="str">
        <f>IFERROR(IF(G$8="","NA",IF(G$8&lt;INDEX(T_EMP[START DATE],ROW($B35)-ROW($B$8)),"NE",IF(AND(INDEX(T_EMP[TERMINATION DATE],ROW($B35)-ROW($B$8))&gt;0,G$8&gt;INDEX(T_EMP[TERMINATION DATE],ROW($B35)-ROW($B$8))),"NE",IF(NOT(ISERROR(MATCH(G$8,L_HOLS,0))),"H",IF(INDEX(L_WKNDVAL,WEEKDAY(G$8,1))=1,"WKND",INDEX(T_LEAVE[LEAVE CODE],SUMPRODUCT(--(T_LEAVE[NAME]=$B35),--(T_LEAVE[DATE]&lt;=G$8),--(T_LEAVE[DATE]&gt;=G$8),ROW(T_LEAVE[LEAVE CODE]))-ROW(T_LEAVE[#Headers]))))))),"")</f>
        <v/>
      </c>
      <c r="H35" s="75" t="str">
        <f>IFERROR(IF(H$8="","NA",IF(H$8&lt;INDEX(T_EMP[START DATE],ROW($B35)-ROW($B$8)),"NE",IF(AND(INDEX(T_EMP[TERMINATION DATE],ROW($B35)-ROW($B$8))&gt;0,H$8&gt;INDEX(T_EMP[TERMINATION DATE],ROW($B35)-ROW($B$8))),"NE",IF(NOT(ISERROR(MATCH(H$8,L_HOLS,0))),"H",IF(INDEX(L_WKNDVAL,WEEKDAY(H$8,1))=1,"WKND",INDEX(T_LEAVE[LEAVE CODE],SUMPRODUCT(--(T_LEAVE[NAME]=$B35),--(T_LEAVE[DATE]&lt;=H$8),--(T_LEAVE[DATE]&gt;=H$8),ROW(T_LEAVE[LEAVE CODE]))-ROW(T_LEAVE[#Headers]))))))),"")</f>
        <v/>
      </c>
      <c r="I35" s="75" t="str">
        <f>IFERROR(IF(I$8="","NA",IF(I$8&lt;INDEX(T_EMP[START DATE],ROW($B35)-ROW($B$8)),"NE",IF(AND(INDEX(T_EMP[TERMINATION DATE],ROW($B35)-ROW($B$8))&gt;0,I$8&gt;INDEX(T_EMP[TERMINATION DATE],ROW($B35)-ROW($B$8))),"NE",IF(NOT(ISERROR(MATCH(I$8,L_HOLS,0))),"H",IF(INDEX(L_WKNDVAL,WEEKDAY(I$8,1))=1,"WKND",INDEX(T_LEAVE[LEAVE CODE],SUMPRODUCT(--(T_LEAVE[NAME]=$B35),--(T_LEAVE[DATE]&lt;=I$8),--(T_LEAVE[DATE]&gt;=I$8),ROW(T_LEAVE[LEAVE CODE]))-ROW(T_LEAVE[#Headers]))))))),"")</f>
        <v/>
      </c>
      <c r="J35" s="75" t="str">
        <f>IFERROR(IF(J$8="","NA",IF(J$8&lt;INDEX(T_EMP[START DATE],ROW($B35)-ROW($B$8)),"NE",IF(AND(INDEX(T_EMP[TERMINATION DATE],ROW($B35)-ROW($B$8))&gt;0,J$8&gt;INDEX(T_EMP[TERMINATION DATE],ROW($B35)-ROW($B$8))),"NE",IF(NOT(ISERROR(MATCH(J$8,L_HOLS,0))),"H",IF(INDEX(L_WKNDVAL,WEEKDAY(J$8,1))=1,"WKND",INDEX(T_LEAVE[LEAVE CODE],SUMPRODUCT(--(T_LEAVE[NAME]=$B35),--(T_LEAVE[DATE]&lt;=J$8),--(T_LEAVE[DATE]&gt;=J$8),ROW(T_LEAVE[LEAVE CODE]))-ROW(T_LEAVE[#Headers]))))))),"")</f>
        <v/>
      </c>
      <c r="K35" s="75" t="str">
        <f>IFERROR(IF(K$8="","NA",IF(K$8&lt;INDEX(T_EMP[START DATE],ROW($B35)-ROW($B$8)),"NE",IF(AND(INDEX(T_EMP[TERMINATION DATE],ROW($B35)-ROW($B$8))&gt;0,K$8&gt;INDEX(T_EMP[TERMINATION DATE],ROW($B35)-ROW($B$8))),"NE",IF(NOT(ISERROR(MATCH(K$8,L_HOLS,0))),"H",IF(INDEX(L_WKNDVAL,WEEKDAY(K$8,1))=1,"WKND",INDEX(T_LEAVE[LEAVE CODE],SUMPRODUCT(--(T_LEAVE[NAME]=$B35),--(T_LEAVE[DATE]&lt;=K$8),--(T_LEAVE[DATE]&gt;=K$8),ROW(T_LEAVE[LEAVE CODE]))-ROW(T_LEAVE[#Headers]))))))),"")</f>
        <v/>
      </c>
      <c r="L35" s="75" t="str">
        <f>IFERROR(IF(L$8="","NA",IF(L$8&lt;INDEX(T_EMP[START DATE],ROW($B35)-ROW($B$8)),"NE",IF(AND(INDEX(T_EMP[TERMINATION DATE],ROW($B35)-ROW($B$8))&gt;0,L$8&gt;INDEX(T_EMP[TERMINATION DATE],ROW($B35)-ROW($B$8))),"NE",IF(NOT(ISERROR(MATCH(L$8,L_HOLS,0))),"H",IF(INDEX(L_WKNDVAL,WEEKDAY(L$8,1))=1,"WKND",INDEX(T_LEAVE[LEAVE CODE],SUMPRODUCT(--(T_LEAVE[NAME]=$B35),--(T_LEAVE[DATE]&lt;=L$8),--(T_LEAVE[DATE]&gt;=L$8),ROW(T_LEAVE[LEAVE CODE]))-ROW(T_LEAVE[#Headers]))))))),"")</f>
        <v/>
      </c>
      <c r="M35" s="75" t="str">
        <f>IFERROR(IF(M$8="","NA",IF(M$8&lt;INDEX(T_EMP[START DATE],ROW($B35)-ROW($B$8)),"NE",IF(AND(INDEX(T_EMP[TERMINATION DATE],ROW($B35)-ROW($B$8))&gt;0,M$8&gt;INDEX(T_EMP[TERMINATION DATE],ROW($B35)-ROW($B$8))),"NE",IF(NOT(ISERROR(MATCH(M$8,L_HOLS,0))),"H",IF(INDEX(L_WKNDVAL,WEEKDAY(M$8,1))=1,"WKND",INDEX(T_LEAVE[LEAVE CODE],SUMPRODUCT(--(T_LEAVE[NAME]=$B35),--(T_LEAVE[DATE]&lt;=M$8),--(T_LEAVE[DATE]&gt;=M$8),ROW(T_LEAVE[LEAVE CODE]))-ROW(T_LEAVE[#Headers]))))))),"")</f>
        <v/>
      </c>
      <c r="N35" s="75" t="str">
        <f>IFERROR(IF(N$8="","NA",IF(N$8&lt;INDEX(T_EMP[START DATE],ROW($B35)-ROW($B$8)),"NE",IF(AND(INDEX(T_EMP[TERMINATION DATE],ROW($B35)-ROW($B$8))&gt;0,N$8&gt;INDEX(T_EMP[TERMINATION DATE],ROW($B35)-ROW($B$8))),"NE",IF(NOT(ISERROR(MATCH(N$8,L_HOLS,0))),"H",IF(INDEX(L_WKNDVAL,WEEKDAY(N$8,1))=1,"WKND",INDEX(T_LEAVE[LEAVE CODE],SUMPRODUCT(--(T_LEAVE[NAME]=$B35),--(T_LEAVE[DATE]&lt;=N$8),--(T_LEAVE[DATE]&gt;=N$8),ROW(T_LEAVE[LEAVE CODE]))-ROW(T_LEAVE[#Headers]))))))),"")</f>
        <v/>
      </c>
      <c r="O35" s="75" t="str">
        <f>IFERROR(IF(O$8="","NA",IF(O$8&lt;INDEX(T_EMP[START DATE],ROW($B35)-ROW($B$8)),"NE",IF(AND(INDEX(T_EMP[TERMINATION DATE],ROW($B35)-ROW($B$8))&gt;0,O$8&gt;INDEX(T_EMP[TERMINATION DATE],ROW($B35)-ROW($B$8))),"NE",IF(NOT(ISERROR(MATCH(O$8,L_HOLS,0))),"H",IF(INDEX(L_WKNDVAL,WEEKDAY(O$8,1))=1,"WKND",INDEX(T_LEAVE[LEAVE CODE],SUMPRODUCT(--(T_LEAVE[NAME]=$B35),--(T_LEAVE[DATE]&lt;=O$8),--(T_LEAVE[DATE]&gt;=O$8),ROW(T_LEAVE[LEAVE CODE]))-ROW(T_LEAVE[#Headers]))))))),"")</f>
        <v/>
      </c>
      <c r="P35" s="75" t="str">
        <f>IFERROR(IF(P$8="","NA",IF(P$8&lt;INDEX(T_EMP[START DATE],ROW($B35)-ROW($B$8)),"NE",IF(AND(INDEX(T_EMP[TERMINATION DATE],ROW($B35)-ROW($B$8))&gt;0,P$8&gt;INDEX(T_EMP[TERMINATION DATE],ROW($B35)-ROW($B$8))),"NE",IF(NOT(ISERROR(MATCH(P$8,L_HOLS,0))),"H",IF(INDEX(L_WKNDVAL,WEEKDAY(P$8,1))=1,"WKND",INDEX(T_LEAVE[LEAVE CODE],SUMPRODUCT(--(T_LEAVE[NAME]=$B35),--(T_LEAVE[DATE]&lt;=P$8),--(T_LEAVE[DATE]&gt;=P$8),ROW(T_LEAVE[LEAVE CODE]))-ROW(T_LEAVE[#Headers]))))))),"")</f>
        <v>H</v>
      </c>
      <c r="Q35" s="75" t="str">
        <f>IFERROR(IF(Q$8="","NA",IF(Q$8&lt;INDEX(T_EMP[START DATE],ROW($B35)-ROW($B$8)),"NE",IF(AND(INDEX(T_EMP[TERMINATION DATE],ROW($B35)-ROW($B$8))&gt;0,Q$8&gt;INDEX(T_EMP[TERMINATION DATE],ROW($B35)-ROW($B$8))),"NE",IF(NOT(ISERROR(MATCH(Q$8,L_HOLS,0))),"H",IF(INDEX(L_WKNDVAL,WEEKDAY(Q$8,1))=1,"WKND",INDEX(T_LEAVE[LEAVE CODE],SUMPRODUCT(--(T_LEAVE[NAME]=$B35),--(T_LEAVE[DATE]&lt;=Q$8),--(T_LEAVE[DATE]&gt;=Q$8),ROW(T_LEAVE[LEAVE CODE]))-ROW(T_LEAVE[#Headers]))))))),"")</f>
        <v/>
      </c>
      <c r="R35" s="75" t="str">
        <f>IFERROR(IF(R$8="","NA",IF(R$8&lt;INDEX(T_EMP[START DATE],ROW($B35)-ROW($B$8)),"NE",IF(AND(INDEX(T_EMP[TERMINATION DATE],ROW($B35)-ROW($B$8))&gt;0,R$8&gt;INDEX(T_EMP[TERMINATION DATE],ROW($B35)-ROW($B$8))),"NE",IF(NOT(ISERROR(MATCH(R$8,L_HOLS,0))),"H",IF(INDEX(L_WKNDVAL,WEEKDAY(R$8,1))=1,"WKND",INDEX(T_LEAVE[LEAVE CODE],SUMPRODUCT(--(T_LEAVE[NAME]=$B35),--(T_LEAVE[DATE]&lt;=R$8),--(T_LEAVE[DATE]&gt;=R$8),ROW(T_LEAVE[LEAVE CODE]))-ROW(T_LEAVE[#Headers]))))))),"")</f>
        <v/>
      </c>
      <c r="S35" s="75" t="str">
        <f>IFERROR(IF(S$8="","NA",IF(S$8&lt;INDEX(T_EMP[START DATE],ROW($B35)-ROW($B$8)),"NE",IF(AND(INDEX(T_EMP[TERMINATION DATE],ROW($B35)-ROW($B$8))&gt;0,S$8&gt;INDEX(T_EMP[TERMINATION DATE],ROW($B35)-ROW($B$8))),"NE",IF(NOT(ISERROR(MATCH(S$8,L_HOLS,0))),"H",IF(INDEX(L_WKNDVAL,WEEKDAY(S$8,1))=1,"WKND",INDEX(T_LEAVE[LEAVE CODE],SUMPRODUCT(--(T_LEAVE[NAME]=$B35),--(T_LEAVE[DATE]&lt;=S$8),--(T_LEAVE[DATE]&gt;=S$8),ROW(T_LEAVE[LEAVE CODE]))-ROW(T_LEAVE[#Headers]))))))),"")</f>
        <v/>
      </c>
      <c r="T35" s="75" t="str">
        <f>IFERROR(IF(T$8="","NA",IF(T$8&lt;INDEX(T_EMP[START DATE],ROW($B35)-ROW($B$8)),"NE",IF(AND(INDEX(T_EMP[TERMINATION DATE],ROW($B35)-ROW($B$8))&gt;0,T$8&gt;INDEX(T_EMP[TERMINATION DATE],ROW($B35)-ROW($B$8))),"NE",IF(NOT(ISERROR(MATCH(T$8,L_HOLS,0))),"H",IF(INDEX(L_WKNDVAL,WEEKDAY(T$8,1))=1,"WKND",INDEX(T_LEAVE[LEAVE CODE],SUMPRODUCT(--(T_LEAVE[NAME]=$B35),--(T_LEAVE[DATE]&lt;=T$8),--(T_LEAVE[DATE]&gt;=T$8),ROW(T_LEAVE[LEAVE CODE]))-ROW(T_LEAVE[#Headers]))))))),"")</f>
        <v/>
      </c>
      <c r="U35" s="75" t="str">
        <f>IFERROR(IF(U$8="","NA",IF(U$8&lt;INDEX(T_EMP[START DATE],ROW($B35)-ROW($B$8)),"NE",IF(AND(INDEX(T_EMP[TERMINATION DATE],ROW($B35)-ROW($B$8))&gt;0,U$8&gt;INDEX(T_EMP[TERMINATION DATE],ROW($B35)-ROW($B$8))),"NE",IF(NOT(ISERROR(MATCH(U$8,L_HOLS,0))),"H",IF(INDEX(L_WKNDVAL,WEEKDAY(U$8,1))=1,"WKND",INDEX(T_LEAVE[LEAVE CODE],SUMPRODUCT(--(T_LEAVE[NAME]=$B35),--(T_LEAVE[DATE]&lt;=U$8),--(T_LEAVE[DATE]&gt;=U$8),ROW(T_LEAVE[LEAVE CODE]))-ROW(T_LEAVE[#Headers]))))))),"")</f>
        <v/>
      </c>
      <c r="V35" s="75" t="str">
        <f>IFERROR(IF(V$8="","NA",IF(V$8&lt;INDEX(T_EMP[START DATE],ROW($B35)-ROW($B$8)),"NE",IF(AND(INDEX(T_EMP[TERMINATION DATE],ROW($B35)-ROW($B$8))&gt;0,V$8&gt;INDEX(T_EMP[TERMINATION DATE],ROW($B35)-ROW($B$8))),"NE",IF(NOT(ISERROR(MATCH(V$8,L_HOLS,0))),"H",IF(INDEX(L_WKNDVAL,WEEKDAY(V$8,1))=1,"WKND",INDEX(T_LEAVE[LEAVE CODE],SUMPRODUCT(--(T_LEAVE[NAME]=$B35),--(T_LEAVE[DATE]&lt;=V$8),--(T_LEAVE[DATE]&gt;=V$8),ROW(T_LEAVE[LEAVE CODE]))-ROW(T_LEAVE[#Headers]))))))),"")</f>
        <v/>
      </c>
      <c r="W35" s="75" t="str">
        <f>IFERROR(IF(W$8="","NA",IF(W$8&lt;INDEX(T_EMP[START DATE],ROW($B35)-ROW($B$8)),"NE",IF(AND(INDEX(T_EMP[TERMINATION DATE],ROW($B35)-ROW($B$8))&gt;0,W$8&gt;INDEX(T_EMP[TERMINATION DATE],ROW($B35)-ROW($B$8))),"NE",IF(NOT(ISERROR(MATCH(W$8,L_HOLS,0))),"H",IF(INDEX(L_WKNDVAL,WEEKDAY(W$8,1))=1,"WKND",INDEX(T_LEAVE[LEAVE CODE],SUMPRODUCT(--(T_LEAVE[NAME]=$B35),--(T_LEAVE[DATE]&lt;=W$8),--(T_LEAVE[DATE]&gt;=W$8),ROW(T_LEAVE[LEAVE CODE]))-ROW(T_LEAVE[#Headers]))))))),"")</f>
        <v/>
      </c>
      <c r="X35" s="75" t="str">
        <f>IFERROR(IF(X$8="","NA",IF(X$8&lt;INDEX(T_EMP[START DATE],ROW($B35)-ROW($B$8)),"NE",IF(AND(INDEX(T_EMP[TERMINATION DATE],ROW($B35)-ROW($B$8))&gt;0,X$8&gt;INDEX(T_EMP[TERMINATION DATE],ROW($B35)-ROW($B$8))),"NE",IF(NOT(ISERROR(MATCH(X$8,L_HOLS,0))),"H",IF(INDEX(L_WKNDVAL,WEEKDAY(X$8,1))=1,"WKND",INDEX(T_LEAVE[LEAVE CODE],SUMPRODUCT(--(T_LEAVE[NAME]=$B35),--(T_LEAVE[DATE]&lt;=X$8),--(T_LEAVE[DATE]&gt;=X$8),ROW(T_LEAVE[LEAVE CODE]))-ROW(T_LEAVE[#Headers]))))))),"")</f>
        <v/>
      </c>
      <c r="Y35" s="75" t="str">
        <f>IFERROR(IF(Y$8="","NA",IF(Y$8&lt;INDEX(T_EMP[START DATE],ROW($B35)-ROW($B$8)),"NE",IF(AND(INDEX(T_EMP[TERMINATION DATE],ROW($B35)-ROW($B$8))&gt;0,Y$8&gt;INDEX(T_EMP[TERMINATION DATE],ROW($B35)-ROW($B$8))),"NE",IF(NOT(ISERROR(MATCH(Y$8,L_HOLS,0))),"H",IF(INDEX(L_WKNDVAL,WEEKDAY(Y$8,1))=1,"WKND",INDEX(T_LEAVE[LEAVE CODE],SUMPRODUCT(--(T_LEAVE[NAME]=$B35),--(T_LEAVE[DATE]&lt;=Y$8),--(T_LEAVE[DATE]&gt;=Y$8),ROW(T_LEAVE[LEAVE CODE]))-ROW(T_LEAVE[#Headers]))))))),"")</f>
        <v/>
      </c>
      <c r="Z35" s="75" t="str">
        <f>IFERROR(IF(Z$8="","NA",IF(Z$8&lt;INDEX(T_EMP[START DATE],ROW($B35)-ROW($B$8)),"NE",IF(AND(INDEX(T_EMP[TERMINATION DATE],ROW($B35)-ROW($B$8))&gt;0,Z$8&gt;INDEX(T_EMP[TERMINATION DATE],ROW($B35)-ROW($B$8))),"NE",IF(NOT(ISERROR(MATCH(Z$8,L_HOLS,0))),"H",IF(INDEX(L_WKNDVAL,WEEKDAY(Z$8,1))=1,"WKND",INDEX(T_LEAVE[LEAVE CODE],SUMPRODUCT(--(T_LEAVE[NAME]=$B35),--(T_LEAVE[DATE]&lt;=Z$8),--(T_LEAVE[DATE]&gt;=Z$8),ROW(T_LEAVE[LEAVE CODE]))-ROW(T_LEAVE[#Headers]))))))),"")</f>
        <v/>
      </c>
      <c r="AA35" s="75" t="str">
        <f>IFERROR(IF(AA$8="","NA",IF(AA$8&lt;INDEX(T_EMP[START DATE],ROW($B35)-ROW($B$8)),"NE",IF(AND(INDEX(T_EMP[TERMINATION DATE],ROW($B35)-ROW($B$8))&gt;0,AA$8&gt;INDEX(T_EMP[TERMINATION DATE],ROW($B35)-ROW($B$8))),"NE",IF(NOT(ISERROR(MATCH(AA$8,L_HOLS,0))),"H",IF(INDEX(L_WKNDVAL,WEEKDAY(AA$8,1))=1,"WKND",INDEX(T_LEAVE[LEAVE CODE],SUMPRODUCT(--(T_LEAVE[NAME]=$B35),--(T_LEAVE[DATE]&lt;=AA$8),--(T_LEAVE[DATE]&gt;=AA$8),ROW(T_LEAVE[LEAVE CODE]))-ROW(T_LEAVE[#Headers]))))))),"")</f>
        <v/>
      </c>
      <c r="AB35" s="75" t="str">
        <f>IFERROR(IF(AB$8="","NA",IF(AB$8&lt;INDEX(T_EMP[START DATE],ROW($B35)-ROW($B$8)),"NE",IF(AND(INDEX(T_EMP[TERMINATION DATE],ROW($B35)-ROW($B$8))&gt;0,AB$8&gt;INDEX(T_EMP[TERMINATION DATE],ROW($B35)-ROW($B$8))),"NE",IF(NOT(ISERROR(MATCH(AB$8,L_HOLS,0))),"H",IF(INDEX(L_WKNDVAL,WEEKDAY(AB$8,1))=1,"WKND",INDEX(T_LEAVE[LEAVE CODE],SUMPRODUCT(--(T_LEAVE[NAME]=$B35),--(T_LEAVE[DATE]&lt;=AB$8),--(T_LEAVE[DATE]&gt;=AB$8),ROW(T_LEAVE[LEAVE CODE]))-ROW(T_LEAVE[#Headers]))))))),"")</f>
        <v/>
      </c>
      <c r="AC35" s="75" t="str">
        <f>IFERROR(IF(AC$8="","NA",IF(AC$8&lt;INDEX(T_EMP[START DATE],ROW($B35)-ROW($B$8)),"NE",IF(AND(INDEX(T_EMP[TERMINATION DATE],ROW($B35)-ROW($B$8))&gt;0,AC$8&gt;INDEX(T_EMP[TERMINATION DATE],ROW($B35)-ROW($B$8))),"NE",IF(NOT(ISERROR(MATCH(AC$8,L_HOLS,0))),"H",IF(INDEX(L_WKNDVAL,WEEKDAY(AC$8,1))=1,"WKND",INDEX(T_LEAVE[LEAVE CODE],SUMPRODUCT(--(T_LEAVE[NAME]=$B35),--(T_LEAVE[DATE]&lt;=AC$8),--(T_LEAVE[DATE]&gt;=AC$8),ROW(T_LEAVE[LEAVE CODE]))-ROW(T_LEAVE[#Headers]))))))),"")</f>
        <v/>
      </c>
      <c r="AD35" s="75" t="str">
        <f>IFERROR(IF(AD$8="","NA",IF(AD$8&lt;INDEX(T_EMP[START DATE],ROW($B35)-ROW($B$8)),"NE",IF(AND(INDEX(T_EMP[TERMINATION DATE],ROW($B35)-ROW($B$8))&gt;0,AD$8&gt;INDEX(T_EMP[TERMINATION DATE],ROW($B35)-ROW($B$8))),"NE",IF(NOT(ISERROR(MATCH(AD$8,L_HOLS,0))),"H",IF(INDEX(L_WKNDVAL,WEEKDAY(AD$8,1))=1,"WKND",INDEX(T_LEAVE[LEAVE CODE],SUMPRODUCT(--(T_LEAVE[NAME]=$B35),--(T_LEAVE[DATE]&lt;=AD$8),--(T_LEAVE[DATE]&gt;=AD$8),ROW(T_LEAVE[LEAVE CODE]))-ROW(T_LEAVE[#Headers]))))))),"")</f>
        <v/>
      </c>
      <c r="AE35" s="75" t="str">
        <f>IFERROR(IF(AE$8="","NA",IF(AE$8&lt;INDEX(T_EMP[START DATE],ROW($B35)-ROW($B$8)),"NE",IF(AND(INDEX(T_EMP[TERMINATION DATE],ROW($B35)-ROW($B$8))&gt;0,AE$8&gt;INDEX(T_EMP[TERMINATION DATE],ROW($B35)-ROW($B$8))),"NE",IF(NOT(ISERROR(MATCH(AE$8,L_HOLS,0))),"H",IF(INDEX(L_WKNDVAL,WEEKDAY(AE$8,1))=1,"WKND",INDEX(T_LEAVE[LEAVE CODE],SUMPRODUCT(--(T_LEAVE[NAME]=$B35),--(T_LEAVE[DATE]&lt;=AE$8),--(T_LEAVE[DATE]&gt;=AE$8),ROW(T_LEAVE[LEAVE CODE]))-ROW(T_LEAVE[#Headers]))))))),"")</f>
        <v/>
      </c>
      <c r="AF35" s="75" t="str">
        <f>IFERROR(IF(AF$8="","NA",IF(AF$8&lt;INDEX(T_EMP[START DATE],ROW($B35)-ROW($B$8)),"NE",IF(AND(INDEX(T_EMP[TERMINATION DATE],ROW($B35)-ROW($B$8))&gt;0,AF$8&gt;INDEX(T_EMP[TERMINATION DATE],ROW($B35)-ROW($B$8))),"NE",IF(NOT(ISERROR(MATCH(AF$8,L_HOLS,0))),"H",IF(INDEX(L_WKNDVAL,WEEKDAY(AF$8,1))=1,"WKND",INDEX(T_LEAVE[LEAVE CODE],SUMPRODUCT(--(T_LEAVE[NAME]=$B35),--(T_LEAVE[DATE]&lt;=AF$8),--(T_LEAVE[DATE]&gt;=AF$8),ROW(T_LEAVE[LEAVE CODE]))-ROW(T_LEAVE[#Headers]))))))),"")</f>
        <v/>
      </c>
      <c r="AG35" s="75" t="str">
        <f>IFERROR(IF(AG$8="","NA",IF(AG$8&lt;INDEX(T_EMP[START DATE],ROW($B35)-ROW($B$8)),"NE",IF(AND(INDEX(T_EMP[TERMINATION DATE],ROW($B35)-ROW($B$8))&gt;0,AG$8&gt;INDEX(T_EMP[TERMINATION DATE],ROW($B35)-ROW($B$8))),"NE",IF(NOT(ISERROR(MATCH(AG$8,L_HOLS,0))),"H",IF(INDEX(L_WKNDVAL,WEEKDAY(AG$8,1))=1,"WKND",INDEX(T_LEAVE[LEAVE CODE],SUMPRODUCT(--(T_LEAVE[NAME]=$B35),--(T_LEAVE[DATE]&lt;=AG$8),--(T_LEAVE[DATE]&gt;=AG$8),ROW(T_LEAVE[LEAVE CODE]))-ROW(T_LEAVE[#Headers]))))))),"")</f>
        <v/>
      </c>
      <c r="AH35" s="75" t="str">
        <f>IFERROR(IF(AH$8="","NA",IF(AH$8&lt;INDEX(T_EMP[START DATE],ROW($B35)-ROW($B$8)),"NE",IF(AND(INDEX(T_EMP[TERMINATION DATE],ROW($B35)-ROW($B$8))&gt;0,AH$8&gt;INDEX(T_EMP[TERMINATION DATE],ROW($B35)-ROW($B$8))),"NE",IF(NOT(ISERROR(MATCH(AH$8,L_HOLS,0))),"H",IF(INDEX(L_WKNDVAL,WEEKDAY(AH$8,1))=1,"WKND",INDEX(T_LEAVE[LEAVE CODE],SUMPRODUCT(--(T_LEAVE[NAME]=$B35),--(T_LEAVE[DATE]&lt;=AH$8),--(T_LEAVE[DATE]&gt;=AH$8),ROW(T_LEAVE[LEAVE CODE]))-ROW(T_LEAVE[#Headers]))))))),"")</f>
        <v/>
      </c>
      <c r="AJ35" s="88">
        <f>IF(OR($B35="",AJ$8=""),"",COUNTIFS($D35:$AH35,AJ$8)*INDEX(T_LEAVETYPE[DAY VALUE],1))</f>
        <v>0</v>
      </c>
      <c r="AK35" s="88">
        <f>IF(OR($B35="",AK$8=""),"",COUNTIFS($D35:$AH35,AK$8)*INDEX(T_LEAVETYPE[DAY VALUE],2))</f>
        <v>0</v>
      </c>
      <c r="AL35" s="88">
        <f>IF(OR($B35="",AL$8=""),"",COUNTIFS($D35:$AH35,AL$8)*INDEX(T_LEAVETYPE[DAY VALUE],3))</f>
        <v>0</v>
      </c>
      <c r="AM35" s="88">
        <f>IF(OR($B35="",AM$8=""),"",COUNTIFS($D35:$AH35,AM$8)*INDEX(T_LEAVETYPE[DAY VALUE],4))</f>
        <v>0</v>
      </c>
      <c r="AN35" s="88">
        <f>IF(OR($B35="",AN$8=""),"",COUNTIFS($D35:$AH35,AN$8)*INDEX(T_LEAVETYPE[DAY VALUE],5))</f>
        <v>0</v>
      </c>
      <c r="AO35" s="88">
        <f>IF(OR($B35="",AO$8=""),"",COUNTIFS($D35:$AH35,AO$8)*INDEX(T_LEAVETYPE[DAY VALUE],6))</f>
        <v>0</v>
      </c>
      <c r="AP35" s="88">
        <f>IF(OR($B35="",AP$8=""),"",COUNTIFS($D35:$AH35,AP$8)*INDEX(T_LEAVETYPE[DAY VALUE],7))</f>
        <v>0</v>
      </c>
      <c r="AQ35" s="88">
        <f>IF(OR($B35="",AQ$8=""),"",COUNTIFS($D35:$AH35,AQ$8)*INDEX(T_LEAVETYPE[DAY VALUE],8))</f>
        <v>0</v>
      </c>
      <c r="AR35" s="89">
        <f t="shared" si="3"/>
        <v>0</v>
      </c>
    </row>
    <row r="36" spans="1:44" x14ac:dyDescent="0.25">
      <c r="A36" s="90">
        <f t="shared" si="4"/>
        <v>28</v>
      </c>
      <c r="B36" s="74" t="str">
        <f>IFERROR(INDEX(T_EMP[NAME],ROW(B36)-ROW($B$8)),"")</f>
        <v>CALIXTRO, MARIA ISABEL</v>
      </c>
      <c r="C36" s="91" t="str">
        <f>IFERROR(INDEX(T_EMP[DEPARTMENT],ROW(B36)-ROW($C$8)),"")</f>
        <v>IB SUPPORT</v>
      </c>
      <c r="D36" s="75" t="str">
        <f>IFERROR(IF(D$8="","NA",IF(D$8&lt;INDEX(T_EMP[START DATE],ROW($B36)-ROW($B$8)),"NE",IF(AND(INDEX(T_EMP[TERMINATION DATE],ROW($B36)-ROW($B$8))&gt;0,D$8&gt;INDEX(T_EMP[TERMINATION DATE],ROW($B36)-ROW($B$8))),"NE",IF(NOT(ISERROR(MATCH(D$8,L_HOLS,0))),"H",IF(INDEX(L_WKNDVAL,WEEKDAY(D$8,1))=1,"WKND",INDEX(T_LEAVE[LEAVE CODE],SUMPRODUCT(--(T_LEAVE[NAME]=$B36),--(T_LEAVE[DATE]&lt;=D$8),--(T_LEAVE[DATE]&gt;=D$8),ROW(T_LEAVE[LEAVE CODE]))-ROW(T_LEAVE[#Headers]))))))),"")</f>
        <v>H</v>
      </c>
      <c r="E36" s="75" t="str">
        <f>IFERROR(IF(E$8="","NA",IF(E$8&lt;INDEX(T_EMP[START DATE],ROW($B36)-ROW($B$8)),"NE",IF(AND(INDEX(T_EMP[TERMINATION DATE],ROW($B36)-ROW($B$8))&gt;0,E$8&gt;INDEX(T_EMP[TERMINATION DATE],ROW($B36)-ROW($B$8))),"NE",IF(NOT(ISERROR(MATCH(E$8,L_HOLS,0))),"H",IF(INDEX(L_WKNDVAL,WEEKDAY(E$8,1))=1,"WKND",INDEX(T_LEAVE[LEAVE CODE],SUMPRODUCT(--(T_LEAVE[NAME]=$B36),--(T_LEAVE[DATE]&lt;=E$8),--(T_LEAVE[DATE]&gt;=E$8),ROW(T_LEAVE[LEAVE CODE]))-ROW(T_LEAVE[#Headers]))))))),"")</f>
        <v/>
      </c>
      <c r="F36" s="75" t="str">
        <f>IFERROR(IF(F$8="","NA",IF(F$8&lt;INDEX(T_EMP[START DATE],ROW($B36)-ROW($B$8)),"NE",IF(AND(INDEX(T_EMP[TERMINATION DATE],ROW($B36)-ROW($B$8))&gt;0,F$8&gt;INDEX(T_EMP[TERMINATION DATE],ROW($B36)-ROW($B$8))),"NE",IF(NOT(ISERROR(MATCH(F$8,L_HOLS,0))),"H",IF(INDEX(L_WKNDVAL,WEEKDAY(F$8,1))=1,"WKND",INDEX(T_LEAVE[LEAVE CODE],SUMPRODUCT(--(T_LEAVE[NAME]=$B36),--(T_LEAVE[DATE]&lt;=F$8),--(T_LEAVE[DATE]&gt;=F$8),ROW(T_LEAVE[LEAVE CODE]))-ROW(T_LEAVE[#Headers]))))))),"")</f>
        <v/>
      </c>
      <c r="G36" s="75" t="str">
        <f>IFERROR(IF(G$8="","NA",IF(G$8&lt;INDEX(T_EMP[START DATE],ROW($B36)-ROW($B$8)),"NE",IF(AND(INDEX(T_EMP[TERMINATION DATE],ROW($B36)-ROW($B$8))&gt;0,G$8&gt;INDEX(T_EMP[TERMINATION DATE],ROW($B36)-ROW($B$8))),"NE",IF(NOT(ISERROR(MATCH(G$8,L_HOLS,0))),"H",IF(INDEX(L_WKNDVAL,WEEKDAY(G$8,1))=1,"WKND",INDEX(T_LEAVE[LEAVE CODE],SUMPRODUCT(--(T_LEAVE[NAME]=$B36),--(T_LEAVE[DATE]&lt;=G$8),--(T_LEAVE[DATE]&gt;=G$8),ROW(T_LEAVE[LEAVE CODE]))-ROW(T_LEAVE[#Headers]))))))),"")</f>
        <v/>
      </c>
      <c r="H36" s="75" t="str">
        <f>IFERROR(IF(H$8="","NA",IF(H$8&lt;INDEX(T_EMP[START DATE],ROW($B36)-ROW($B$8)),"NE",IF(AND(INDEX(T_EMP[TERMINATION DATE],ROW($B36)-ROW($B$8))&gt;0,H$8&gt;INDEX(T_EMP[TERMINATION DATE],ROW($B36)-ROW($B$8))),"NE",IF(NOT(ISERROR(MATCH(H$8,L_HOLS,0))),"H",IF(INDEX(L_WKNDVAL,WEEKDAY(H$8,1))=1,"WKND",INDEX(T_LEAVE[LEAVE CODE],SUMPRODUCT(--(T_LEAVE[NAME]=$B36),--(T_LEAVE[DATE]&lt;=H$8),--(T_LEAVE[DATE]&gt;=H$8),ROW(T_LEAVE[LEAVE CODE]))-ROW(T_LEAVE[#Headers]))))))),"")</f>
        <v/>
      </c>
      <c r="I36" s="75" t="str">
        <f>IFERROR(IF(I$8="","NA",IF(I$8&lt;INDEX(T_EMP[START DATE],ROW($B36)-ROW($B$8)),"NE",IF(AND(INDEX(T_EMP[TERMINATION DATE],ROW($B36)-ROW($B$8))&gt;0,I$8&gt;INDEX(T_EMP[TERMINATION DATE],ROW($B36)-ROW($B$8))),"NE",IF(NOT(ISERROR(MATCH(I$8,L_HOLS,0))),"H",IF(INDEX(L_WKNDVAL,WEEKDAY(I$8,1))=1,"WKND",INDEX(T_LEAVE[LEAVE CODE],SUMPRODUCT(--(T_LEAVE[NAME]=$B36),--(T_LEAVE[DATE]&lt;=I$8),--(T_LEAVE[DATE]&gt;=I$8),ROW(T_LEAVE[LEAVE CODE]))-ROW(T_LEAVE[#Headers]))))))),"")</f>
        <v/>
      </c>
      <c r="J36" s="75" t="str">
        <f>IFERROR(IF(J$8="","NA",IF(J$8&lt;INDEX(T_EMP[START DATE],ROW($B36)-ROW($B$8)),"NE",IF(AND(INDEX(T_EMP[TERMINATION DATE],ROW($B36)-ROW($B$8))&gt;0,J$8&gt;INDEX(T_EMP[TERMINATION DATE],ROW($B36)-ROW($B$8))),"NE",IF(NOT(ISERROR(MATCH(J$8,L_HOLS,0))),"H",IF(INDEX(L_WKNDVAL,WEEKDAY(J$8,1))=1,"WKND",INDEX(T_LEAVE[LEAVE CODE],SUMPRODUCT(--(T_LEAVE[NAME]=$B36),--(T_LEAVE[DATE]&lt;=J$8),--(T_LEAVE[DATE]&gt;=J$8),ROW(T_LEAVE[LEAVE CODE]))-ROW(T_LEAVE[#Headers]))))))),"")</f>
        <v/>
      </c>
      <c r="K36" s="75" t="str">
        <f>IFERROR(IF(K$8="","NA",IF(K$8&lt;INDEX(T_EMP[START DATE],ROW($B36)-ROW($B$8)),"NE",IF(AND(INDEX(T_EMP[TERMINATION DATE],ROW($B36)-ROW($B$8))&gt;0,K$8&gt;INDEX(T_EMP[TERMINATION DATE],ROW($B36)-ROW($B$8))),"NE",IF(NOT(ISERROR(MATCH(K$8,L_HOLS,0))),"H",IF(INDEX(L_WKNDVAL,WEEKDAY(K$8,1))=1,"WKND",INDEX(T_LEAVE[LEAVE CODE],SUMPRODUCT(--(T_LEAVE[NAME]=$B36),--(T_LEAVE[DATE]&lt;=K$8),--(T_LEAVE[DATE]&gt;=K$8),ROW(T_LEAVE[LEAVE CODE]))-ROW(T_LEAVE[#Headers]))))))),"")</f>
        <v/>
      </c>
      <c r="L36" s="75" t="str">
        <f>IFERROR(IF(L$8="","NA",IF(L$8&lt;INDEX(T_EMP[START DATE],ROW($B36)-ROW($B$8)),"NE",IF(AND(INDEX(T_EMP[TERMINATION DATE],ROW($B36)-ROW($B$8))&gt;0,L$8&gt;INDEX(T_EMP[TERMINATION DATE],ROW($B36)-ROW($B$8))),"NE",IF(NOT(ISERROR(MATCH(L$8,L_HOLS,0))),"H",IF(INDEX(L_WKNDVAL,WEEKDAY(L$8,1))=1,"WKND",INDEX(T_LEAVE[LEAVE CODE],SUMPRODUCT(--(T_LEAVE[NAME]=$B36),--(T_LEAVE[DATE]&lt;=L$8),--(T_LEAVE[DATE]&gt;=L$8),ROW(T_LEAVE[LEAVE CODE]))-ROW(T_LEAVE[#Headers]))))))),"")</f>
        <v/>
      </c>
      <c r="M36" s="75" t="str">
        <f>IFERROR(IF(M$8="","NA",IF(M$8&lt;INDEX(T_EMP[START DATE],ROW($B36)-ROW($B$8)),"NE",IF(AND(INDEX(T_EMP[TERMINATION DATE],ROW($B36)-ROW($B$8))&gt;0,M$8&gt;INDEX(T_EMP[TERMINATION DATE],ROW($B36)-ROW($B$8))),"NE",IF(NOT(ISERROR(MATCH(M$8,L_HOLS,0))),"H",IF(INDEX(L_WKNDVAL,WEEKDAY(M$8,1))=1,"WKND",INDEX(T_LEAVE[LEAVE CODE],SUMPRODUCT(--(T_LEAVE[NAME]=$B36),--(T_LEAVE[DATE]&lt;=M$8),--(T_LEAVE[DATE]&gt;=M$8),ROW(T_LEAVE[LEAVE CODE]))-ROW(T_LEAVE[#Headers]))))))),"")</f>
        <v/>
      </c>
      <c r="N36" s="75" t="str">
        <f>IFERROR(IF(N$8="","NA",IF(N$8&lt;INDEX(T_EMP[START DATE],ROW($B36)-ROW($B$8)),"NE",IF(AND(INDEX(T_EMP[TERMINATION DATE],ROW($B36)-ROW($B$8))&gt;0,N$8&gt;INDEX(T_EMP[TERMINATION DATE],ROW($B36)-ROW($B$8))),"NE",IF(NOT(ISERROR(MATCH(N$8,L_HOLS,0))),"H",IF(INDEX(L_WKNDVAL,WEEKDAY(N$8,1))=1,"WKND",INDEX(T_LEAVE[LEAVE CODE],SUMPRODUCT(--(T_LEAVE[NAME]=$B36),--(T_LEAVE[DATE]&lt;=N$8),--(T_LEAVE[DATE]&gt;=N$8),ROW(T_LEAVE[LEAVE CODE]))-ROW(T_LEAVE[#Headers]))))))),"")</f>
        <v/>
      </c>
      <c r="O36" s="75" t="str">
        <f>IFERROR(IF(O$8="","NA",IF(O$8&lt;INDEX(T_EMP[START DATE],ROW($B36)-ROW($B$8)),"NE",IF(AND(INDEX(T_EMP[TERMINATION DATE],ROW($B36)-ROW($B$8))&gt;0,O$8&gt;INDEX(T_EMP[TERMINATION DATE],ROW($B36)-ROW($B$8))),"NE",IF(NOT(ISERROR(MATCH(O$8,L_HOLS,0))),"H",IF(INDEX(L_WKNDVAL,WEEKDAY(O$8,1))=1,"WKND",INDEX(T_LEAVE[LEAVE CODE],SUMPRODUCT(--(T_LEAVE[NAME]=$B36),--(T_LEAVE[DATE]&lt;=O$8),--(T_LEAVE[DATE]&gt;=O$8),ROW(T_LEAVE[LEAVE CODE]))-ROW(T_LEAVE[#Headers]))))))),"")</f>
        <v/>
      </c>
      <c r="P36" s="75" t="str">
        <f>IFERROR(IF(P$8="","NA",IF(P$8&lt;INDEX(T_EMP[START DATE],ROW($B36)-ROW($B$8)),"NE",IF(AND(INDEX(T_EMP[TERMINATION DATE],ROW($B36)-ROW($B$8))&gt;0,P$8&gt;INDEX(T_EMP[TERMINATION DATE],ROW($B36)-ROW($B$8))),"NE",IF(NOT(ISERROR(MATCH(P$8,L_HOLS,0))),"H",IF(INDEX(L_WKNDVAL,WEEKDAY(P$8,1))=1,"WKND",INDEX(T_LEAVE[LEAVE CODE],SUMPRODUCT(--(T_LEAVE[NAME]=$B36),--(T_LEAVE[DATE]&lt;=P$8),--(T_LEAVE[DATE]&gt;=P$8),ROW(T_LEAVE[LEAVE CODE]))-ROW(T_LEAVE[#Headers]))))))),"")</f>
        <v>H</v>
      </c>
      <c r="Q36" s="75" t="str">
        <f>IFERROR(IF(Q$8="","NA",IF(Q$8&lt;INDEX(T_EMP[START DATE],ROW($B36)-ROW($B$8)),"NE",IF(AND(INDEX(T_EMP[TERMINATION DATE],ROW($B36)-ROW($B$8))&gt;0,Q$8&gt;INDEX(T_EMP[TERMINATION DATE],ROW($B36)-ROW($B$8))),"NE",IF(NOT(ISERROR(MATCH(Q$8,L_HOLS,0))),"H",IF(INDEX(L_WKNDVAL,WEEKDAY(Q$8,1))=1,"WKND",INDEX(T_LEAVE[LEAVE CODE],SUMPRODUCT(--(T_LEAVE[NAME]=$B36),--(T_LEAVE[DATE]&lt;=Q$8),--(T_LEAVE[DATE]&gt;=Q$8),ROW(T_LEAVE[LEAVE CODE]))-ROW(T_LEAVE[#Headers]))))))),"")</f>
        <v/>
      </c>
      <c r="R36" s="75" t="str">
        <f>IFERROR(IF(R$8="","NA",IF(R$8&lt;INDEX(T_EMP[START DATE],ROW($B36)-ROW($B$8)),"NE",IF(AND(INDEX(T_EMP[TERMINATION DATE],ROW($B36)-ROW($B$8))&gt;0,R$8&gt;INDEX(T_EMP[TERMINATION DATE],ROW($B36)-ROW($B$8))),"NE",IF(NOT(ISERROR(MATCH(R$8,L_HOLS,0))),"H",IF(INDEX(L_WKNDVAL,WEEKDAY(R$8,1))=1,"WKND",INDEX(T_LEAVE[LEAVE CODE],SUMPRODUCT(--(T_LEAVE[NAME]=$B36),--(T_LEAVE[DATE]&lt;=R$8),--(T_LEAVE[DATE]&gt;=R$8),ROW(T_LEAVE[LEAVE CODE]))-ROW(T_LEAVE[#Headers]))))))),"")</f>
        <v/>
      </c>
      <c r="S36" s="75" t="str">
        <f>IFERROR(IF(S$8="","NA",IF(S$8&lt;INDEX(T_EMP[START DATE],ROW($B36)-ROW($B$8)),"NE",IF(AND(INDEX(T_EMP[TERMINATION DATE],ROW($B36)-ROW($B$8))&gt;0,S$8&gt;INDEX(T_EMP[TERMINATION DATE],ROW($B36)-ROW($B$8))),"NE",IF(NOT(ISERROR(MATCH(S$8,L_HOLS,0))),"H",IF(INDEX(L_WKNDVAL,WEEKDAY(S$8,1))=1,"WKND",INDEX(T_LEAVE[LEAVE CODE],SUMPRODUCT(--(T_LEAVE[NAME]=$B36),--(T_LEAVE[DATE]&lt;=S$8),--(T_LEAVE[DATE]&gt;=S$8),ROW(T_LEAVE[LEAVE CODE]))-ROW(T_LEAVE[#Headers]))))))),"")</f>
        <v/>
      </c>
      <c r="T36" s="75" t="str">
        <f>IFERROR(IF(T$8="","NA",IF(T$8&lt;INDEX(T_EMP[START DATE],ROW($B36)-ROW($B$8)),"NE",IF(AND(INDEX(T_EMP[TERMINATION DATE],ROW($B36)-ROW($B$8))&gt;0,T$8&gt;INDEX(T_EMP[TERMINATION DATE],ROW($B36)-ROW($B$8))),"NE",IF(NOT(ISERROR(MATCH(T$8,L_HOLS,0))),"H",IF(INDEX(L_WKNDVAL,WEEKDAY(T$8,1))=1,"WKND",INDEX(T_LEAVE[LEAVE CODE],SUMPRODUCT(--(T_LEAVE[NAME]=$B36),--(T_LEAVE[DATE]&lt;=T$8),--(T_LEAVE[DATE]&gt;=T$8),ROW(T_LEAVE[LEAVE CODE]))-ROW(T_LEAVE[#Headers]))))))),"")</f>
        <v/>
      </c>
      <c r="U36" s="75" t="str">
        <f>IFERROR(IF(U$8="","NA",IF(U$8&lt;INDEX(T_EMP[START DATE],ROW($B36)-ROW($B$8)),"NE",IF(AND(INDEX(T_EMP[TERMINATION DATE],ROW($B36)-ROW($B$8))&gt;0,U$8&gt;INDEX(T_EMP[TERMINATION DATE],ROW($B36)-ROW($B$8))),"NE",IF(NOT(ISERROR(MATCH(U$8,L_HOLS,0))),"H",IF(INDEX(L_WKNDVAL,WEEKDAY(U$8,1))=1,"WKND",INDEX(T_LEAVE[LEAVE CODE],SUMPRODUCT(--(T_LEAVE[NAME]=$B36),--(T_LEAVE[DATE]&lt;=U$8),--(T_LEAVE[DATE]&gt;=U$8),ROW(T_LEAVE[LEAVE CODE]))-ROW(T_LEAVE[#Headers]))))))),"")</f>
        <v/>
      </c>
      <c r="V36" s="75" t="str">
        <f>IFERROR(IF(V$8="","NA",IF(V$8&lt;INDEX(T_EMP[START DATE],ROW($B36)-ROW($B$8)),"NE",IF(AND(INDEX(T_EMP[TERMINATION DATE],ROW($B36)-ROW($B$8))&gt;0,V$8&gt;INDEX(T_EMP[TERMINATION DATE],ROW($B36)-ROW($B$8))),"NE",IF(NOT(ISERROR(MATCH(V$8,L_HOLS,0))),"H",IF(INDEX(L_WKNDVAL,WEEKDAY(V$8,1))=1,"WKND",INDEX(T_LEAVE[LEAVE CODE],SUMPRODUCT(--(T_LEAVE[NAME]=$B36),--(T_LEAVE[DATE]&lt;=V$8),--(T_LEAVE[DATE]&gt;=V$8),ROW(T_LEAVE[LEAVE CODE]))-ROW(T_LEAVE[#Headers]))))))),"")</f>
        <v/>
      </c>
      <c r="W36" s="75" t="str">
        <f>IFERROR(IF(W$8="","NA",IF(W$8&lt;INDEX(T_EMP[START DATE],ROW($B36)-ROW($B$8)),"NE",IF(AND(INDEX(T_EMP[TERMINATION DATE],ROW($B36)-ROW($B$8))&gt;0,W$8&gt;INDEX(T_EMP[TERMINATION DATE],ROW($B36)-ROW($B$8))),"NE",IF(NOT(ISERROR(MATCH(W$8,L_HOLS,0))),"H",IF(INDEX(L_WKNDVAL,WEEKDAY(W$8,1))=1,"WKND",INDEX(T_LEAVE[LEAVE CODE],SUMPRODUCT(--(T_LEAVE[NAME]=$B36),--(T_LEAVE[DATE]&lt;=W$8),--(T_LEAVE[DATE]&gt;=W$8),ROW(T_LEAVE[LEAVE CODE]))-ROW(T_LEAVE[#Headers]))))))),"")</f>
        <v/>
      </c>
      <c r="X36" s="75" t="str">
        <f>IFERROR(IF(X$8="","NA",IF(X$8&lt;INDEX(T_EMP[START DATE],ROW($B36)-ROW($B$8)),"NE",IF(AND(INDEX(T_EMP[TERMINATION DATE],ROW($B36)-ROW($B$8))&gt;0,X$8&gt;INDEX(T_EMP[TERMINATION DATE],ROW($B36)-ROW($B$8))),"NE",IF(NOT(ISERROR(MATCH(X$8,L_HOLS,0))),"H",IF(INDEX(L_WKNDVAL,WEEKDAY(X$8,1))=1,"WKND",INDEX(T_LEAVE[LEAVE CODE],SUMPRODUCT(--(T_LEAVE[NAME]=$B36),--(T_LEAVE[DATE]&lt;=X$8),--(T_LEAVE[DATE]&gt;=X$8),ROW(T_LEAVE[LEAVE CODE]))-ROW(T_LEAVE[#Headers]))))))),"")</f>
        <v/>
      </c>
      <c r="Y36" s="75" t="str">
        <f>IFERROR(IF(Y$8="","NA",IF(Y$8&lt;INDEX(T_EMP[START DATE],ROW($B36)-ROW($B$8)),"NE",IF(AND(INDEX(T_EMP[TERMINATION DATE],ROW($B36)-ROW($B$8))&gt;0,Y$8&gt;INDEX(T_EMP[TERMINATION DATE],ROW($B36)-ROW($B$8))),"NE",IF(NOT(ISERROR(MATCH(Y$8,L_HOLS,0))),"H",IF(INDEX(L_WKNDVAL,WEEKDAY(Y$8,1))=1,"WKND",INDEX(T_LEAVE[LEAVE CODE],SUMPRODUCT(--(T_LEAVE[NAME]=$B36),--(T_LEAVE[DATE]&lt;=Y$8),--(T_LEAVE[DATE]&gt;=Y$8),ROW(T_LEAVE[LEAVE CODE]))-ROW(T_LEAVE[#Headers]))))))),"")</f>
        <v/>
      </c>
      <c r="Z36" s="75" t="str">
        <f>IFERROR(IF(Z$8="","NA",IF(Z$8&lt;INDEX(T_EMP[START DATE],ROW($B36)-ROW($B$8)),"NE",IF(AND(INDEX(T_EMP[TERMINATION DATE],ROW($B36)-ROW($B$8))&gt;0,Z$8&gt;INDEX(T_EMP[TERMINATION DATE],ROW($B36)-ROW($B$8))),"NE",IF(NOT(ISERROR(MATCH(Z$8,L_HOLS,0))),"H",IF(INDEX(L_WKNDVAL,WEEKDAY(Z$8,1))=1,"WKND",INDEX(T_LEAVE[LEAVE CODE],SUMPRODUCT(--(T_LEAVE[NAME]=$B36),--(T_LEAVE[DATE]&lt;=Z$8),--(T_LEAVE[DATE]&gt;=Z$8),ROW(T_LEAVE[LEAVE CODE]))-ROW(T_LEAVE[#Headers]))))))),"")</f>
        <v/>
      </c>
      <c r="AA36" s="75" t="str">
        <f>IFERROR(IF(AA$8="","NA",IF(AA$8&lt;INDEX(T_EMP[START DATE],ROW($B36)-ROW($B$8)),"NE",IF(AND(INDEX(T_EMP[TERMINATION DATE],ROW($B36)-ROW($B$8))&gt;0,AA$8&gt;INDEX(T_EMP[TERMINATION DATE],ROW($B36)-ROW($B$8))),"NE",IF(NOT(ISERROR(MATCH(AA$8,L_HOLS,0))),"H",IF(INDEX(L_WKNDVAL,WEEKDAY(AA$8,1))=1,"WKND",INDEX(T_LEAVE[LEAVE CODE],SUMPRODUCT(--(T_LEAVE[NAME]=$B36),--(T_LEAVE[DATE]&lt;=AA$8),--(T_LEAVE[DATE]&gt;=AA$8),ROW(T_LEAVE[LEAVE CODE]))-ROW(T_LEAVE[#Headers]))))))),"")</f>
        <v/>
      </c>
      <c r="AB36" s="75" t="str">
        <f>IFERROR(IF(AB$8="","NA",IF(AB$8&lt;INDEX(T_EMP[START DATE],ROW($B36)-ROW($B$8)),"NE",IF(AND(INDEX(T_EMP[TERMINATION DATE],ROW($B36)-ROW($B$8))&gt;0,AB$8&gt;INDEX(T_EMP[TERMINATION DATE],ROW($B36)-ROW($B$8))),"NE",IF(NOT(ISERROR(MATCH(AB$8,L_HOLS,0))),"H",IF(INDEX(L_WKNDVAL,WEEKDAY(AB$8,1))=1,"WKND",INDEX(T_LEAVE[LEAVE CODE],SUMPRODUCT(--(T_LEAVE[NAME]=$B36),--(T_LEAVE[DATE]&lt;=AB$8),--(T_LEAVE[DATE]&gt;=AB$8),ROW(T_LEAVE[LEAVE CODE]))-ROW(T_LEAVE[#Headers]))))))),"")</f>
        <v/>
      </c>
      <c r="AC36" s="75" t="str">
        <f>IFERROR(IF(AC$8="","NA",IF(AC$8&lt;INDEX(T_EMP[START DATE],ROW($B36)-ROW($B$8)),"NE",IF(AND(INDEX(T_EMP[TERMINATION DATE],ROW($B36)-ROW($B$8))&gt;0,AC$8&gt;INDEX(T_EMP[TERMINATION DATE],ROW($B36)-ROW($B$8))),"NE",IF(NOT(ISERROR(MATCH(AC$8,L_HOLS,0))),"H",IF(INDEX(L_WKNDVAL,WEEKDAY(AC$8,1))=1,"WKND",INDEX(T_LEAVE[LEAVE CODE],SUMPRODUCT(--(T_LEAVE[NAME]=$B36),--(T_LEAVE[DATE]&lt;=AC$8),--(T_LEAVE[DATE]&gt;=AC$8),ROW(T_LEAVE[LEAVE CODE]))-ROW(T_LEAVE[#Headers]))))))),"")</f>
        <v/>
      </c>
      <c r="AD36" s="75" t="str">
        <f>IFERROR(IF(AD$8="","NA",IF(AD$8&lt;INDEX(T_EMP[START DATE],ROW($B36)-ROW($B$8)),"NE",IF(AND(INDEX(T_EMP[TERMINATION DATE],ROW($B36)-ROW($B$8))&gt;0,AD$8&gt;INDEX(T_EMP[TERMINATION DATE],ROW($B36)-ROW($B$8))),"NE",IF(NOT(ISERROR(MATCH(AD$8,L_HOLS,0))),"H",IF(INDEX(L_WKNDVAL,WEEKDAY(AD$8,1))=1,"WKND",INDEX(T_LEAVE[LEAVE CODE],SUMPRODUCT(--(T_LEAVE[NAME]=$B36),--(T_LEAVE[DATE]&lt;=AD$8),--(T_LEAVE[DATE]&gt;=AD$8),ROW(T_LEAVE[LEAVE CODE]))-ROW(T_LEAVE[#Headers]))))))),"")</f>
        <v/>
      </c>
      <c r="AE36" s="75" t="str">
        <f>IFERROR(IF(AE$8="","NA",IF(AE$8&lt;INDEX(T_EMP[START DATE],ROW($B36)-ROW($B$8)),"NE",IF(AND(INDEX(T_EMP[TERMINATION DATE],ROW($B36)-ROW($B$8))&gt;0,AE$8&gt;INDEX(T_EMP[TERMINATION DATE],ROW($B36)-ROW($B$8))),"NE",IF(NOT(ISERROR(MATCH(AE$8,L_HOLS,0))),"H",IF(INDEX(L_WKNDVAL,WEEKDAY(AE$8,1))=1,"WKND",INDEX(T_LEAVE[LEAVE CODE],SUMPRODUCT(--(T_LEAVE[NAME]=$B36),--(T_LEAVE[DATE]&lt;=AE$8),--(T_LEAVE[DATE]&gt;=AE$8),ROW(T_LEAVE[LEAVE CODE]))-ROW(T_LEAVE[#Headers]))))))),"")</f>
        <v/>
      </c>
      <c r="AF36" s="75" t="str">
        <f>IFERROR(IF(AF$8="","NA",IF(AF$8&lt;INDEX(T_EMP[START DATE],ROW($B36)-ROW($B$8)),"NE",IF(AND(INDEX(T_EMP[TERMINATION DATE],ROW($B36)-ROW($B$8))&gt;0,AF$8&gt;INDEX(T_EMP[TERMINATION DATE],ROW($B36)-ROW($B$8))),"NE",IF(NOT(ISERROR(MATCH(AF$8,L_HOLS,0))),"H",IF(INDEX(L_WKNDVAL,WEEKDAY(AF$8,1))=1,"WKND",INDEX(T_LEAVE[LEAVE CODE],SUMPRODUCT(--(T_LEAVE[NAME]=$B36),--(T_LEAVE[DATE]&lt;=AF$8),--(T_LEAVE[DATE]&gt;=AF$8),ROW(T_LEAVE[LEAVE CODE]))-ROW(T_LEAVE[#Headers]))))))),"")</f>
        <v/>
      </c>
      <c r="AG36" s="75" t="str">
        <f>IFERROR(IF(AG$8="","NA",IF(AG$8&lt;INDEX(T_EMP[START DATE],ROW($B36)-ROW($B$8)),"NE",IF(AND(INDEX(T_EMP[TERMINATION DATE],ROW($B36)-ROW($B$8))&gt;0,AG$8&gt;INDEX(T_EMP[TERMINATION DATE],ROW($B36)-ROW($B$8))),"NE",IF(NOT(ISERROR(MATCH(AG$8,L_HOLS,0))),"H",IF(INDEX(L_WKNDVAL,WEEKDAY(AG$8,1))=1,"WKND",INDEX(T_LEAVE[LEAVE CODE],SUMPRODUCT(--(T_LEAVE[NAME]=$B36),--(T_LEAVE[DATE]&lt;=AG$8),--(T_LEAVE[DATE]&gt;=AG$8),ROW(T_LEAVE[LEAVE CODE]))-ROW(T_LEAVE[#Headers]))))))),"")</f>
        <v/>
      </c>
      <c r="AH36" s="75" t="str">
        <f>IFERROR(IF(AH$8="","NA",IF(AH$8&lt;INDEX(T_EMP[START DATE],ROW($B36)-ROW($B$8)),"NE",IF(AND(INDEX(T_EMP[TERMINATION DATE],ROW($B36)-ROW($B$8))&gt;0,AH$8&gt;INDEX(T_EMP[TERMINATION DATE],ROW($B36)-ROW($B$8))),"NE",IF(NOT(ISERROR(MATCH(AH$8,L_HOLS,0))),"H",IF(INDEX(L_WKNDVAL,WEEKDAY(AH$8,1))=1,"WKND",INDEX(T_LEAVE[LEAVE CODE],SUMPRODUCT(--(T_LEAVE[NAME]=$B36),--(T_LEAVE[DATE]&lt;=AH$8),--(T_LEAVE[DATE]&gt;=AH$8),ROW(T_LEAVE[LEAVE CODE]))-ROW(T_LEAVE[#Headers]))))))),"")</f>
        <v/>
      </c>
      <c r="AJ36" s="88">
        <f>IF(OR($B36="",AJ$8=""),"",COUNTIFS($D36:$AH36,AJ$8)*INDEX(T_LEAVETYPE[DAY VALUE],1))</f>
        <v>0</v>
      </c>
      <c r="AK36" s="88">
        <f>IF(OR($B36="",AK$8=""),"",COUNTIFS($D36:$AH36,AK$8)*INDEX(T_LEAVETYPE[DAY VALUE],2))</f>
        <v>0</v>
      </c>
      <c r="AL36" s="88">
        <f>IF(OR($B36="",AL$8=""),"",COUNTIFS($D36:$AH36,AL$8)*INDEX(T_LEAVETYPE[DAY VALUE],3))</f>
        <v>0</v>
      </c>
      <c r="AM36" s="88">
        <f>IF(OR($B36="",AM$8=""),"",COUNTIFS($D36:$AH36,AM$8)*INDEX(T_LEAVETYPE[DAY VALUE],4))</f>
        <v>0</v>
      </c>
      <c r="AN36" s="88">
        <f>IF(OR($B36="",AN$8=""),"",COUNTIFS($D36:$AH36,AN$8)*INDEX(T_LEAVETYPE[DAY VALUE],5))</f>
        <v>0</v>
      </c>
      <c r="AO36" s="88">
        <f>IF(OR($B36="",AO$8=""),"",COUNTIFS($D36:$AH36,AO$8)*INDEX(T_LEAVETYPE[DAY VALUE],6))</f>
        <v>0</v>
      </c>
      <c r="AP36" s="88">
        <f>IF(OR($B36="",AP$8=""),"",COUNTIFS($D36:$AH36,AP$8)*INDEX(T_LEAVETYPE[DAY VALUE],7))</f>
        <v>0</v>
      </c>
      <c r="AQ36" s="88">
        <f>IF(OR($B36="",AQ$8=""),"",COUNTIFS($D36:$AH36,AQ$8)*INDEX(T_LEAVETYPE[DAY VALUE],8))</f>
        <v>0</v>
      </c>
      <c r="AR36" s="89">
        <f t="shared" si="3"/>
        <v>0</v>
      </c>
    </row>
    <row r="37" spans="1:44" x14ac:dyDescent="0.25">
      <c r="A37" s="90">
        <f t="shared" si="4"/>
        <v>29</v>
      </c>
      <c r="B37" s="74" t="str">
        <f>IFERROR(INDEX(T_EMP[NAME],ROW(B37)-ROW($B$8)),"")</f>
        <v>LARIZA, MELANIE DELA CRUZ</v>
      </c>
      <c r="C37" s="91" t="str">
        <f>IFERROR(INDEX(T_EMP[DEPARTMENT],ROW(B37)-ROW($C$8)),"")</f>
        <v>IB SUPPORT</v>
      </c>
      <c r="D37" s="75" t="str">
        <f>IFERROR(IF(D$8="","NA",IF(D$8&lt;INDEX(T_EMP[START DATE],ROW($B37)-ROW($B$8)),"NE",IF(AND(INDEX(T_EMP[TERMINATION DATE],ROW($B37)-ROW($B$8))&gt;0,D$8&gt;INDEX(T_EMP[TERMINATION DATE],ROW($B37)-ROW($B$8))),"NE",IF(NOT(ISERROR(MATCH(D$8,L_HOLS,0))),"H",IF(INDEX(L_WKNDVAL,WEEKDAY(D$8,1))=1,"WKND",INDEX(T_LEAVE[LEAVE CODE],SUMPRODUCT(--(T_LEAVE[NAME]=$B37),--(T_LEAVE[DATE]&lt;=D$8),--(T_LEAVE[DATE]&gt;=D$8),ROW(T_LEAVE[LEAVE CODE]))-ROW(T_LEAVE[#Headers]))))))),"")</f>
        <v>H</v>
      </c>
      <c r="E37" s="75" t="str">
        <f>IFERROR(IF(E$8="","NA",IF(E$8&lt;INDEX(T_EMP[START DATE],ROW($B37)-ROW($B$8)),"NE",IF(AND(INDEX(T_EMP[TERMINATION DATE],ROW($B37)-ROW($B$8))&gt;0,E$8&gt;INDEX(T_EMP[TERMINATION DATE],ROW($B37)-ROW($B$8))),"NE",IF(NOT(ISERROR(MATCH(E$8,L_HOLS,0))),"H",IF(INDEX(L_WKNDVAL,WEEKDAY(E$8,1))=1,"WKND",INDEX(T_LEAVE[LEAVE CODE],SUMPRODUCT(--(T_LEAVE[NAME]=$B37),--(T_LEAVE[DATE]&lt;=E$8),--(T_LEAVE[DATE]&gt;=E$8),ROW(T_LEAVE[LEAVE CODE]))-ROW(T_LEAVE[#Headers]))))))),"")</f>
        <v/>
      </c>
      <c r="F37" s="75" t="str">
        <f>IFERROR(IF(F$8="","NA",IF(F$8&lt;INDEX(T_EMP[START DATE],ROW($B37)-ROW($B$8)),"NE",IF(AND(INDEX(T_EMP[TERMINATION DATE],ROW($B37)-ROW($B$8))&gt;0,F$8&gt;INDEX(T_EMP[TERMINATION DATE],ROW($B37)-ROW($B$8))),"NE",IF(NOT(ISERROR(MATCH(F$8,L_HOLS,0))),"H",IF(INDEX(L_WKNDVAL,WEEKDAY(F$8,1))=1,"WKND",INDEX(T_LEAVE[LEAVE CODE],SUMPRODUCT(--(T_LEAVE[NAME]=$B37),--(T_LEAVE[DATE]&lt;=F$8),--(T_LEAVE[DATE]&gt;=F$8),ROW(T_LEAVE[LEAVE CODE]))-ROW(T_LEAVE[#Headers]))))))),"")</f>
        <v/>
      </c>
      <c r="G37" s="75" t="str">
        <f>IFERROR(IF(G$8="","NA",IF(G$8&lt;INDEX(T_EMP[START DATE],ROW($B37)-ROW($B$8)),"NE",IF(AND(INDEX(T_EMP[TERMINATION DATE],ROW($B37)-ROW($B$8))&gt;0,G$8&gt;INDEX(T_EMP[TERMINATION DATE],ROW($B37)-ROW($B$8))),"NE",IF(NOT(ISERROR(MATCH(G$8,L_HOLS,0))),"H",IF(INDEX(L_WKNDVAL,WEEKDAY(G$8,1))=1,"WKND",INDEX(T_LEAVE[LEAVE CODE],SUMPRODUCT(--(T_LEAVE[NAME]=$B37),--(T_LEAVE[DATE]&lt;=G$8),--(T_LEAVE[DATE]&gt;=G$8),ROW(T_LEAVE[LEAVE CODE]))-ROW(T_LEAVE[#Headers]))))))),"")</f>
        <v/>
      </c>
      <c r="H37" s="75" t="str">
        <f>IFERROR(IF(H$8="","NA",IF(H$8&lt;INDEX(T_EMP[START DATE],ROW($B37)-ROW($B$8)),"NE",IF(AND(INDEX(T_EMP[TERMINATION DATE],ROW($B37)-ROW($B$8))&gt;0,H$8&gt;INDEX(T_EMP[TERMINATION DATE],ROW($B37)-ROW($B$8))),"NE",IF(NOT(ISERROR(MATCH(H$8,L_HOLS,0))),"H",IF(INDEX(L_WKNDVAL,WEEKDAY(H$8,1))=1,"WKND",INDEX(T_LEAVE[LEAVE CODE],SUMPRODUCT(--(T_LEAVE[NAME]=$B37),--(T_LEAVE[DATE]&lt;=H$8),--(T_LEAVE[DATE]&gt;=H$8),ROW(T_LEAVE[LEAVE CODE]))-ROW(T_LEAVE[#Headers]))))))),"")</f>
        <v/>
      </c>
      <c r="I37" s="75" t="str">
        <f>IFERROR(IF(I$8="","NA",IF(I$8&lt;INDEX(T_EMP[START DATE],ROW($B37)-ROW($B$8)),"NE",IF(AND(INDEX(T_EMP[TERMINATION DATE],ROW($B37)-ROW($B$8))&gt;0,I$8&gt;INDEX(T_EMP[TERMINATION DATE],ROW($B37)-ROW($B$8))),"NE",IF(NOT(ISERROR(MATCH(I$8,L_HOLS,0))),"H",IF(INDEX(L_WKNDVAL,WEEKDAY(I$8,1))=1,"WKND",INDEX(T_LEAVE[LEAVE CODE],SUMPRODUCT(--(T_LEAVE[NAME]=$B37),--(T_LEAVE[DATE]&lt;=I$8),--(T_LEAVE[DATE]&gt;=I$8),ROW(T_LEAVE[LEAVE CODE]))-ROW(T_LEAVE[#Headers]))))))),"")</f>
        <v/>
      </c>
      <c r="J37" s="75" t="str">
        <f>IFERROR(IF(J$8="","NA",IF(J$8&lt;INDEX(T_EMP[START DATE],ROW($B37)-ROW($B$8)),"NE",IF(AND(INDEX(T_EMP[TERMINATION DATE],ROW($B37)-ROW($B$8))&gt;0,J$8&gt;INDEX(T_EMP[TERMINATION DATE],ROW($B37)-ROW($B$8))),"NE",IF(NOT(ISERROR(MATCH(J$8,L_HOLS,0))),"H",IF(INDEX(L_WKNDVAL,WEEKDAY(J$8,1))=1,"WKND",INDEX(T_LEAVE[LEAVE CODE],SUMPRODUCT(--(T_LEAVE[NAME]=$B37),--(T_LEAVE[DATE]&lt;=J$8),--(T_LEAVE[DATE]&gt;=J$8),ROW(T_LEAVE[LEAVE CODE]))-ROW(T_LEAVE[#Headers]))))))),"")</f>
        <v/>
      </c>
      <c r="K37" s="75" t="str">
        <f>IFERROR(IF(K$8="","NA",IF(K$8&lt;INDEX(T_EMP[START DATE],ROW($B37)-ROW($B$8)),"NE",IF(AND(INDEX(T_EMP[TERMINATION DATE],ROW($B37)-ROW($B$8))&gt;0,K$8&gt;INDEX(T_EMP[TERMINATION DATE],ROW($B37)-ROW($B$8))),"NE",IF(NOT(ISERROR(MATCH(K$8,L_HOLS,0))),"H",IF(INDEX(L_WKNDVAL,WEEKDAY(K$8,1))=1,"WKND",INDEX(T_LEAVE[LEAVE CODE],SUMPRODUCT(--(T_LEAVE[NAME]=$B37),--(T_LEAVE[DATE]&lt;=K$8),--(T_LEAVE[DATE]&gt;=K$8),ROW(T_LEAVE[LEAVE CODE]))-ROW(T_LEAVE[#Headers]))))))),"")</f>
        <v/>
      </c>
      <c r="L37" s="75" t="str">
        <f>IFERROR(IF(L$8="","NA",IF(L$8&lt;INDEX(T_EMP[START DATE],ROW($B37)-ROW($B$8)),"NE",IF(AND(INDEX(T_EMP[TERMINATION DATE],ROW($B37)-ROW($B$8))&gt;0,L$8&gt;INDEX(T_EMP[TERMINATION DATE],ROW($B37)-ROW($B$8))),"NE",IF(NOT(ISERROR(MATCH(L$8,L_HOLS,0))),"H",IF(INDEX(L_WKNDVAL,WEEKDAY(L$8,1))=1,"WKND",INDEX(T_LEAVE[LEAVE CODE],SUMPRODUCT(--(T_LEAVE[NAME]=$B37),--(T_LEAVE[DATE]&lt;=L$8),--(T_LEAVE[DATE]&gt;=L$8),ROW(T_LEAVE[LEAVE CODE]))-ROW(T_LEAVE[#Headers]))))))),"")</f>
        <v/>
      </c>
      <c r="M37" s="75" t="str">
        <f>IFERROR(IF(M$8="","NA",IF(M$8&lt;INDEX(T_EMP[START DATE],ROW($B37)-ROW($B$8)),"NE",IF(AND(INDEX(T_EMP[TERMINATION DATE],ROW($B37)-ROW($B$8))&gt;0,M$8&gt;INDEX(T_EMP[TERMINATION DATE],ROW($B37)-ROW($B$8))),"NE",IF(NOT(ISERROR(MATCH(M$8,L_HOLS,0))),"H",IF(INDEX(L_WKNDVAL,WEEKDAY(M$8,1))=1,"WKND",INDEX(T_LEAVE[LEAVE CODE],SUMPRODUCT(--(T_LEAVE[NAME]=$B37),--(T_LEAVE[DATE]&lt;=M$8),--(T_LEAVE[DATE]&gt;=M$8),ROW(T_LEAVE[LEAVE CODE]))-ROW(T_LEAVE[#Headers]))))))),"")</f>
        <v/>
      </c>
      <c r="N37" s="75" t="str">
        <f>IFERROR(IF(N$8="","NA",IF(N$8&lt;INDEX(T_EMP[START DATE],ROW($B37)-ROW($B$8)),"NE",IF(AND(INDEX(T_EMP[TERMINATION DATE],ROW($B37)-ROW($B$8))&gt;0,N$8&gt;INDEX(T_EMP[TERMINATION DATE],ROW($B37)-ROW($B$8))),"NE",IF(NOT(ISERROR(MATCH(N$8,L_HOLS,0))),"H",IF(INDEX(L_WKNDVAL,WEEKDAY(N$8,1))=1,"WKND",INDEX(T_LEAVE[LEAVE CODE],SUMPRODUCT(--(T_LEAVE[NAME]=$B37),--(T_LEAVE[DATE]&lt;=N$8),--(T_LEAVE[DATE]&gt;=N$8),ROW(T_LEAVE[LEAVE CODE]))-ROW(T_LEAVE[#Headers]))))))),"")</f>
        <v/>
      </c>
      <c r="O37" s="75" t="str">
        <f>IFERROR(IF(O$8="","NA",IF(O$8&lt;INDEX(T_EMP[START DATE],ROW($B37)-ROW($B$8)),"NE",IF(AND(INDEX(T_EMP[TERMINATION DATE],ROW($B37)-ROW($B$8))&gt;0,O$8&gt;INDEX(T_EMP[TERMINATION DATE],ROW($B37)-ROW($B$8))),"NE",IF(NOT(ISERROR(MATCH(O$8,L_HOLS,0))),"H",IF(INDEX(L_WKNDVAL,WEEKDAY(O$8,1))=1,"WKND",INDEX(T_LEAVE[LEAVE CODE],SUMPRODUCT(--(T_LEAVE[NAME]=$B37),--(T_LEAVE[DATE]&lt;=O$8),--(T_LEAVE[DATE]&gt;=O$8),ROW(T_LEAVE[LEAVE CODE]))-ROW(T_LEAVE[#Headers]))))))),"")</f>
        <v/>
      </c>
      <c r="P37" s="75" t="str">
        <f>IFERROR(IF(P$8="","NA",IF(P$8&lt;INDEX(T_EMP[START DATE],ROW($B37)-ROW($B$8)),"NE",IF(AND(INDEX(T_EMP[TERMINATION DATE],ROW($B37)-ROW($B$8))&gt;0,P$8&gt;INDEX(T_EMP[TERMINATION DATE],ROW($B37)-ROW($B$8))),"NE",IF(NOT(ISERROR(MATCH(P$8,L_HOLS,0))),"H",IF(INDEX(L_WKNDVAL,WEEKDAY(P$8,1))=1,"WKND",INDEX(T_LEAVE[LEAVE CODE],SUMPRODUCT(--(T_LEAVE[NAME]=$B37),--(T_LEAVE[DATE]&lt;=P$8),--(T_LEAVE[DATE]&gt;=P$8),ROW(T_LEAVE[LEAVE CODE]))-ROW(T_LEAVE[#Headers]))))))),"")</f>
        <v>H</v>
      </c>
      <c r="Q37" s="75" t="str">
        <f>IFERROR(IF(Q$8="","NA",IF(Q$8&lt;INDEX(T_EMP[START DATE],ROW($B37)-ROW($B$8)),"NE",IF(AND(INDEX(T_EMP[TERMINATION DATE],ROW($B37)-ROW($B$8))&gt;0,Q$8&gt;INDEX(T_EMP[TERMINATION DATE],ROW($B37)-ROW($B$8))),"NE",IF(NOT(ISERROR(MATCH(Q$8,L_HOLS,0))),"H",IF(INDEX(L_WKNDVAL,WEEKDAY(Q$8,1))=1,"WKND",INDEX(T_LEAVE[LEAVE CODE],SUMPRODUCT(--(T_LEAVE[NAME]=$B37),--(T_LEAVE[DATE]&lt;=Q$8),--(T_LEAVE[DATE]&gt;=Q$8),ROW(T_LEAVE[LEAVE CODE]))-ROW(T_LEAVE[#Headers]))))))),"")</f>
        <v/>
      </c>
      <c r="R37" s="75" t="str">
        <f>IFERROR(IF(R$8="","NA",IF(R$8&lt;INDEX(T_EMP[START DATE],ROW($B37)-ROW($B$8)),"NE",IF(AND(INDEX(T_EMP[TERMINATION DATE],ROW($B37)-ROW($B$8))&gt;0,R$8&gt;INDEX(T_EMP[TERMINATION DATE],ROW($B37)-ROW($B$8))),"NE",IF(NOT(ISERROR(MATCH(R$8,L_HOLS,0))),"H",IF(INDEX(L_WKNDVAL,WEEKDAY(R$8,1))=1,"WKND",INDEX(T_LEAVE[LEAVE CODE],SUMPRODUCT(--(T_LEAVE[NAME]=$B37),--(T_LEAVE[DATE]&lt;=R$8),--(T_LEAVE[DATE]&gt;=R$8),ROW(T_LEAVE[LEAVE CODE]))-ROW(T_LEAVE[#Headers]))))))),"")</f>
        <v/>
      </c>
      <c r="S37" s="75" t="str">
        <f>IFERROR(IF(S$8="","NA",IF(S$8&lt;INDEX(T_EMP[START DATE],ROW($B37)-ROW($B$8)),"NE",IF(AND(INDEX(T_EMP[TERMINATION DATE],ROW($B37)-ROW($B$8))&gt;0,S$8&gt;INDEX(T_EMP[TERMINATION DATE],ROW($B37)-ROW($B$8))),"NE",IF(NOT(ISERROR(MATCH(S$8,L_HOLS,0))),"H",IF(INDEX(L_WKNDVAL,WEEKDAY(S$8,1))=1,"WKND",INDEX(T_LEAVE[LEAVE CODE],SUMPRODUCT(--(T_LEAVE[NAME]=$B37),--(T_LEAVE[DATE]&lt;=S$8),--(T_LEAVE[DATE]&gt;=S$8),ROW(T_LEAVE[LEAVE CODE]))-ROW(T_LEAVE[#Headers]))))))),"")</f>
        <v/>
      </c>
      <c r="T37" s="75" t="str">
        <f>IFERROR(IF(T$8="","NA",IF(T$8&lt;INDEX(T_EMP[START DATE],ROW($B37)-ROW($B$8)),"NE",IF(AND(INDEX(T_EMP[TERMINATION DATE],ROW($B37)-ROW($B$8))&gt;0,T$8&gt;INDEX(T_EMP[TERMINATION DATE],ROW($B37)-ROW($B$8))),"NE",IF(NOT(ISERROR(MATCH(T$8,L_HOLS,0))),"H",IF(INDEX(L_WKNDVAL,WEEKDAY(T$8,1))=1,"WKND",INDEX(T_LEAVE[LEAVE CODE],SUMPRODUCT(--(T_LEAVE[NAME]=$B37),--(T_LEAVE[DATE]&lt;=T$8),--(T_LEAVE[DATE]&gt;=T$8),ROW(T_LEAVE[LEAVE CODE]))-ROW(T_LEAVE[#Headers]))))))),"")</f>
        <v/>
      </c>
      <c r="U37" s="75" t="str">
        <f>IFERROR(IF(U$8="","NA",IF(U$8&lt;INDEX(T_EMP[START DATE],ROW($B37)-ROW($B$8)),"NE",IF(AND(INDEX(T_EMP[TERMINATION DATE],ROW($B37)-ROW($B$8))&gt;0,U$8&gt;INDEX(T_EMP[TERMINATION DATE],ROW($B37)-ROW($B$8))),"NE",IF(NOT(ISERROR(MATCH(U$8,L_HOLS,0))),"H",IF(INDEX(L_WKNDVAL,WEEKDAY(U$8,1))=1,"WKND",INDEX(T_LEAVE[LEAVE CODE],SUMPRODUCT(--(T_LEAVE[NAME]=$B37),--(T_LEAVE[DATE]&lt;=U$8),--(T_LEAVE[DATE]&gt;=U$8),ROW(T_LEAVE[LEAVE CODE]))-ROW(T_LEAVE[#Headers]))))))),"")</f>
        <v/>
      </c>
      <c r="V37" s="75" t="str">
        <f>IFERROR(IF(V$8="","NA",IF(V$8&lt;INDEX(T_EMP[START DATE],ROW($B37)-ROW($B$8)),"NE",IF(AND(INDEX(T_EMP[TERMINATION DATE],ROW($B37)-ROW($B$8))&gt;0,V$8&gt;INDEX(T_EMP[TERMINATION DATE],ROW($B37)-ROW($B$8))),"NE",IF(NOT(ISERROR(MATCH(V$8,L_HOLS,0))),"H",IF(INDEX(L_WKNDVAL,WEEKDAY(V$8,1))=1,"WKND",INDEX(T_LEAVE[LEAVE CODE],SUMPRODUCT(--(T_LEAVE[NAME]=$B37),--(T_LEAVE[DATE]&lt;=V$8),--(T_LEAVE[DATE]&gt;=V$8),ROW(T_LEAVE[LEAVE CODE]))-ROW(T_LEAVE[#Headers]))))))),"")</f>
        <v/>
      </c>
      <c r="W37" s="75" t="str">
        <f>IFERROR(IF(W$8="","NA",IF(W$8&lt;INDEX(T_EMP[START DATE],ROW($B37)-ROW($B$8)),"NE",IF(AND(INDEX(T_EMP[TERMINATION DATE],ROW($B37)-ROW($B$8))&gt;0,W$8&gt;INDEX(T_EMP[TERMINATION DATE],ROW($B37)-ROW($B$8))),"NE",IF(NOT(ISERROR(MATCH(W$8,L_HOLS,0))),"H",IF(INDEX(L_WKNDVAL,WEEKDAY(W$8,1))=1,"WKND",INDEX(T_LEAVE[LEAVE CODE],SUMPRODUCT(--(T_LEAVE[NAME]=$B37),--(T_LEAVE[DATE]&lt;=W$8),--(T_LEAVE[DATE]&gt;=W$8),ROW(T_LEAVE[LEAVE CODE]))-ROW(T_LEAVE[#Headers]))))))),"")</f>
        <v/>
      </c>
      <c r="X37" s="75" t="str">
        <f>IFERROR(IF(X$8="","NA",IF(X$8&lt;INDEX(T_EMP[START DATE],ROW($B37)-ROW($B$8)),"NE",IF(AND(INDEX(T_EMP[TERMINATION DATE],ROW($B37)-ROW($B$8))&gt;0,X$8&gt;INDEX(T_EMP[TERMINATION DATE],ROW($B37)-ROW($B$8))),"NE",IF(NOT(ISERROR(MATCH(X$8,L_HOLS,0))),"H",IF(INDEX(L_WKNDVAL,WEEKDAY(X$8,1))=1,"WKND",INDEX(T_LEAVE[LEAVE CODE],SUMPRODUCT(--(T_LEAVE[NAME]=$B37),--(T_LEAVE[DATE]&lt;=X$8),--(T_LEAVE[DATE]&gt;=X$8),ROW(T_LEAVE[LEAVE CODE]))-ROW(T_LEAVE[#Headers]))))))),"")</f>
        <v/>
      </c>
      <c r="Y37" s="75" t="str">
        <f>IFERROR(IF(Y$8="","NA",IF(Y$8&lt;INDEX(T_EMP[START DATE],ROW($B37)-ROW($B$8)),"NE",IF(AND(INDEX(T_EMP[TERMINATION DATE],ROW($B37)-ROW($B$8))&gt;0,Y$8&gt;INDEX(T_EMP[TERMINATION DATE],ROW($B37)-ROW($B$8))),"NE",IF(NOT(ISERROR(MATCH(Y$8,L_HOLS,0))),"H",IF(INDEX(L_WKNDVAL,WEEKDAY(Y$8,1))=1,"WKND",INDEX(T_LEAVE[LEAVE CODE],SUMPRODUCT(--(T_LEAVE[NAME]=$B37),--(T_LEAVE[DATE]&lt;=Y$8),--(T_LEAVE[DATE]&gt;=Y$8),ROW(T_LEAVE[LEAVE CODE]))-ROW(T_LEAVE[#Headers]))))))),"")</f>
        <v/>
      </c>
      <c r="Z37" s="75" t="str">
        <f>IFERROR(IF(Z$8="","NA",IF(Z$8&lt;INDEX(T_EMP[START DATE],ROW($B37)-ROW($B$8)),"NE",IF(AND(INDEX(T_EMP[TERMINATION DATE],ROW($B37)-ROW($B$8))&gt;0,Z$8&gt;INDEX(T_EMP[TERMINATION DATE],ROW($B37)-ROW($B$8))),"NE",IF(NOT(ISERROR(MATCH(Z$8,L_HOLS,0))),"H",IF(INDEX(L_WKNDVAL,WEEKDAY(Z$8,1))=1,"WKND",INDEX(T_LEAVE[LEAVE CODE],SUMPRODUCT(--(T_LEAVE[NAME]=$B37),--(T_LEAVE[DATE]&lt;=Z$8),--(T_LEAVE[DATE]&gt;=Z$8),ROW(T_LEAVE[LEAVE CODE]))-ROW(T_LEAVE[#Headers]))))))),"")</f>
        <v/>
      </c>
      <c r="AA37" s="75" t="str">
        <f>IFERROR(IF(AA$8="","NA",IF(AA$8&lt;INDEX(T_EMP[START DATE],ROW($B37)-ROW($B$8)),"NE",IF(AND(INDEX(T_EMP[TERMINATION DATE],ROW($B37)-ROW($B$8))&gt;0,AA$8&gt;INDEX(T_EMP[TERMINATION DATE],ROW($B37)-ROW($B$8))),"NE",IF(NOT(ISERROR(MATCH(AA$8,L_HOLS,0))),"H",IF(INDEX(L_WKNDVAL,WEEKDAY(AA$8,1))=1,"WKND",INDEX(T_LEAVE[LEAVE CODE],SUMPRODUCT(--(T_LEAVE[NAME]=$B37),--(T_LEAVE[DATE]&lt;=AA$8),--(T_LEAVE[DATE]&gt;=AA$8),ROW(T_LEAVE[LEAVE CODE]))-ROW(T_LEAVE[#Headers]))))))),"")</f>
        <v/>
      </c>
      <c r="AB37" s="75" t="str">
        <f>IFERROR(IF(AB$8="","NA",IF(AB$8&lt;INDEX(T_EMP[START DATE],ROW($B37)-ROW($B$8)),"NE",IF(AND(INDEX(T_EMP[TERMINATION DATE],ROW($B37)-ROW($B$8))&gt;0,AB$8&gt;INDEX(T_EMP[TERMINATION DATE],ROW($B37)-ROW($B$8))),"NE",IF(NOT(ISERROR(MATCH(AB$8,L_HOLS,0))),"H",IF(INDEX(L_WKNDVAL,WEEKDAY(AB$8,1))=1,"WKND",INDEX(T_LEAVE[LEAVE CODE],SUMPRODUCT(--(T_LEAVE[NAME]=$B37),--(T_LEAVE[DATE]&lt;=AB$8),--(T_LEAVE[DATE]&gt;=AB$8),ROW(T_LEAVE[LEAVE CODE]))-ROW(T_LEAVE[#Headers]))))))),"")</f>
        <v/>
      </c>
      <c r="AC37" s="75" t="str">
        <f>IFERROR(IF(AC$8="","NA",IF(AC$8&lt;INDEX(T_EMP[START DATE],ROW($B37)-ROW($B$8)),"NE",IF(AND(INDEX(T_EMP[TERMINATION DATE],ROW($B37)-ROW($B$8))&gt;0,AC$8&gt;INDEX(T_EMP[TERMINATION DATE],ROW($B37)-ROW($B$8))),"NE",IF(NOT(ISERROR(MATCH(AC$8,L_HOLS,0))),"H",IF(INDEX(L_WKNDVAL,WEEKDAY(AC$8,1))=1,"WKND",INDEX(T_LEAVE[LEAVE CODE],SUMPRODUCT(--(T_LEAVE[NAME]=$B37),--(T_LEAVE[DATE]&lt;=AC$8),--(T_LEAVE[DATE]&gt;=AC$8),ROW(T_LEAVE[LEAVE CODE]))-ROW(T_LEAVE[#Headers]))))))),"")</f>
        <v/>
      </c>
      <c r="AD37" s="75" t="str">
        <f>IFERROR(IF(AD$8="","NA",IF(AD$8&lt;INDEX(T_EMP[START DATE],ROW($B37)-ROW($B$8)),"NE",IF(AND(INDEX(T_EMP[TERMINATION DATE],ROW($B37)-ROW($B$8))&gt;0,AD$8&gt;INDEX(T_EMP[TERMINATION DATE],ROW($B37)-ROW($B$8))),"NE",IF(NOT(ISERROR(MATCH(AD$8,L_HOLS,0))),"H",IF(INDEX(L_WKNDVAL,WEEKDAY(AD$8,1))=1,"WKND",INDEX(T_LEAVE[LEAVE CODE],SUMPRODUCT(--(T_LEAVE[NAME]=$B37),--(T_LEAVE[DATE]&lt;=AD$8),--(T_LEAVE[DATE]&gt;=AD$8),ROW(T_LEAVE[LEAVE CODE]))-ROW(T_LEAVE[#Headers]))))))),"")</f>
        <v/>
      </c>
      <c r="AE37" s="75" t="str">
        <f>IFERROR(IF(AE$8="","NA",IF(AE$8&lt;INDEX(T_EMP[START DATE],ROW($B37)-ROW($B$8)),"NE",IF(AND(INDEX(T_EMP[TERMINATION DATE],ROW($B37)-ROW($B$8))&gt;0,AE$8&gt;INDEX(T_EMP[TERMINATION DATE],ROW($B37)-ROW($B$8))),"NE",IF(NOT(ISERROR(MATCH(AE$8,L_HOLS,0))),"H",IF(INDEX(L_WKNDVAL,WEEKDAY(AE$8,1))=1,"WKND",INDEX(T_LEAVE[LEAVE CODE],SUMPRODUCT(--(T_LEAVE[NAME]=$B37),--(T_LEAVE[DATE]&lt;=AE$8),--(T_LEAVE[DATE]&gt;=AE$8),ROW(T_LEAVE[LEAVE CODE]))-ROW(T_LEAVE[#Headers]))))))),"")</f>
        <v/>
      </c>
      <c r="AF37" s="75" t="str">
        <f>IFERROR(IF(AF$8="","NA",IF(AF$8&lt;INDEX(T_EMP[START DATE],ROW($B37)-ROW($B$8)),"NE",IF(AND(INDEX(T_EMP[TERMINATION DATE],ROW($B37)-ROW($B$8))&gt;0,AF$8&gt;INDEX(T_EMP[TERMINATION DATE],ROW($B37)-ROW($B$8))),"NE",IF(NOT(ISERROR(MATCH(AF$8,L_HOLS,0))),"H",IF(INDEX(L_WKNDVAL,WEEKDAY(AF$8,1))=1,"WKND",INDEX(T_LEAVE[LEAVE CODE],SUMPRODUCT(--(T_LEAVE[NAME]=$B37),--(T_LEAVE[DATE]&lt;=AF$8),--(T_LEAVE[DATE]&gt;=AF$8),ROW(T_LEAVE[LEAVE CODE]))-ROW(T_LEAVE[#Headers]))))))),"")</f>
        <v/>
      </c>
      <c r="AG37" s="75" t="str">
        <f>IFERROR(IF(AG$8="","NA",IF(AG$8&lt;INDEX(T_EMP[START DATE],ROW($B37)-ROW($B$8)),"NE",IF(AND(INDEX(T_EMP[TERMINATION DATE],ROW($B37)-ROW($B$8))&gt;0,AG$8&gt;INDEX(T_EMP[TERMINATION DATE],ROW($B37)-ROW($B$8))),"NE",IF(NOT(ISERROR(MATCH(AG$8,L_HOLS,0))),"H",IF(INDEX(L_WKNDVAL,WEEKDAY(AG$8,1))=1,"WKND",INDEX(T_LEAVE[LEAVE CODE],SUMPRODUCT(--(T_LEAVE[NAME]=$B37),--(T_LEAVE[DATE]&lt;=AG$8),--(T_LEAVE[DATE]&gt;=AG$8),ROW(T_LEAVE[LEAVE CODE]))-ROW(T_LEAVE[#Headers]))))))),"")</f>
        <v/>
      </c>
      <c r="AH37" s="75" t="str">
        <f>IFERROR(IF(AH$8="","NA",IF(AH$8&lt;INDEX(T_EMP[START DATE],ROW($B37)-ROW($B$8)),"NE",IF(AND(INDEX(T_EMP[TERMINATION DATE],ROW($B37)-ROW($B$8))&gt;0,AH$8&gt;INDEX(T_EMP[TERMINATION DATE],ROW($B37)-ROW($B$8))),"NE",IF(NOT(ISERROR(MATCH(AH$8,L_HOLS,0))),"H",IF(INDEX(L_WKNDVAL,WEEKDAY(AH$8,1))=1,"WKND",INDEX(T_LEAVE[LEAVE CODE],SUMPRODUCT(--(T_LEAVE[NAME]=$B37),--(T_LEAVE[DATE]&lt;=AH$8),--(T_LEAVE[DATE]&gt;=AH$8),ROW(T_LEAVE[LEAVE CODE]))-ROW(T_LEAVE[#Headers]))))))),"")</f>
        <v/>
      </c>
      <c r="AJ37" s="88">
        <f>IF(OR($B37="",AJ$8=""),"",COUNTIFS($D37:$AH37,AJ$8)*INDEX(T_LEAVETYPE[DAY VALUE],1))</f>
        <v>0</v>
      </c>
      <c r="AK37" s="88">
        <f>IF(OR($B37="",AK$8=""),"",COUNTIFS($D37:$AH37,AK$8)*INDEX(T_LEAVETYPE[DAY VALUE],2))</f>
        <v>0</v>
      </c>
      <c r="AL37" s="88">
        <f>IF(OR($B37="",AL$8=""),"",COUNTIFS($D37:$AH37,AL$8)*INDEX(T_LEAVETYPE[DAY VALUE],3))</f>
        <v>0</v>
      </c>
      <c r="AM37" s="88">
        <f>IF(OR($B37="",AM$8=""),"",COUNTIFS($D37:$AH37,AM$8)*INDEX(T_LEAVETYPE[DAY VALUE],4))</f>
        <v>0</v>
      </c>
      <c r="AN37" s="88">
        <f>IF(OR($B37="",AN$8=""),"",COUNTIFS($D37:$AH37,AN$8)*INDEX(T_LEAVETYPE[DAY VALUE],5))</f>
        <v>0</v>
      </c>
      <c r="AO37" s="88">
        <f>IF(OR($B37="",AO$8=""),"",COUNTIFS($D37:$AH37,AO$8)*INDEX(T_LEAVETYPE[DAY VALUE],6))</f>
        <v>0</v>
      </c>
      <c r="AP37" s="88">
        <f>IF(OR($B37="",AP$8=""),"",COUNTIFS($D37:$AH37,AP$8)*INDEX(T_LEAVETYPE[DAY VALUE],7))</f>
        <v>0</v>
      </c>
      <c r="AQ37" s="88">
        <f>IF(OR($B37="",AQ$8=""),"",COUNTIFS($D37:$AH37,AQ$8)*INDEX(T_LEAVETYPE[DAY VALUE],8))</f>
        <v>0</v>
      </c>
      <c r="AR37" s="89">
        <f t="shared" si="3"/>
        <v>0</v>
      </c>
    </row>
    <row r="38" spans="1:44" x14ac:dyDescent="0.25">
      <c r="A38" s="90">
        <f t="shared" si="4"/>
        <v>30</v>
      </c>
      <c r="B38" s="74" t="str">
        <f>IFERROR(INDEX(T_EMP[NAME],ROW(B38)-ROW($B$8)),"")</f>
        <v>MANGOBA, MICHAEL</v>
      </c>
      <c r="C38" s="91" t="str">
        <f>IFERROR(INDEX(T_EMP[DEPARTMENT],ROW(B38)-ROW($C$8)),"")</f>
        <v>IB SUPPORT</v>
      </c>
      <c r="D38" s="75" t="str">
        <f>IFERROR(IF(D$8="","NA",IF(D$8&lt;INDEX(T_EMP[START DATE],ROW($B38)-ROW($B$8)),"NE",IF(AND(INDEX(T_EMP[TERMINATION DATE],ROW($B38)-ROW($B$8))&gt;0,D$8&gt;INDEX(T_EMP[TERMINATION DATE],ROW($B38)-ROW($B$8))),"NE",IF(NOT(ISERROR(MATCH(D$8,L_HOLS,0))),"H",IF(INDEX(L_WKNDVAL,WEEKDAY(D$8,1))=1,"WKND",INDEX(T_LEAVE[LEAVE CODE],SUMPRODUCT(--(T_LEAVE[NAME]=$B38),--(T_LEAVE[DATE]&lt;=D$8),--(T_LEAVE[DATE]&gt;=D$8),ROW(T_LEAVE[LEAVE CODE]))-ROW(T_LEAVE[#Headers]))))))),"")</f>
        <v>H</v>
      </c>
      <c r="E38" s="75" t="str">
        <f>IFERROR(IF(E$8="","NA",IF(E$8&lt;INDEX(T_EMP[START DATE],ROW($B38)-ROW($B$8)),"NE",IF(AND(INDEX(T_EMP[TERMINATION DATE],ROW($B38)-ROW($B$8))&gt;0,E$8&gt;INDEX(T_EMP[TERMINATION DATE],ROW($B38)-ROW($B$8))),"NE",IF(NOT(ISERROR(MATCH(E$8,L_HOLS,0))),"H",IF(INDEX(L_WKNDVAL,WEEKDAY(E$8,1))=1,"WKND",INDEX(T_LEAVE[LEAVE CODE],SUMPRODUCT(--(T_LEAVE[NAME]=$B38),--(T_LEAVE[DATE]&lt;=E$8),--(T_LEAVE[DATE]&gt;=E$8),ROW(T_LEAVE[LEAVE CODE]))-ROW(T_LEAVE[#Headers]))))))),"")</f>
        <v/>
      </c>
      <c r="F38" s="75" t="str">
        <f>IFERROR(IF(F$8="","NA",IF(F$8&lt;INDEX(T_EMP[START DATE],ROW($B38)-ROW($B$8)),"NE",IF(AND(INDEX(T_EMP[TERMINATION DATE],ROW($B38)-ROW($B$8))&gt;0,F$8&gt;INDEX(T_EMP[TERMINATION DATE],ROW($B38)-ROW($B$8))),"NE",IF(NOT(ISERROR(MATCH(F$8,L_HOLS,0))),"H",IF(INDEX(L_WKNDVAL,WEEKDAY(F$8,1))=1,"WKND",INDEX(T_LEAVE[LEAVE CODE],SUMPRODUCT(--(T_LEAVE[NAME]=$B38),--(T_LEAVE[DATE]&lt;=F$8),--(T_LEAVE[DATE]&gt;=F$8),ROW(T_LEAVE[LEAVE CODE]))-ROW(T_LEAVE[#Headers]))))))),"")</f>
        <v/>
      </c>
      <c r="G38" s="75" t="str">
        <f>IFERROR(IF(G$8="","NA",IF(G$8&lt;INDEX(T_EMP[START DATE],ROW($B38)-ROW($B$8)),"NE",IF(AND(INDEX(T_EMP[TERMINATION DATE],ROW($B38)-ROW($B$8))&gt;0,G$8&gt;INDEX(T_EMP[TERMINATION DATE],ROW($B38)-ROW($B$8))),"NE",IF(NOT(ISERROR(MATCH(G$8,L_HOLS,0))),"H",IF(INDEX(L_WKNDVAL,WEEKDAY(G$8,1))=1,"WKND",INDEX(T_LEAVE[LEAVE CODE],SUMPRODUCT(--(T_LEAVE[NAME]=$B38),--(T_LEAVE[DATE]&lt;=G$8),--(T_LEAVE[DATE]&gt;=G$8),ROW(T_LEAVE[LEAVE CODE]))-ROW(T_LEAVE[#Headers]))))))),"")</f>
        <v/>
      </c>
      <c r="H38" s="75" t="str">
        <f>IFERROR(IF(H$8="","NA",IF(H$8&lt;INDEX(T_EMP[START DATE],ROW($B38)-ROW($B$8)),"NE",IF(AND(INDEX(T_EMP[TERMINATION DATE],ROW($B38)-ROW($B$8))&gt;0,H$8&gt;INDEX(T_EMP[TERMINATION DATE],ROW($B38)-ROW($B$8))),"NE",IF(NOT(ISERROR(MATCH(H$8,L_HOLS,0))),"H",IF(INDEX(L_WKNDVAL,WEEKDAY(H$8,1))=1,"WKND",INDEX(T_LEAVE[LEAVE CODE],SUMPRODUCT(--(T_LEAVE[NAME]=$B38),--(T_LEAVE[DATE]&lt;=H$8),--(T_LEAVE[DATE]&gt;=H$8),ROW(T_LEAVE[LEAVE CODE]))-ROW(T_LEAVE[#Headers]))))))),"")</f>
        <v/>
      </c>
      <c r="I38" s="75" t="str">
        <f>IFERROR(IF(I$8="","NA",IF(I$8&lt;INDEX(T_EMP[START DATE],ROW($B38)-ROW($B$8)),"NE",IF(AND(INDEX(T_EMP[TERMINATION DATE],ROW($B38)-ROW($B$8))&gt;0,I$8&gt;INDEX(T_EMP[TERMINATION DATE],ROW($B38)-ROW($B$8))),"NE",IF(NOT(ISERROR(MATCH(I$8,L_HOLS,0))),"H",IF(INDEX(L_WKNDVAL,WEEKDAY(I$8,1))=1,"WKND",INDEX(T_LEAVE[LEAVE CODE],SUMPRODUCT(--(T_LEAVE[NAME]=$B38),--(T_LEAVE[DATE]&lt;=I$8),--(T_LEAVE[DATE]&gt;=I$8),ROW(T_LEAVE[LEAVE CODE]))-ROW(T_LEAVE[#Headers]))))))),"")</f>
        <v/>
      </c>
      <c r="J38" s="75" t="str">
        <f>IFERROR(IF(J$8="","NA",IF(J$8&lt;INDEX(T_EMP[START DATE],ROW($B38)-ROW($B$8)),"NE",IF(AND(INDEX(T_EMP[TERMINATION DATE],ROW($B38)-ROW($B$8))&gt;0,J$8&gt;INDEX(T_EMP[TERMINATION DATE],ROW($B38)-ROW($B$8))),"NE",IF(NOT(ISERROR(MATCH(J$8,L_HOLS,0))),"H",IF(INDEX(L_WKNDVAL,WEEKDAY(J$8,1))=1,"WKND",INDEX(T_LEAVE[LEAVE CODE],SUMPRODUCT(--(T_LEAVE[NAME]=$B38),--(T_LEAVE[DATE]&lt;=J$8),--(T_LEAVE[DATE]&gt;=J$8),ROW(T_LEAVE[LEAVE CODE]))-ROW(T_LEAVE[#Headers]))))))),"")</f>
        <v/>
      </c>
      <c r="K38" s="75" t="str">
        <f>IFERROR(IF(K$8="","NA",IF(K$8&lt;INDEX(T_EMP[START DATE],ROW($B38)-ROW($B$8)),"NE",IF(AND(INDEX(T_EMP[TERMINATION DATE],ROW($B38)-ROW($B$8))&gt;0,K$8&gt;INDEX(T_EMP[TERMINATION DATE],ROW($B38)-ROW($B$8))),"NE",IF(NOT(ISERROR(MATCH(K$8,L_HOLS,0))),"H",IF(INDEX(L_WKNDVAL,WEEKDAY(K$8,1))=1,"WKND",INDEX(T_LEAVE[LEAVE CODE],SUMPRODUCT(--(T_LEAVE[NAME]=$B38),--(T_LEAVE[DATE]&lt;=K$8),--(T_LEAVE[DATE]&gt;=K$8),ROW(T_LEAVE[LEAVE CODE]))-ROW(T_LEAVE[#Headers]))))))),"")</f>
        <v/>
      </c>
      <c r="L38" s="75" t="str">
        <f>IFERROR(IF(L$8="","NA",IF(L$8&lt;INDEX(T_EMP[START DATE],ROW($B38)-ROW($B$8)),"NE",IF(AND(INDEX(T_EMP[TERMINATION DATE],ROW($B38)-ROW($B$8))&gt;0,L$8&gt;INDEX(T_EMP[TERMINATION DATE],ROW($B38)-ROW($B$8))),"NE",IF(NOT(ISERROR(MATCH(L$8,L_HOLS,0))),"H",IF(INDEX(L_WKNDVAL,WEEKDAY(L$8,1))=1,"WKND",INDEX(T_LEAVE[LEAVE CODE],SUMPRODUCT(--(T_LEAVE[NAME]=$B38),--(T_LEAVE[DATE]&lt;=L$8),--(T_LEAVE[DATE]&gt;=L$8),ROW(T_LEAVE[LEAVE CODE]))-ROW(T_LEAVE[#Headers]))))))),"")</f>
        <v/>
      </c>
      <c r="M38" s="75" t="str">
        <f>IFERROR(IF(M$8="","NA",IF(M$8&lt;INDEX(T_EMP[START DATE],ROW($B38)-ROW($B$8)),"NE",IF(AND(INDEX(T_EMP[TERMINATION DATE],ROW($B38)-ROW($B$8))&gt;0,M$8&gt;INDEX(T_EMP[TERMINATION DATE],ROW($B38)-ROW($B$8))),"NE",IF(NOT(ISERROR(MATCH(M$8,L_HOLS,0))),"H",IF(INDEX(L_WKNDVAL,WEEKDAY(M$8,1))=1,"WKND",INDEX(T_LEAVE[LEAVE CODE],SUMPRODUCT(--(T_LEAVE[NAME]=$B38),--(T_LEAVE[DATE]&lt;=M$8),--(T_LEAVE[DATE]&gt;=M$8),ROW(T_LEAVE[LEAVE CODE]))-ROW(T_LEAVE[#Headers]))))))),"")</f>
        <v/>
      </c>
      <c r="N38" s="75" t="str">
        <f>IFERROR(IF(N$8="","NA",IF(N$8&lt;INDEX(T_EMP[START DATE],ROW($B38)-ROW($B$8)),"NE",IF(AND(INDEX(T_EMP[TERMINATION DATE],ROW($B38)-ROW($B$8))&gt;0,N$8&gt;INDEX(T_EMP[TERMINATION DATE],ROW($B38)-ROW($B$8))),"NE",IF(NOT(ISERROR(MATCH(N$8,L_HOLS,0))),"H",IF(INDEX(L_WKNDVAL,WEEKDAY(N$8,1))=1,"WKND",INDEX(T_LEAVE[LEAVE CODE],SUMPRODUCT(--(T_LEAVE[NAME]=$B38),--(T_LEAVE[DATE]&lt;=N$8),--(T_LEAVE[DATE]&gt;=N$8),ROW(T_LEAVE[LEAVE CODE]))-ROW(T_LEAVE[#Headers]))))))),"")</f>
        <v/>
      </c>
      <c r="O38" s="75" t="str">
        <f>IFERROR(IF(O$8="","NA",IF(O$8&lt;INDEX(T_EMP[START DATE],ROW($B38)-ROW($B$8)),"NE",IF(AND(INDEX(T_EMP[TERMINATION DATE],ROW($B38)-ROW($B$8))&gt;0,O$8&gt;INDEX(T_EMP[TERMINATION DATE],ROW($B38)-ROW($B$8))),"NE",IF(NOT(ISERROR(MATCH(O$8,L_HOLS,0))),"H",IF(INDEX(L_WKNDVAL,WEEKDAY(O$8,1))=1,"WKND",INDEX(T_LEAVE[LEAVE CODE],SUMPRODUCT(--(T_LEAVE[NAME]=$B38),--(T_LEAVE[DATE]&lt;=O$8),--(T_LEAVE[DATE]&gt;=O$8),ROW(T_LEAVE[LEAVE CODE]))-ROW(T_LEAVE[#Headers]))))))),"")</f>
        <v/>
      </c>
      <c r="P38" s="75" t="str">
        <f>IFERROR(IF(P$8="","NA",IF(P$8&lt;INDEX(T_EMP[START DATE],ROW($B38)-ROW($B$8)),"NE",IF(AND(INDEX(T_EMP[TERMINATION DATE],ROW($B38)-ROW($B$8))&gt;0,P$8&gt;INDEX(T_EMP[TERMINATION DATE],ROW($B38)-ROW($B$8))),"NE",IF(NOT(ISERROR(MATCH(P$8,L_HOLS,0))),"H",IF(INDEX(L_WKNDVAL,WEEKDAY(P$8,1))=1,"WKND",INDEX(T_LEAVE[LEAVE CODE],SUMPRODUCT(--(T_LEAVE[NAME]=$B38),--(T_LEAVE[DATE]&lt;=P$8),--(T_LEAVE[DATE]&gt;=P$8),ROW(T_LEAVE[LEAVE CODE]))-ROW(T_LEAVE[#Headers]))))))),"")</f>
        <v>H</v>
      </c>
      <c r="Q38" s="75" t="str">
        <f>IFERROR(IF(Q$8="","NA",IF(Q$8&lt;INDEX(T_EMP[START DATE],ROW($B38)-ROW($B$8)),"NE",IF(AND(INDEX(T_EMP[TERMINATION DATE],ROW($B38)-ROW($B$8))&gt;0,Q$8&gt;INDEX(T_EMP[TERMINATION DATE],ROW($B38)-ROW($B$8))),"NE",IF(NOT(ISERROR(MATCH(Q$8,L_HOLS,0))),"H",IF(INDEX(L_WKNDVAL,WEEKDAY(Q$8,1))=1,"WKND",INDEX(T_LEAVE[LEAVE CODE],SUMPRODUCT(--(T_LEAVE[NAME]=$B38),--(T_LEAVE[DATE]&lt;=Q$8),--(T_LEAVE[DATE]&gt;=Q$8),ROW(T_LEAVE[LEAVE CODE]))-ROW(T_LEAVE[#Headers]))))))),"")</f>
        <v/>
      </c>
      <c r="R38" s="75" t="str">
        <f>IFERROR(IF(R$8="","NA",IF(R$8&lt;INDEX(T_EMP[START DATE],ROW($B38)-ROW($B$8)),"NE",IF(AND(INDEX(T_EMP[TERMINATION DATE],ROW($B38)-ROW($B$8))&gt;0,R$8&gt;INDEX(T_EMP[TERMINATION DATE],ROW($B38)-ROW($B$8))),"NE",IF(NOT(ISERROR(MATCH(R$8,L_HOLS,0))),"H",IF(INDEX(L_WKNDVAL,WEEKDAY(R$8,1))=1,"WKND",INDEX(T_LEAVE[LEAVE CODE],SUMPRODUCT(--(T_LEAVE[NAME]=$B38),--(T_LEAVE[DATE]&lt;=R$8),--(T_LEAVE[DATE]&gt;=R$8),ROW(T_LEAVE[LEAVE CODE]))-ROW(T_LEAVE[#Headers]))))))),"")</f>
        <v/>
      </c>
      <c r="S38" s="75" t="str">
        <f>IFERROR(IF(S$8="","NA",IF(S$8&lt;INDEX(T_EMP[START DATE],ROW($B38)-ROW($B$8)),"NE",IF(AND(INDEX(T_EMP[TERMINATION DATE],ROW($B38)-ROW($B$8))&gt;0,S$8&gt;INDEX(T_EMP[TERMINATION DATE],ROW($B38)-ROW($B$8))),"NE",IF(NOT(ISERROR(MATCH(S$8,L_HOLS,0))),"H",IF(INDEX(L_WKNDVAL,WEEKDAY(S$8,1))=1,"WKND",INDEX(T_LEAVE[LEAVE CODE],SUMPRODUCT(--(T_LEAVE[NAME]=$B38),--(T_LEAVE[DATE]&lt;=S$8),--(T_LEAVE[DATE]&gt;=S$8),ROW(T_LEAVE[LEAVE CODE]))-ROW(T_LEAVE[#Headers]))))))),"")</f>
        <v/>
      </c>
      <c r="T38" s="75" t="str">
        <f>IFERROR(IF(T$8="","NA",IF(T$8&lt;INDEX(T_EMP[START DATE],ROW($B38)-ROW($B$8)),"NE",IF(AND(INDEX(T_EMP[TERMINATION DATE],ROW($B38)-ROW($B$8))&gt;0,T$8&gt;INDEX(T_EMP[TERMINATION DATE],ROW($B38)-ROW($B$8))),"NE",IF(NOT(ISERROR(MATCH(T$8,L_HOLS,0))),"H",IF(INDEX(L_WKNDVAL,WEEKDAY(T$8,1))=1,"WKND",INDEX(T_LEAVE[LEAVE CODE],SUMPRODUCT(--(T_LEAVE[NAME]=$B38),--(T_LEAVE[DATE]&lt;=T$8),--(T_LEAVE[DATE]&gt;=T$8),ROW(T_LEAVE[LEAVE CODE]))-ROW(T_LEAVE[#Headers]))))))),"")</f>
        <v/>
      </c>
      <c r="U38" s="75" t="str">
        <f>IFERROR(IF(U$8="","NA",IF(U$8&lt;INDEX(T_EMP[START DATE],ROW($B38)-ROW($B$8)),"NE",IF(AND(INDEX(T_EMP[TERMINATION DATE],ROW($B38)-ROW($B$8))&gt;0,U$8&gt;INDEX(T_EMP[TERMINATION DATE],ROW($B38)-ROW($B$8))),"NE",IF(NOT(ISERROR(MATCH(U$8,L_HOLS,0))),"H",IF(INDEX(L_WKNDVAL,WEEKDAY(U$8,1))=1,"WKND",INDEX(T_LEAVE[LEAVE CODE],SUMPRODUCT(--(T_LEAVE[NAME]=$B38),--(T_LEAVE[DATE]&lt;=U$8),--(T_LEAVE[DATE]&gt;=U$8),ROW(T_LEAVE[LEAVE CODE]))-ROW(T_LEAVE[#Headers]))))))),"")</f>
        <v/>
      </c>
      <c r="V38" s="75" t="str">
        <f>IFERROR(IF(V$8="","NA",IF(V$8&lt;INDEX(T_EMP[START DATE],ROW($B38)-ROW($B$8)),"NE",IF(AND(INDEX(T_EMP[TERMINATION DATE],ROW($B38)-ROW($B$8))&gt;0,V$8&gt;INDEX(T_EMP[TERMINATION DATE],ROW($B38)-ROW($B$8))),"NE",IF(NOT(ISERROR(MATCH(V$8,L_HOLS,0))),"H",IF(INDEX(L_WKNDVAL,WEEKDAY(V$8,1))=1,"WKND",INDEX(T_LEAVE[LEAVE CODE],SUMPRODUCT(--(T_LEAVE[NAME]=$B38),--(T_LEAVE[DATE]&lt;=V$8),--(T_LEAVE[DATE]&gt;=V$8),ROW(T_LEAVE[LEAVE CODE]))-ROW(T_LEAVE[#Headers]))))))),"")</f>
        <v/>
      </c>
      <c r="W38" s="75" t="str">
        <f>IFERROR(IF(W$8="","NA",IF(W$8&lt;INDEX(T_EMP[START DATE],ROW($B38)-ROW($B$8)),"NE",IF(AND(INDEX(T_EMP[TERMINATION DATE],ROW($B38)-ROW($B$8))&gt;0,W$8&gt;INDEX(T_EMP[TERMINATION DATE],ROW($B38)-ROW($B$8))),"NE",IF(NOT(ISERROR(MATCH(W$8,L_HOLS,0))),"H",IF(INDEX(L_WKNDVAL,WEEKDAY(W$8,1))=1,"WKND",INDEX(T_LEAVE[LEAVE CODE],SUMPRODUCT(--(T_LEAVE[NAME]=$B38),--(T_LEAVE[DATE]&lt;=W$8),--(T_LEAVE[DATE]&gt;=W$8),ROW(T_LEAVE[LEAVE CODE]))-ROW(T_LEAVE[#Headers]))))))),"")</f>
        <v/>
      </c>
      <c r="X38" s="75" t="str">
        <f>IFERROR(IF(X$8="","NA",IF(X$8&lt;INDEX(T_EMP[START DATE],ROW($B38)-ROW($B$8)),"NE",IF(AND(INDEX(T_EMP[TERMINATION DATE],ROW($B38)-ROW($B$8))&gt;0,X$8&gt;INDEX(T_EMP[TERMINATION DATE],ROW($B38)-ROW($B$8))),"NE",IF(NOT(ISERROR(MATCH(X$8,L_HOLS,0))),"H",IF(INDEX(L_WKNDVAL,WEEKDAY(X$8,1))=1,"WKND",INDEX(T_LEAVE[LEAVE CODE],SUMPRODUCT(--(T_LEAVE[NAME]=$B38),--(T_LEAVE[DATE]&lt;=X$8),--(T_LEAVE[DATE]&gt;=X$8),ROW(T_LEAVE[LEAVE CODE]))-ROW(T_LEAVE[#Headers]))))))),"")</f>
        <v/>
      </c>
      <c r="Y38" s="75" t="str">
        <f>IFERROR(IF(Y$8="","NA",IF(Y$8&lt;INDEX(T_EMP[START DATE],ROW($B38)-ROW($B$8)),"NE",IF(AND(INDEX(T_EMP[TERMINATION DATE],ROW($B38)-ROW($B$8))&gt;0,Y$8&gt;INDEX(T_EMP[TERMINATION DATE],ROW($B38)-ROW($B$8))),"NE",IF(NOT(ISERROR(MATCH(Y$8,L_HOLS,0))),"H",IF(INDEX(L_WKNDVAL,WEEKDAY(Y$8,1))=1,"WKND",INDEX(T_LEAVE[LEAVE CODE],SUMPRODUCT(--(T_LEAVE[NAME]=$B38),--(T_LEAVE[DATE]&lt;=Y$8),--(T_LEAVE[DATE]&gt;=Y$8),ROW(T_LEAVE[LEAVE CODE]))-ROW(T_LEAVE[#Headers]))))))),"")</f>
        <v/>
      </c>
      <c r="Z38" s="75" t="str">
        <f>IFERROR(IF(Z$8="","NA",IF(Z$8&lt;INDEX(T_EMP[START DATE],ROW($B38)-ROW($B$8)),"NE",IF(AND(INDEX(T_EMP[TERMINATION DATE],ROW($B38)-ROW($B$8))&gt;0,Z$8&gt;INDEX(T_EMP[TERMINATION DATE],ROW($B38)-ROW($B$8))),"NE",IF(NOT(ISERROR(MATCH(Z$8,L_HOLS,0))),"H",IF(INDEX(L_WKNDVAL,WEEKDAY(Z$8,1))=1,"WKND",INDEX(T_LEAVE[LEAVE CODE],SUMPRODUCT(--(T_LEAVE[NAME]=$B38),--(T_LEAVE[DATE]&lt;=Z$8),--(T_LEAVE[DATE]&gt;=Z$8),ROW(T_LEAVE[LEAVE CODE]))-ROW(T_LEAVE[#Headers]))))))),"")</f>
        <v/>
      </c>
      <c r="AA38" s="75" t="str">
        <f>IFERROR(IF(AA$8="","NA",IF(AA$8&lt;INDEX(T_EMP[START DATE],ROW($B38)-ROW($B$8)),"NE",IF(AND(INDEX(T_EMP[TERMINATION DATE],ROW($B38)-ROW($B$8))&gt;0,AA$8&gt;INDEX(T_EMP[TERMINATION DATE],ROW($B38)-ROW($B$8))),"NE",IF(NOT(ISERROR(MATCH(AA$8,L_HOLS,0))),"H",IF(INDEX(L_WKNDVAL,WEEKDAY(AA$8,1))=1,"WKND",INDEX(T_LEAVE[LEAVE CODE],SUMPRODUCT(--(T_LEAVE[NAME]=$B38),--(T_LEAVE[DATE]&lt;=AA$8),--(T_LEAVE[DATE]&gt;=AA$8),ROW(T_LEAVE[LEAVE CODE]))-ROW(T_LEAVE[#Headers]))))))),"")</f>
        <v/>
      </c>
      <c r="AB38" s="75" t="str">
        <f>IFERROR(IF(AB$8="","NA",IF(AB$8&lt;INDEX(T_EMP[START DATE],ROW($B38)-ROW($B$8)),"NE",IF(AND(INDEX(T_EMP[TERMINATION DATE],ROW($B38)-ROW($B$8))&gt;0,AB$8&gt;INDEX(T_EMP[TERMINATION DATE],ROW($B38)-ROW($B$8))),"NE",IF(NOT(ISERROR(MATCH(AB$8,L_HOLS,0))),"H",IF(INDEX(L_WKNDVAL,WEEKDAY(AB$8,1))=1,"WKND",INDEX(T_LEAVE[LEAVE CODE],SUMPRODUCT(--(T_LEAVE[NAME]=$B38),--(T_LEAVE[DATE]&lt;=AB$8),--(T_LEAVE[DATE]&gt;=AB$8),ROW(T_LEAVE[LEAVE CODE]))-ROW(T_LEAVE[#Headers]))))))),"")</f>
        <v/>
      </c>
      <c r="AC38" s="75" t="str">
        <f>IFERROR(IF(AC$8="","NA",IF(AC$8&lt;INDEX(T_EMP[START DATE],ROW($B38)-ROW($B$8)),"NE",IF(AND(INDEX(T_EMP[TERMINATION DATE],ROW($B38)-ROW($B$8))&gt;0,AC$8&gt;INDEX(T_EMP[TERMINATION DATE],ROW($B38)-ROW($B$8))),"NE",IF(NOT(ISERROR(MATCH(AC$8,L_HOLS,0))),"H",IF(INDEX(L_WKNDVAL,WEEKDAY(AC$8,1))=1,"WKND",INDEX(T_LEAVE[LEAVE CODE],SUMPRODUCT(--(T_LEAVE[NAME]=$B38),--(T_LEAVE[DATE]&lt;=AC$8),--(T_LEAVE[DATE]&gt;=AC$8),ROW(T_LEAVE[LEAVE CODE]))-ROW(T_LEAVE[#Headers]))))))),"")</f>
        <v/>
      </c>
      <c r="AD38" s="75" t="str">
        <f>IFERROR(IF(AD$8="","NA",IF(AD$8&lt;INDEX(T_EMP[START DATE],ROW($B38)-ROW($B$8)),"NE",IF(AND(INDEX(T_EMP[TERMINATION DATE],ROW($B38)-ROW($B$8))&gt;0,AD$8&gt;INDEX(T_EMP[TERMINATION DATE],ROW($B38)-ROW($B$8))),"NE",IF(NOT(ISERROR(MATCH(AD$8,L_HOLS,0))),"H",IF(INDEX(L_WKNDVAL,WEEKDAY(AD$8,1))=1,"WKND",INDEX(T_LEAVE[LEAVE CODE],SUMPRODUCT(--(T_LEAVE[NAME]=$B38),--(T_LEAVE[DATE]&lt;=AD$8),--(T_LEAVE[DATE]&gt;=AD$8),ROW(T_LEAVE[LEAVE CODE]))-ROW(T_LEAVE[#Headers]))))))),"")</f>
        <v/>
      </c>
      <c r="AE38" s="75" t="str">
        <f>IFERROR(IF(AE$8="","NA",IF(AE$8&lt;INDEX(T_EMP[START DATE],ROW($B38)-ROW($B$8)),"NE",IF(AND(INDEX(T_EMP[TERMINATION DATE],ROW($B38)-ROW($B$8))&gt;0,AE$8&gt;INDEX(T_EMP[TERMINATION DATE],ROW($B38)-ROW($B$8))),"NE",IF(NOT(ISERROR(MATCH(AE$8,L_HOLS,0))),"H",IF(INDEX(L_WKNDVAL,WEEKDAY(AE$8,1))=1,"WKND",INDEX(T_LEAVE[LEAVE CODE],SUMPRODUCT(--(T_LEAVE[NAME]=$B38),--(T_LEAVE[DATE]&lt;=AE$8),--(T_LEAVE[DATE]&gt;=AE$8),ROW(T_LEAVE[LEAVE CODE]))-ROW(T_LEAVE[#Headers]))))))),"")</f>
        <v/>
      </c>
      <c r="AF38" s="75" t="str">
        <f>IFERROR(IF(AF$8="","NA",IF(AF$8&lt;INDEX(T_EMP[START DATE],ROW($B38)-ROW($B$8)),"NE",IF(AND(INDEX(T_EMP[TERMINATION DATE],ROW($B38)-ROW($B$8))&gt;0,AF$8&gt;INDEX(T_EMP[TERMINATION DATE],ROW($B38)-ROW($B$8))),"NE",IF(NOT(ISERROR(MATCH(AF$8,L_HOLS,0))),"H",IF(INDEX(L_WKNDVAL,WEEKDAY(AF$8,1))=1,"WKND",INDEX(T_LEAVE[LEAVE CODE],SUMPRODUCT(--(T_LEAVE[NAME]=$B38),--(T_LEAVE[DATE]&lt;=AF$8),--(T_LEAVE[DATE]&gt;=AF$8),ROW(T_LEAVE[LEAVE CODE]))-ROW(T_LEAVE[#Headers]))))))),"")</f>
        <v/>
      </c>
      <c r="AG38" s="75" t="str">
        <f>IFERROR(IF(AG$8="","NA",IF(AG$8&lt;INDEX(T_EMP[START DATE],ROW($B38)-ROW($B$8)),"NE",IF(AND(INDEX(T_EMP[TERMINATION DATE],ROW($B38)-ROW($B$8))&gt;0,AG$8&gt;INDEX(T_EMP[TERMINATION DATE],ROW($B38)-ROW($B$8))),"NE",IF(NOT(ISERROR(MATCH(AG$8,L_HOLS,0))),"H",IF(INDEX(L_WKNDVAL,WEEKDAY(AG$8,1))=1,"WKND",INDEX(T_LEAVE[LEAVE CODE],SUMPRODUCT(--(T_LEAVE[NAME]=$B38),--(T_LEAVE[DATE]&lt;=AG$8),--(T_LEAVE[DATE]&gt;=AG$8),ROW(T_LEAVE[LEAVE CODE]))-ROW(T_LEAVE[#Headers]))))))),"")</f>
        <v/>
      </c>
      <c r="AH38" s="75" t="str">
        <f>IFERROR(IF(AH$8="","NA",IF(AH$8&lt;INDEX(T_EMP[START DATE],ROW($B38)-ROW($B$8)),"NE",IF(AND(INDEX(T_EMP[TERMINATION DATE],ROW($B38)-ROW($B$8))&gt;0,AH$8&gt;INDEX(T_EMP[TERMINATION DATE],ROW($B38)-ROW($B$8))),"NE",IF(NOT(ISERROR(MATCH(AH$8,L_HOLS,0))),"H",IF(INDEX(L_WKNDVAL,WEEKDAY(AH$8,1))=1,"WKND",INDEX(T_LEAVE[LEAVE CODE],SUMPRODUCT(--(T_LEAVE[NAME]=$B38),--(T_LEAVE[DATE]&lt;=AH$8),--(T_LEAVE[DATE]&gt;=AH$8),ROW(T_LEAVE[LEAVE CODE]))-ROW(T_LEAVE[#Headers]))))))),"")</f>
        <v/>
      </c>
      <c r="AJ38" s="88">
        <f>IF(OR($B38="",AJ$8=""),"",COUNTIFS($D38:$AH38,AJ$8)*INDEX(T_LEAVETYPE[DAY VALUE],1))</f>
        <v>0</v>
      </c>
      <c r="AK38" s="88">
        <f>IF(OR($B38="",AK$8=""),"",COUNTIFS($D38:$AH38,AK$8)*INDEX(T_LEAVETYPE[DAY VALUE],2))</f>
        <v>0</v>
      </c>
      <c r="AL38" s="88">
        <f>IF(OR($B38="",AL$8=""),"",COUNTIFS($D38:$AH38,AL$8)*INDEX(T_LEAVETYPE[DAY VALUE],3))</f>
        <v>0</v>
      </c>
      <c r="AM38" s="88">
        <f>IF(OR($B38="",AM$8=""),"",COUNTIFS($D38:$AH38,AM$8)*INDEX(T_LEAVETYPE[DAY VALUE],4))</f>
        <v>0</v>
      </c>
      <c r="AN38" s="88">
        <f>IF(OR($B38="",AN$8=""),"",COUNTIFS($D38:$AH38,AN$8)*INDEX(T_LEAVETYPE[DAY VALUE],5))</f>
        <v>0</v>
      </c>
      <c r="AO38" s="88">
        <f>IF(OR($B38="",AO$8=""),"",COUNTIFS($D38:$AH38,AO$8)*INDEX(T_LEAVETYPE[DAY VALUE],6))</f>
        <v>0</v>
      </c>
      <c r="AP38" s="88">
        <f>IF(OR($B38="",AP$8=""),"",COUNTIFS($D38:$AH38,AP$8)*INDEX(T_LEAVETYPE[DAY VALUE],7))</f>
        <v>0</v>
      </c>
      <c r="AQ38" s="88">
        <f>IF(OR($B38="",AQ$8=""),"",COUNTIFS($D38:$AH38,AQ$8)*INDEX(T_LEAVETYPE[DAY VALUE],8))</f>
        <v>0</v>
      </c>
      <c r="AR38" s="89">
        <f t="shared" si="3"/>
        <v>0</v>
      </c>
    </row>
    <row r="39" spans="1:44" x14ac:dyDescent="0.25">
      <c r="A39" s="90">
        <f t="shared" si="4"/>
        <v>31</v>
      </c>
      <c r="B39" s="74" t="str">
        <f>IFERROR(INDEX(T_EMP[NAME],ROW(B39)-ROW($B$8)),"")</f>
        <v>LATUGA, PHOEBE</v>
      </c>
      <c r="C39" s="91" t="str">
        <f>IFERROR(INDEX(T_EMP[DEPARTMENT],ROW(B39)-ROW($C$8)),"")</f>
        <v>IB SUPPORT</v>
      </c>
      <c r="D39" s="75" t="str">
        <f>IFERROR(IF(D$8="","NA",IF(D$8&lt;INDEX(T_EMP[START DATE],ROW($B39)-ROW($B$8)),"NE",IF(AND(INDEX(T_EMP[TERMINATION DATE],ROW($B39)-ROW($B$8))&gt;0,D$8&gt;INDEX(T_EMP[TERMINATION DATE],ROW($B39)-ROW($B$8))),"NE",IF(NOT(ISERROR(MATCH(D$8,L_HOLS,0))),"H",IF(INDEX(L_WKNDVAL,WEEKDAY(D$8,1))=1,"WKND",INDEX(T_LEAVE[LEAVE CODE],SUMPRODUCT(--(T_LEAVE[NAME]=$B39),--(T_LEAVE[DATE]&lt;=D$8),--(T_LEAVE[DATE]&gt;=D$8),ROW(T_LEAVE[LEAVE CODE]))-ROW(T_LEAVE[#Headers]))))))),"")</f>
        <v>H</v>
      </c>
      <c r="E39" s="75" t="str">
        <f>IFERROR(IF(E$8="","NA",IF(E$8&lt;INDEX(T_EMP[START DATE],ROW($B39)-ROW($B$8)),"NE",IF(AND(INDEX(T_EMP[TERMINATION DATE],ROW($B39)-ROW($B$8))&gt;0,E$8&gt;INDEX(T_EMP[TERMINATION DATE],ROW($B39)-ROW($B$8))),"NE",IF(NOT(ISERROR(MATCH(E$8,L_HOLS,0))),"H",IF(INDEX(L_WKNDVAL,WEEKDAY(E$8,1))=1,"WKND",INDEX(T_LEAVE[LEAVE CODE],SUMPRODUCT(--(T_LEAVE[NAME]=$B39),--(T_LEAVE[DATE]&lt;=E$8),--(T_LEAVE[DATE]&gt;=E$8),ROW(T_LEAVE[LEAVE CODE]))-ROW(T_LEAVE[#Headers]))))))),"")</f>
        <v/>
      </c>
      <c r="F39" s="75" t="str">
        <f>IFERROR(IF(F$8="","NA",IF(F$8&lt;INDEX(T_EMP[START DATE],ROW($B39)-ROW($B$8)),"NE",IF(AND(INDEX(T_EMP[TERMINATION DATE],ROW($B39)-ROW($B$8))&gt;0,F$8&gt;INDEX(T_EMP[TERMINATION DATE],ROW($B39)-ROW($B$8))),"NE",IF(NOT(ISERROR(MATCH(F$8,L_HOLS,0))),"H",IF(INDEX(L_WKNDVAL,WEEKDAY(F$8,1))=1,"WKND",INDEX(T_LEAVE[LEAVE CODE],SUMPRODUCT(--(T_LEAVE[NAME]=$B39),--(T_LEAVE[DATE]&lt;=F$8),--(T_LEAVE[DATE]&gt;=F$8),ROW(T_LEAVE[LEAVE CODE]))-ROW(T_LEAVE[#Headers]))))))),"")</f>
        <v/>
      </c>
      <c r="G39" s="75" t="str">
        <f>IFERROR(IF(G$8="","NA",IF(G$8&lt;INDEX(T_EMP[START DATE],ROW($B39)-ROW($B$8)),"NE",IF(AND(INDEX(T_EMP[TERMINATION DATE],ROW($B39)-ROW($B$8))&gt;0,G$8&gt;INDEX(T_EMP[TERMINATION DATE],ROW($B39)-ROW($B$8))),"NE",IF(NOT(ISERROR(MATCH(G$8,L_HOLS,0))),"H",IF(INDEX(L_WKNDVAL,WEEKDAY(G$8,1))=1,"WKND",INDEX(T_LEAVE[LEAVE CODE],SUMPRODUCT(--(T_LEAVE[NAME]=$B39),--(T_LEAVE[DATE]&lt;=G$8),--(T_LEAVE[DATE]&gt;=G$8),ROW(T_LEAVE[LEAVE CODE]))-ROW(T_LEAVE[#Headers]))))))),"")</f>
        <v/>
      </c>
      <c r="H39" s="75" t="str">
        <f>IFERROR(IF(H$8="","NA",IF(H$8&lt;INDEX(T_EMP[START DATE],ROW($B39)-ROW($B$8)),"NE",IF(AND(INDEX(T_EMP[TERMINATION DATE],ROW($B39)-ROW($B$8))&gt;0,H$8&gt;INDEX(T_EMP[TERMINATION DATE],ROW($B39)-ROW($B$8))),"NE",IF(NOT(ISERROR(MATCH(H$8,L_HOLS,0))),"H",IF(INDEX(L_WKNDVAL,WEEKDAY(H$8,1))=1,"WKND",INDEX(T_LEAVE[LEAVE CODE],SUMPRODUCT(--(T_LEAVE[NAME]=$B39),--(T_LEAVE[DATE]&lt;=H$8),--(T_LEAVE[DATE]&gt;=H$8),ROW(T_LEAVE[LEAVE CODE]))-ROW(T_LEAVE[#Headers]))))))),"")</f>
        <v/>
      </c>
      <c r="I39" s="75" t="str">
        <f>IFERROR(IF(I$8="","NA",IF(I$8&lt;INDEX(T_EMP[START DATE],ROW($B39)-ROW($B$8)),"NE",IF(AND(INDEX(T_EMP[TERMINATION DATE],ROW($B39)-ROW($B$8))&gt;0,I$8&gt;INDEX(T_EMP[TERMINATION DATE],ROW($B39)-ROW($B$8))),"NE",IF(NOT(ISERROR(MATCH(I$8,L_HOLS,0))),"H",IF(INDEX(L_WKNDVAL,WEEKDAY(I$8,1))=1,"WKND",INDEX(T_LEAVE[LEAVE CODE],SUMPRODUCT(--(T_LEAVE[NAME]=$B39),--(T_LEAVE[DATE]&lt;=I$8),--(T_LEAVE[DATE]&gt;=I$8),ROW(T_LEAVE[LEAVE CODE]))-ROW(T_LEAVE[#Headers]))))))),"")</f>
        <v/>
      </c>
      <c r="J39" s="75" t="str">
        <f>IFERROR(IF(J$8="","NA",IF(J$8&lt;INDEX(T_EMP[START DATE],ROW($B39)-ROW($B$8)),"NE",IF(AND(INDEX(T_EMP[TERMINATION DATE],ROW($B39)-ROW($B$8))&gt;0,J$8&gt;INDEX(T_EMP[TERMINATION DATE],ROW($B39)-ROW($B$8))),"NE",IF(NOT(ISERROR(MATCH(J$8,L_HOLS,0))),"H",IF(INDEX(L_WKNDVAL,WEEKDAY(J$8,1))=1,"WKND",INDEX(T_LEAVE[LEAVE CODE],SUMPRODUCT(--(T_LEAVE[NAME]=$B39),--(T_LEAVE[DATE]&lt;=J$8),--(T_LEAVE[DATE]&gt;=J$8),ROW(T_LEAVE[LEAVE CODE]))-ROW(T_LEAVE[#Headers]))))))),"")</f>
        <v/>
      </c>
      <c r="K39" s="75" t="str">
        <f>IFERROR(IF(K$8="","NA",IF(K$8&lt;INDEX(T_EMP[START DATE],ROW($B39)-ROW($B$8)),"NE",IF(AND(INDEX(T_EMP[TERMINATION DATE],ROW($B39)-ROW($B$8))&gt;0,K$8&gt;INDEX(T_EMP[TERMINATION DATE],ROW($B39)-ROW($B$8))),"NE",IF(NOT(ISERROR(MATCH(K$8,L_HOLS,0))),"H",IF(INDEX(L_WKNDVAL,WEEKDAY(K$8,1))=1,"WKND",INDEX(T_LEAVE[LEAVE CODE],SUMPRODUCT(--(T_LEAVE[NAME]=$B39),--(T_LEAVE[DATE]&lt;=K$8),--(T_LEAVE[DATE]&gt;=K$8),ROW(T_LEAVE[LEAVE CODE]))-ROW(T_LEAVE[#Headers]))))))),"")</f>
        <v/>
      </c>
      <c r="L39" s="75" t="str">
        <f>IFERROR(IF(L$8="","NA",IF(L$8&lt;INDEX(T_EMP[START DATE],ROW($B39)-ROW($B$8)),"NE",IF(AND(INDEX(T_EMP[TERMINATION DATE],ROW($B39)-ROW($B$8))&gt;0,L$8&gt;INDEX(T_EMP[TERMINATION DATE],ROW($B39)-ROW($B$8))),"NE",IF(NOT(ISERROR(MATCH(L$8,L_HOLS,0))),"H",IF(INDEX(L_WKNDVAL,WEEKDAY(L$8,1))=1,"WKND",INDEX(T_LEAVE[LEAVE CODE],SUMPRODUCT(--(T_LEAVE[NAME]=$B39),--(T_LEAVE[DATE]&lt;=L$8),--(T_LEAVE[DATE]&gt;=L$8),ROW(T_LEAVE[LEAVE CODE]))-ROW(T_LEAVE[#Headers]))))))),"")</f>
        <v/>
      </c>
      <c r="M39" s="75" t="str">
        <f>IFERROR(IF(M$8="","NA",IF(M$8&lt;INDEX(T_EMP[START DATE],ROW($B39)-ROW($B$8)),"NE",IF(AND(INDEX(T_EMP[TERMINATION DATE],ROW($B39)-ROW($B$8))&gt;0,M$8&gt;INDEX(T_EMP[TERMINATION DATE],ROW($B39)-ROW($B$8))),"NE",IF(NOT(ISERROR(MATCH(M$8,L_HOLS,0))),"H",IF(INDEX(L_WKNDVAL,WEEKDAY(M$8,1))=1,"WKND",INDEX(T_LEAVE[LEAVE CODE],SUMPRODUCT(--(T_LEAVE[NAME]=$B39),--(T_LEAVE[DATE]&lt;=M$8),--(T_LEAVE[DATE]&gt;=M$8),ROW(T_LEAVE[LEAVE CODE]))-ROW(T_LEAVE[#Headers]))))))),"")</f>
        <v/>
      </c>
      <c r="N39" s="75" t="str">
        <f>IFERROR(IF(N$8="","NA",IF(N$8&lt;INDEX(T_EMP[START DATE],ROW($B39)-ROW($B$8)),"NE",IF(AND(INDEX(T_EMP[TERMINATION DATE],ROW($B39)-ROW($B$8))&gt;0,N$8&gt;INDEX(T_EMP[TERMINATION DATE],ROW($B39)-ROW($B$8))),"NE",IF(NOT(ISERROR(MATCH(N$8,L_HOLS,0))),"H",IF(INDEX(L_WKNDVAL,WEEKDAY(N$8,1))=1,"WKND",INDEX(T_LEAVE[LEAVE CODE],SUMPRODUCT(--(T_LEAVE[NAME]=$B39),--(T_LEAVE[DATE]&lt;=N$8),--(T_LEAVE[DATE]&gt;=N$8),ROW(T_LEAVE[LEAVE CODE]))-ROW(T_LEAVE[#Headers]))))))),"")</f>
        <v/>
      </c>
      <c r="O39" s="75" t="str">
        <f>IFERROR(IF(O$8="","NA",IF(O$8&lt;INDEX(T_EMP[START DATE],ROW($B39)-ROW($B$8)),"NE",IF(AND(INDEX(T_EMP[TERMINATION DATE],ROW($B39)-ROW($B$8))&gt;0,O$8&gt;INDEX(T_EMP[TERMINATION DATE],ROW($B39)-ROW($B$8))),"NE",IF(NOT(ISERROR(MATCH(O$8,L_HOLS,0))),"H",IF(INDEX(L_WKNDVAL,WEEKDAY(O$8,1))=1,"WKND",INDEX(T_LEAVE[LEAVE CODE],SUMPRODUCT(--(T_LEAVE[NAME]=$B39),--(T_LEAVE[DATE]&lt;=O$8),--(T_LEAVE[DATE]&gt;=O$8),ROW(T_LEAVE[LEAVE CODE]))-ROW(T_LEAVE[#Headers]))))))),"")</f>
        <v/>
      </c>
      <c r="P39" s="75" t="str">
        <f>IFERROR(IF(P$8="","NA",IF(P$8&lt;INDEX(T_EMP[START DATE],ROW($B39)-ROW($B$8)),"NE",IF(AND(INDEX(T_EMP[TERMINATION DATE],ROW($B39)-ROW($B$8))&gt;0,P$8&gt;INDEX(T_EMP[TERMINATION DATE],ROW($B39)-ROW($B$8))),"NE",IF(NOT(ISERROR(MATCH(P$8,L_HOLS,0))),"H",IF(INDEX(L_WKNDVAL,WEEKDAY(P$8,1))=1,"WKND",INDEX(T_LEAVE[LEAVE CODE],SUMPRODUCT(--(T_LEAVE[NAME]=$B39),--(T_LEAVE[DATE]&lt;=P$8),--(T_LEAVE[DATE]&gt;=P$8),ROW(T_LEAVE[LEAVE CODE]))-ROW(T_LEAVE[#Headers]))))))),"")</f>
        <v>H</v>
      </c>
      <c r="Q39" s="75" t="str">
        <f>IFERROR(IF(Q$8="","NA",IF(Q$8&lt;INDEX(T_EMP[START DATE],ROW($B39)-ROW($B$8)),"NE",IF(AND(INDEX(T_EMP[TERMINATION DATE],ROW($B39)-ROW($B$8))&gt;0,Q$8&gt;INDEX(T_EMP[TERMINATION DATE],ROW($B39)-ROW($B$8))),"NE",IF(NOT(ISERROR(MATCH(Q$8,L_HOLS,0))),"H",IF(INDEX(L_WKNDVAL,WEEKDAY(Q$8,1))=1,"WKND",INDEX(T_LEAVE[LEAVE CODE],SUMPRODUCT(--(T_LEAVE[NAME]=$B39),--(T_LEAVE[DATE]&lt;=Q$8),--(T_LEAVE[DATE]&gt;=Q$8),ROW(T_LEAVE[LEAVE CODE]))-ROW(T_LEAVE[#Headers]))))))),"")</f>
        <v/>
      </c>
      <c r="R39" s="75" t="str">
        <f>IFERROR(IF(R$8="","NA",IF(R$8&lt;INDEX(T_EMP[START DATE],ROW($B39)-ROW($B$8)),"NE",IF(AND(INDEX(T_EMP[TERMINATION DATE],ROW($B39)-ROW($B$8))&gt;0,R$8&gt;INDEX(T_EMP[TERMINATION DATE],ROW($B39)-ROW($B$8))),"NE",IF(NOT(ISERROR(MATCH(R$8,L_HOLS,0))),"H",IF(INDEX(L_WKNDVAL,WEEKDAY(R$8,1))=1,"WKND",INDEX(T_LEAVE[LEAVE CODE],SUMPRODUCT(--(T_LEAVE[NAME]=$B39),--(T_LEAVE[DATE]&lt;=R$8),--(T_LEAVE[DATE]&gt;=R$8),ROW(T_LEAVE[LEAVE CODE]))-ROW(T_LEAVE[#Headers]))))))),"")</f>
        <v/>
      </c>
      <c r="S39" s="75" t="str">
        <f>IFERROR(IF(S$8="","NA",IF(S$8&lt;INDEX(T_EMP[START DATE],ROW($B39)-ROW($B$8)),"NE",IF(AND(INDEX(T_EMP[TERMINATION DATE],ROW($B39)-ROW($B$8))&gt;0,S$8&gt;INDEX(T_EMP[TERMINATION DATE],ROW($B39)-ROW($B$8))),"NE",IF(NOT(ISERROR(MATCH(S$8,L_HOLS,0))),"H",IF(INDEX(L_WKNDVAL,WEEKDAY(S$8,1))=1,"WKND",INDEX(T_LEAVE[LEAVE CODE],SUMPRODUCT(--(T_LEAVE[NAME]=$B39),--(T_LEAVE[DATE]&lt;=S$8),--(T_LEAVE[DATE]&gt;=S$8),ROW(T_LEAVE[LEAVE CODE]))-ROW(T_LEAVE[#Headers]))))))),"")</f>
        <v/>
      </c>
      <c r="T39" s="75" t="str">
        <f>IFERROR(IF(T$8="","NA",IF(T$8&lt;INDEX(T_EMP[START DATE],ROW($B39)-ROW($B$8)),"NE",IF(AND(INDEX(T_EMP[TERMINATION DATE],ROW($B39)-ROW($B$8))&gt;0,T$8&gt;INDEX(T_EMP[TERMINATION DATE],ROW($B39)-ROW($B$8))),"NE",IF(NOT(ISERROR(MATCH(T$8,L_HOLS,0))),"H",IF(INDEX(L_WKNDVAL,WEEKDAY(T$8,1))=1,"WKND",INDEX(T_LEAVE[LEAVE CODE],SUMPRODUCT(--(T_LEAVE[NAME]=$B39),--(T_LEAVE[DATE]&lt;=T$8),--(T_LEAVE[DATE]&gt;=T$8),ROW(T_LEAVE[LEAVE CODE]))-ROW(T_LEAVE[#Headers]))))))),"")</f>
        <v/>
      </c>
      <c r="U39" s="75" t="str">
        <f>IFERROR(IF(U$8="","NA",IF(U$8&lt;INDEX(T_EMP[START DATE],ROW($B39)-ROW($B$8)),"NE",IF(AND(INDEX(T_EMP[TERMINATION DATE],ROW($B39)-ROW($B$8))&gt;0,U$8&gt;INDEX(T_EMP[TERMINATION DATE],ROW($B39)-ROW($B$8))),"NE",IF(NOT(ISERROR(MATCH(U$8,L_HOLS,0))),"H",IF(INDEX(L_WKNDVAL,WEEKDAY(U$8,1))=1,"WKND",INDEX(T_LEAVE[LEAVE CODE],SUMPRODUCT(--(T_LEAVE[NAME]=$B39),--(T_LEAVE[DATE]&lt;=U$8),--(T_LEAVE[DATE]&gt;=U$8),ROW(T_LEAVE[LEAVE CODE]))-ROW(T_LEAVE[#Headers]))))))),"")</f>
        <v/>
      </c>
      <c r="V39" s="75" t="str">
        <f>IFERROR(IF(V$8="","NA",IF(V$8&lt;INDEX(T_EMP[START DATE],ROW($B39)-ROW($B$8)),"NE",IF(AND(INDEX(T_EMP[TERMINATION DATE],ROW($B39)-ROW($B$8))&gt;0,V$8&gt;INDEX(T_EMP[TERMINATION DATE],ROW($B39)-ROW($B$8))),"NE",IF(NOT(ISERROR(MATCH(V$8,L_HOLS,0))),"H",IF(INDEX(L_WKNDVAL,WEEKDAY(V$8,1))=1,"WKND",INDEX(T_LEAVE[LEAVE CODE],SUMPRODUCT(--(T_LEAVE[NAME]=$B39),--(T_LEAVE[DATE]&lt;=V$8),--(T_LEAVE[DATE]&gt;=V$8),ROW(T_LEAVE[LEAVE CODE]))-ROW(T_LEAVE[#Headers]))))))),"")</f>
        <v/>
      </c>
      <c r="W39" s="75" t="str">
        <f>IFERROR(IF(W$8="","NA",IF(W$8&lt;INDEX(T_EMP[START DATE],ROW($B39)-ROW($B$8)),"NE",IF(AND(INDEX(T_EMP[TERMINATION DATE],ROW($B39)-ROW($B$8))&gt;0,W$8&gt;INDEX(T_EMP[TERMINATION DATE],ROW($B39)-ROW($B$8))),"NE",IF(NOT(ISERROR(MATCH(W$8,L_HOLS,0))),"H",IF(INDEX(L_WKNDVAL,WEEKDAY(W$8,1))=1,"WKND",INDEX(T_LEAVE[LEAVE CODE],SUMPRODUCT(--(T_LEAVE[NAME]=$B39),--(T_LEAVE[DATE]&lt;=W$8),--(T_LEAVE[DATE]&gt;=W$8),ROW(T_LEAVE[LEAVE CODE]))-ROW(T_LEAVE[#Headers]))))))),"")</f>
        <v/>
      </c>
      <c r="X39" s="75" t="str">
        <f>IFERROR(IF(X$8="","NA",IF(X$8&lt;INDEX(T_EMP[START DATE],ROW($B39)-ROW($B$8)),"NE",IF(AND(INDEX(T_EMP[TERMINATION DATE],ROW($B39)-ROW($B$8))&gt;0,X$8&gt;INDEX(T_EMP[TERMINATION DATE],ROW($B39)-ROW($B$8))),"NE",IF(NOT(ISERROR(MATCH(X$8,L_HOLS,0))),"H",IF(INDEX(L_WKNDVAL,WEEKDAY(X$8,1))=1,"WKND",INDEX(T_LEAVE[LEAVE CODE],SUMPRODUCT(--(T_LEAVE[NAME]=$B39),--(T_LEAVE[DATE]&lt;=X$8),--(T_LEAVE[DATE]&gt;=X$8),ROW(T_LEAVE[LEAVE CODE]))-ROW(T_LEAVE[#Headers]))))))),"")</f>
        <v/>
      </c>
      <c r="Y39" s="75" t="str">
        <f>IFERROR(IF(Y$8="","NA",IF(Y$8&lt;INDEX(T_EMP[START DATE],ROW($B39)-ROW($B$8)),"NE",IF(AND(INDEX(T_EMP[TERMINATION DATE],ROW($B39)-ROW($B$8))&gt;0,Y$8&gt;INDEX(T_EMP[TERMINATION DATE],ROW($B39)-ROW($B$8))),"NE",IF(NOT(ISERROR(MATCH(Y$8,L_HOLS,0))),"H",IF(INDEX(L_WKNDVAL,WEEKDAY(Y$8,1))=1,"WKND",INDEX(T_LEAVE[LEAVE CODE],SUMPRODUCT(--(T_LEAVE[NAME]=$B39),--(T_LEAVE[DATE]&lt;=Y$8),--(T_LEAVE[DATE]&gt;=Y$8),ROW(T_LEAVE[LEAVE CODE]))-ROW(T_LEAVE[#Headers]))))))),"")</f>
        <v/>
      </c>
      <c r="Z39" s="75" t="str">
        <f>IFERROR(IF(Z$8="","NA",IF(Z$8&lt;INDEX(T_EMP[START DATE],ROW($B39)-ROW($B$8)),"NE",IF(AND(INDEX(T_EMP[TERMINATION DATE],ROW($B39)-ROW($B$8))&gt;0,Z$8&gt;INDEX(T_EMP[TERMINATION DATE],ROW($B39)-ROW($B$8))),"NE",IF(NOT(ISERROR(MATCH(Z$8,L_HOLS,0))),"H",IF(INDEX(L_WKNDVAL,WEEKDAY(Z$8,1))=1,"WKND",INDEX(T_LEAVE[LEAVE CODE],SUMPRODUCT(--(T_LEAVE[NAME]=$B39),--(T_LEAVE[DATE]&lt;=Z$8),--(T_LEAVE[DATE]&gt;=Z$8),ROW(T_LEAVE[LEAVE CODE]))-ROW(T_LEAVE[#Headers]))))))),"")</f>
        <v/>
      </c>
      <c r="AA39" s="75" t="str">
        <f>IFERROR(IF(AA$8="","NA",IF(AA$8&lt;INDEX(T_EMP[START DATE],ROW($B39)-ROW($B$8)),"NE",IF(AND(INDEX(T_EMP[TERMINATION DATE],ROW($B39)-ROW($B$8))&gt;0,AA$8&gt;INDEX(T_EMP[TERMINATION DATE],ROW($B39)-ROW($B$8))),"NE",IF(NOT(ISERROR(MATCH(AA$8,L_HOLS,0))),"H",IF(INDEX(L_WKNDVAL,WEEKDAY(AA$8,1))=1,"WKND",INDEX(T_LEAVE[LEAVE CODE],SUMPRODUCT(--(T_LEAVE[NAME]=$B39),--(T_LEAVE[DATE]&lt;=AA$8),--(T_LEAVE[DATE]&gt;=AA$8),ROW(T_LEAVE[LEAVE CODE]))-ROW(T_LEAVE[#Headers]))))))),"")</f>
        <v/>
      </c>
      <c r="AB39" s="75" t="str">
        <f>IFERROR(IF(AB$8="","NA",IF(AB$8&lt;INDEX(T_EMP[START DATE],ROW($B39)-ROW($B$8)),"NE",IF(AND(INDEX(T_EMP[TERMINATION DATE],ROW($B39)-ROW($B$8))&gt;0,AB$8&gt;INDEX(T_EMP[TERMINATION DATE],ROW($B39)-ROW($B$8))),"NE",IF(NOT(ISERROR(MATCH(AB$8,L_HOLS,0))),"H",IF(INDEX(L_WKNDVAL,WEEKDAY(AB$8,1))=1,"WKND",INDEX(T_LEAVE[LEAVE CODE],SUMPRODUCT(--(T_LEAVE[NAME]=$B39),--(T_LEAVE[DATE]&lt;=AB$8),--(T_LEAVE[DATE]&gt;=AB$8),ROW(T_LEAVE[LEAVE CODE]))-ROW(T_LEAVE[#Headers]))))))),"")</f>
        <v/>
      </c>
      <c r="AC39" s="75" t="str">
        <f>IFERROR(IF(AC$8="","NA",IF(AC$8&lt;INDEX(T_EMP[START DATE],ROW($B39)-ROW($B$8)),"NE",IF(AND(INDEX(T_EMP[TERMINATION DATE],ROW($B39)-ROW($B$8))&gt;0,AC$8&gt;INDEX(T_EMP[TERMINATION DATE],ROW($B39)-ROW($B$8))),"NE",IF(NOT(ISERROR(MATCH(AC$8,L_HOLS,0))),"H",IF(INDEX(L_WKNDVAL,WEEKDAY(AC$8,1))=1,"WKND",INDEX(T_LEAVE[LEAVE CODE],SUMPRODUCT(--(T_LEAVE[NAME]=$B39),--(T_LEAVE[DATE]&lt;=AC$8),--(T_LEAVE[DATE]&gt;=AC$8),ROW(T_LEAVE[LEAVE CODE]))-ROW(T_LEAVE[#Headers]))))))),"")</f>
        <v/>
      </c>
      <c r="AD39" s="75" t="str">
        <f>IFERROR(IF(AD$8="","NA",IF(AD$8&lt;INDEX(T_EMP[START DATE],ROW($B39)-ROW($B$8)),"NE",IF(AND(INDEX(T_EMP[TERMINATION DATE],ROW($B39)-ROW($B$8))&gt;0,AD$8&gt;INDEX(T_EMP[TERMINATION DATE],ROW($B39)-ROW($B$8))),"NE",IF(NOT(ISERROR(MATCH(AD$8,L_HOLS,0))),"H",IF(INDEX(L_WKNDVAL,WEEKDAY(AD$8,1))=1,"WKND",INDEX(T_LEAVE[LEAVE CODE],SUMPRODUCT(--(T_LEAVE[NAME]=$B39),--(T_LEAVE[DATE]&lt;=AD$8),--(T_LEAVE[DATE]&gt;=AD$8),ROW(T_LEAVE[LEAVE CODE]))-ROW(T_LEAVE[#Headers]))))))),"")</f>
        <v/>
      </c>
      <c r="AE39" s="75" t="str">
        <f>IFERROR(IF(AE$8="","NA",IF(AE$8&lt;INDEX(T_EMP[START DATE],ROW($B39)-ROW($B$8)),"NE",IF(AND(INDEX(T_EMP[TERMINATION DATE],ROW($B39)-ROW($B$8))&gt;0,AE$8&gt;INDEX(T_EMP[TERMINATION DATE],ROW($B39)-ROW($B$8))),"NE",IF(NOT(ISERROR(MATCH(AE$8,L_HOLS,0))),"H",IF(INDEX(L_WKNDVAL,WEEKDAY(AE$8,1))=1,"WKND",INDEX(T_LEAVE[LEAVE CODE],SUMPRODUCT(--(T_LEAVE[NAME]=$B39),--(T_LEAVE[DATE]&lt;=AE$8),--(T_LEAVE[DATE]&gt;=AE$8),ROW(T_LEAVE[LEAVE CODE]))-ROW(T_LEAVE[#Headers]))))))),"")</f>
        <v/>
      </c>
      <c r="AF39" s="75" t="str">
        <f>IFERROR(IF(AF$8="","NA",IF(AF$8&lt;INDEX(T_EMP[START DATE],ROW($B39)-ROW($B$8)),"NE",IF(AND(INDEX(T_EMP[TERMINATION DATE],ROW($B39)-ROW($B$8))&gt;0,AF$8&gt;INDEX(T_EMP[TERMINATION DATE],ROW($B39)-ROW($B$8))),"NE",IF(NOT(ISERROR(MATCH(AF$8,L_HOLS,0))),"H",IF(INDEX(L_WKNDVAL,WEEKDAY(AF$8,1))=1,"WKND",INDEX(T_LEAVE[LEAVE CODE],SUMPRODUCT(--(T_LEAVE[NAME]=$B39),--(T_LEAVE[DATE]&lt;=AF$8),--(T_LEAVE[DATE]&gt;=AF$8),ROW(T_LEAVE[LEAVE CODE]))-ROW(T_LEAVE[#Headers]))))))),"")</f>
        <v/>
      </c>
      <c r="AG39" s="75" t="str">
        <f>IFERROR(IF(AG$8="","NA",IF(AG$8&lt;INDEX(T_EMP[START DATE],ROW($B39)-ROW($B$8)),"NE",IF(AND(INDEX(T_EMP[TERMINATION DATE],ROW($B39)-ROW($B$8))&gt;0,AG$8&gt;INDEX(T_EMP[TERMINATION DATE],ROW($B39)-ROW($B$8))),"NE",IF(NOT(ISERROR(MATCH(AG$8,L_HOLS,0))),"H",IF(INDEX(L_WKNDVAL,WEEKDAY(AG$8,1))=1,"WKND",INDEX(T_LEAVE[LEAVE CODE],SUMPRODUCT(--(T_LEAVE[NAME]=$B39),--(T_LEAVE[DATE]&lt;=AG$8),--(T_LEAVE[DATE]&gt;=AG$8),ROW(T_LEAVE[LEAVE CODE]))-ROW(T_LEAVE[#Headers]))))))),"")</f>
        <v/>
      </c>
      <c r="AH39" s="75" t="str">
        <f>IFERROR(IF(AH$8="","NA",IF(AH$8&lt;INDEX(T_EMP[START DATE],ROW($B39)-ROW($B$8)),"NE",IF(AND(INDEX(T_EMP[TERMINATION DATE],ROW($B39)-ROW($B$8))&gt;0,AH$8&gt;INDEX(T_EMP[TERMINATION DATE],ROW($B39)-ROW($B$8))),"NE",IF(NOT(ISERROR(MATCH(AH$8,L_HOLS,0))),"H",IF(INDEX(L_WKNDVAL,WEEKDAY(AH$8,1))=1,"WKND",INDEX(T_LEAVE[LEAVE CODE],SUMPRODUCT(--(T_LEAVE[NAME]=$B39),--(T_LEAVE[DATE]&lt;=AH$8),--(T_LEAVE[DATE]&gt;=AH$8),ROW(T_LEAVE[LEAVE CODE]))-ROW(T_LEAVE[#Headers]))))))),"")</f>
        <v/>
      </c>
      <c r="AJ39" s="88">
        <f>IF(OR($B39="",AJ$8=""),"",COUNTIFS($D39:$AH39,AJ$8)*INDEX(T_LEAVETYPE[DAY VALUE],1))</f>
        <v>0</v>
      </c>
      <c r="AK39" s="88">
        <f>IF(OR($B39="",AK$8=""),"",COUNTIFS($D39:$AH39,AK$8)*INDEX(T_LEAVETYPE[DAY VALUE],2))</f>
        <v>0</v>
      </c>
      <c r="AL39" s="88">
        <f>IF(OR($B39="",AL$8=""),"",COUNTIFS($D39:$AH39,AL$8)*INDEX(T_LEAVETYPE[DAY VALUE],3))</f>
        <v>0</v>
      </c>
      <c r="AM39" s="88">
        <f>IF(OR($B39="",AM$8=""),"",COUNTIFS($D39:$AH39,AM$8)*INDEX(T_LEAVETYPE[DAY VALUE],4))</f>
        <v>0</v>
      </c>
      <c r="AN39" s="88">
        <f>IF(OR($B39="",AN$8=""),"",COUNTIFS($D39:$AH39,AN$8)*INDEX(T_LEAVETYPE[DAY VALUE],5))</f>
        <v>0</v>
      </c>
      <c r="AO39" s="88">
        <f>IF(OR($B39="",AO$8=""),"",COUNTIFS($D39:$AH39,AO$8)*INDEX(T_LEAVETYPE[DAY VALUE],6))</f>
        <v>0</v>
      </c>
      <c r="AP39" s="88">
        <f>IF(OR($B39="",AP$8=""),"",COUNTIFS($D39:$AH39,AP$8)*INDEX(T_LEAVETYPE[DAY VALUE],7))</f>
        <v>0</v>
      </c>
      <c r="AQ39" s="88">
        <f>IF(OR($B39="",AQ$8=""),"",COUNTIFS($D39:$AH39,AQ$8)*INDEX(T_LEAVETYPE[DAY VALUE],8))</f>
        <v>0</v>
      </c>
      <c r="AR39" s="89">
        <f t="shared" si="3"/>
        <v>0</v>
      </c>
    </row>
    <row r="40" spans="1:44" x14ac:dyDescent="0.25">
      <c r="A40" s="90">
        <f t="shared" si="4"/>
        <v>32</v>
      </c>
      <c r="B40" s="74" t="str">
        <f>IFERROR(INDEX(T_EMP[NAME],ROW(B40)-ROW($B$8)),"")</f>
        <v>AYAG, PRINCESS</v>
      </c>
      <c r="C40" s="91" t="str">
        <f>IFERROR(INDEX(T_EMP[DEPARTMENT],ROW(B40)-ROW($C$8)),"")</f>
        <v>IB SUPPORT</v>
      </c>
      <c r="D40" s="75" t="str">
        <f>IFERROR(IF(D$8="","NA",IF(D$8&lt;INDEX(T_EMP[START DATE],ROW($B40)-ROW($B$8)),"NE",IF(AND(INDEX(T_EMP[TERMINATION DATE],ROW($B40)-ROW($B$8))&gt;0,D$8&gt;INDEX(T_EMP[TERMINATION DATE],ROW($B40)-ROW($B$8))),"NE",IF(NOT(ISERROR(MATCH(D$8,L_HOLS,0))),"H",IF(INDEX(L_WKNDVAL,WEEKDAY(D$8,1))=1,"WKND",INDEX(T_LEAVE[LEAVE CODE],SUMPRODUCT(--(T_LEAVE[NAME]=$B40),--(T_LEAVE[DATE]&lt;=D$8),--(T_LEAVE[DATE]&gt;=D$8),ROW(T_LEAVE[LEAVE CODE]))-ROW(T_LEAVE[#Headers]))))))),"")</f>
        <v>H</v>
      </c>
      <c r="E40" s="75" t="str">
        <f>IFERROR(IF(E$8="","NA",IF(E$8&lt;INDEX(T_EMP[START DATE],ROW($B40)-ROW($B$8)),"NE",IF(AND(INDEX(T_EMP[TERMINATION DATE],ROW($B40)-ROW($B$8))&gt;0,E$8&gt;INDEX(T_EMP[TERMINATION DATE],ROW($B40)-ROW($B$8))),"NE",IF(NOT(ISERROR(MATCH(E$8,L_HOLS,0))),"H",IF(INDEX(L_WKNDVAL,WEEKDAY(E$8,1))=1,"WKND",INDEX(T_LEAVE[LEAVE CODE],SUMPRODUCT(--(T_LEAVE[NAME]=$B40),--(T_LEAVE[DATE]&lt;=E$8),--(T_LEAVE[DATE]&gt;=E$8),ROW(T_LEAVE[LEAVE CODE]))-ROW(T_LEAVE[#Headers]))))))),"")</f>
        <v/>
      </c>
      <c r="F40" s="75" t="str">
        <f>IFERROR(IF(F$8="","NA",IF(F$8&lt;INDEX(T_EMP[START DATE],ROW($B40)-ROW($B$8)),"NE",IF(AND(INDEX(T_EMP[TERMINATION DATE],ROW($B40)-ROW($B$8))&gt;0,F$8&gt;INDEX(T_EMP[TERMINATION DATE],ROW($B40)-ROW($B$8))),"NE",IF(NOT(ISERROR(MATCH(F$8,L_HOLS,0))),"H",IF(INDEX(L_WKNDVAL,WEEKDAY(F$8,1))=1,"WKND",INDEX(T_LEAVE[LEAVE CODE],SUMPRODUCT(--(T_LEAVE[NAME]=$B40),--(T_LEAVE[DATE]&lt;=F$8),--(T_LEAVE[DATE]&gt;=F$8),ROW(T_LEAVE[LEAVE CODE]))-ROW(T_LEAVE[#Headers]))))))),"")</f>
        <v/>
      </c>
      <c r="G40" s="75" t="str">
        <f>IFERROR(IF(G$8="","NA",IF(G$8&lt;INDEX(T_EMP[START DATE],ROW($B40)-ROW($B$8)),"NE",IF(AND(INDEX(T_EMP[TERMINATION DATE],ROW($B40)-ROW($B$8))&gt;0,G$8&gt;INDEX(T_EMP[TERMINATION DATE],ROW($B40)-ROW($B$8))),"NE",IF(NOT(ISERROR(MATCH(G$8,L_HOLS,0))),"H",IF(INDEX(L_WKNDVAL,WEEKDAY(G$8,1))=1,"WKND",INDEX(T_LEAVE[LEAVE CODE],SUMPRODUCT(--(T_LEAVE[NAME]=$B40),--(T_LEAVE[DATE]&lt;=G$8),--(T_LEAVE[DATE]&gt;=G$8),ROW(T_LEAVE[LEAVE CODE]))-ROW(T_LEAVE[#Headers]))))))),"")</f>
        <v/>
      </c>
      <c r="H40" s="75" t="str">
        <f>IFERROR(IF(H$8="","NA",IF(H$8&lt;INDEX(T_EMP[START DATE],ROW($B40)-ROW($B$8)),"NE",IF(AND(INDEX(T_EMP[TERMINATION DATE],ROW($B40)-ROW($B$8))&gt;0,H$8&gt;INDEX(T_EMP[TERMINATION DATE],ROW($B40)-ROW($B$8))),"NE",IF(NOT(ISERROR(MATCH(H$8,L_HOLS,0))),"H",IF(INDEX(L_WKNDVAL,WEEKDAY(H$8,1))=1,"WKND",INDEX(T_LEAVE[LEAVE CODE],SUMPRODUCT(--(T_LEAVE[NAME]=$B40),--(T_LEAVE[DATE]&lt;=H$8),--(T_LEAVE[DATE]&gt;=H$8),ROW(T_LEAVE[LEAVE CODE]))-ROW(T_LEAVE[#Headers]))))))),"")</f>
        <v/>
      </c>
      <c r="I40" s="75" t="str">
        <f>IFERROR(IF(I$8="","NA",IF(I$8&lt;INDEX(T_EMP[START DATE],ROW($B40)-ROW($B$8)),"NE",IF(AND(INDEX(T_EMP[TERMINATION DATE],ROW($B40)-ROW($B$8))&gt;0,I$8&gt;INDEX(T_EMP[TERMINATION DATE],ROW($B40)-ROW($B$8))),"NE",IF(NOT(ISERROR(MATCH(I$8,L_HOLS,0))),"H",IF(INDEX(L_WKNDVAL,WEEKDAY(I$8,1))=1,"WKND",INDEX(T_LEAVE[LEAVE CODE],SUMPRODUCT(--(T_LEAVE[NAME]=$B40),--(T_LEAVE[DATE]&lt;=I$8),--(T_LEAVE[DATE]&gt;=I$8),ROW(T_LEAVE[LEAVE CODE]))-ROW(T_LEAVE[#Headers]))))))),"")</f>
        <v/>
      </c>
      <c r="J40" s="75" t="str">
        <f>IFERROR(IF(J$8="","NA",IF(J$8&lt;INDEX(T_EMP[START DATE],ROW($B40)-ROW($B$8)),"NE",IF(AND(INDEX(T_EMP[TERMINATION DATE],ROW($B40)-ROW($B$8))&gt;0,J$8&gt;INDEX(T_EMP[TERMINATION DATE],ROW($B40)-ROW($B$8))),"NE",IF(NOT(ISERROR(MATCH(J$8,L_HOLS,0))),"H",IF(INDEX(L_WKNDVAL,WEEKDAY(J$8,1))=1,"WKND",INDEX(T_LEAVE[LEAVE CODE],SUMPRODUCT(--(T_LEAVE[NAME]=$B40),--(T_LEAVE[DATE]&lt;=J$8),--(T_LEAVE[DATE]&gt;=J$8),ROW(T_LEAVE[LEAVE CODE]))-ROW(T_LEAVE[#Headers]))))))),"")</f>
        <v/>
      </c>
      <c r="K40" s="75" t="str">
        <f>IFERROR(IF(K$8="","NA",IF(K$8&lt;INDEX(T_EMP[START DATE],ROW($B40)-ROW($B$8)),"NE",IF(AND(INDEX(T_EMP[TERMINATION DATE],ROW($B40)-ROW($B$8))&gt;0,K$8&gt;INDEX(T_EMP[TERMINATION DATE],ROW($B40)-ROW($B$8))),"NE",IF(NOT(ISERROR(MATCH(K$8,L_HOLS,0))),"H",IF(INDEX(L_WKNDVAL,WEEKDAY(K$8,1))=1,"WKND",INDEX(T_LEAVE[LEAVE CODE],SUMPRODUCT(--(T_LEAVE[NAME]=$B40),--(T_LEAVE[DATE]&lt;=K$8),--(T_LEAVE[DATE]&gt;=K$8),ROW(T_LEAVE[LEAVE CODE]))-ROW(T_LEAVE[#Headers]))))))),"")</f>
        <v/>
      </c>
      <c r="L40" s="75" t="str">
        <f>IFERROR(IF(L$8="","NA",IF(L$8&lt;INDEX(T_EMP[START DATE],ROW($B40)-ROW($B$8)),"NE",IF(AND(INDEX(T_EMP[TERMINATION DATE],ROW($B40)-ROW($B$8))&gt;0,L$8&gt;INDEX(T_EMP[TERMINATION DATE],ROW($B40)-ROW($B$8))),"NE",IF(NOT(ISERROR(MATCH(L$8,L_HOLS,0))),"H",IF(INDEX(L_WKNDVAL,WEEKDAY(L$8,1))=1,"WKND",INDEX(T_LEAVE[LEAVE CODE],SUMPRODUCT(--(T_LEAVE[NAME]=$B40),--(T_LEAVE[DATE]&lt;=L$8),--(T_LEAVE[DATE]&gt;=L$8),ROW(T_LEAVE[LEAVE CODE]))-ROW(T_LEAVE[#Headers]))))))),"")</f>
        <v/>
      </c>
      <c r="M40" s="75" t="str">
        <f>IFERROR(IF(M$8="","NA",IF(M$8&lt;INDEX(T_EMP[START DATE],ROW($B40)-ROW($B$8)),"NE",IF(AND(INDEX(T_EMP[TERMINATION DATE],ROW($B40)-ROW($B$8))&gt;0,M$8&gt;INDEX(T_EMP[TERMINATION DATE],ROW($B40)-ROW($B$8))),"NE",IF(NOT(ISERROR(MATCH(M$8,L_HOLS,0))),"H",IF(INDEX(L_WKNDVAL,WEEKDAY(M$8,1))=1,"WKND",INDEX(T_LEAVE[LEAVE CODE],SUMPRODUCT(--(T_LEAVE[NAME]=$B40),--(T_LEAVE[DATE]&lt;=M$8),--(T_LEAVE[DATE]&gt;=M$8),ROW(T_LEAVE[LEAVE CODE]))-ROW(T_LEAVE[#Headers]))))))),"")</f>
        <v/>
      </c>
      <c r="N40" s="75" t="str">
        <f>IFERROR(IF(N$8="","NA",IF(N$8&lt;INDEX(T_EMP[START DATE],ROW($B40)-ROW($B$8)),"NE",IF(AND(INDEX(T_EMP[TERMINATION DATE],ROW($B40)-ROW($B$8))&gt;0,N$8&gt;INDEX(T_EMP[TERMINATION DATE],ROW($B40)-ROW($B$8))),"NE",IF(NOT(ISERROR(MATCH(N$8,L_HOLS,0))),"H",IF(INDEX(L_WKNDVAL,WEEKDAY(N$8,1))=1,"WKND",INDEX(T_LEAVE[LEAVE CODE],SUMPRODUCT(--(T_LEAVE[NAME]=$B40),--(T_LEAVE[DATE]&lt;=N$8),--(T_LEAVE[DATE]&gt;=N$8),ROW(T_LEAVE[LEAVE CODE]))-ROW(T_LEAVE[#Headers]))))))),"")</f>
        <v/>
      </c>
      <c r="O40" s="75" t="str">
        <f>IFERROR(IF(O$8="","NA",IF(O$8&lt;INDEX(T_EMP[START DATE],ROW($B40)-ROW($B$8)),"NE",IF(AND(INDEX(T_EMP[TERMINATION DATE],ROW($B40)-ROW($B$8))&gt;0,O$8&gt;INDEX(T_EMP[TERMINATION DATE],ROW($B40)-ROW($B$8))),"NE",IF(NOT(ISERROR(MATCH(O$8,L_HOLS,0))),"H",IF(INDEX(L_WKNDVAL,WEEKDAY(O$8,1))=1,"WKND",INDEX(T_LEAVE[LEAVE CODE],SUMPRODUCT(--(T_LEAVE[NAME]=$B40),--(T_LEAVE[DATE]&lt;=O$8),--(T_LEAVE[DATE]&gt;=O$8),ROW(T_LEAVE[LEAVE CODE]))-ROW(T_LEAVE[#Headers]))))))),"")</f>
        <v/>
      </c>
      <c r="P40" s="75" t="str">
        <f>IFERROR(IF(P$8="","NA",IF(P$8&lt;INDEX(T_EMP[START DATE],ROW($B40)-ROW($B$8)),"NE",IF(AND(INDEX(T_EMP[TERMINATION DATE],ROW($B40)-ROW($B$8))&gt;0,P$8&gt;INDEX(T_EMP[TERMINATION DATE],ROW($B40)-ROW($B$8))),"NE",IF(NOT(ISERROR(MATCH(P$8,L_HOLS,0))),"H",IF(INDEX(L_WKNDVAL,WEEKDAY(P$8,1))=1,"WKND",INDEX(T_LEAVE[LEAVE CODE],SUMPRODUCT(--(T_LEAVE[NAME]=$B40),--(T_LEAVE[DATE]&lt;=P$8),--(T_LEAVE[DATE]&gt;=P$8),ROW(T_LEAVE[LEAVE CODE]))-ROW(T_LEAVE[#Headers]))))))),"")</f>
        <v>H</v>
      </c>
      <c r="Q40" s="75" t="str">
        <f>IFERROR(IF(Q$8="","NA",IF(Q$8&lt;INDEX(T_EMP[START DATE],ROW($B40)-ROW($B$8)),"NE",IF(AND(INDEX(T_EMP[TERMINATION DATE],ROW($B40)-ROW($B$8))&gt;0,Q$8&gt;INDEX(T_EMP[TERMINATION DATE],ROW($B40)-ROW($B$8))),"NE",IF(NOT(ISERROR(MATCH(Q$8,L_HOLS,0))),"H",IF(INDEX(L_WKNDVAL,WEEKDAY(Q$8,1))=1,"WKND",INDEX(T_LEAVE[LEAVE CODE],SUMPRODUCT(--(T_LEAVE[NAME]=$B40),--(T_LEAVE[DATE]&lt;=Q$8),--(T_LEAVE[DATE]&gt;=Q$8),ROW(T_LEAVE[LEAVE CODE]))-ROW(T_LEAVE[#Headers]))))))),"")</f>
        <v/>
      </c>
      <c r="R40" s="75" t="str">
        <f>IFERROR(IF(R$8="","NA",IF(R$8&lt;INDEX(T_EMP[START DATE],ROW($B40)-ROW($B$8)),"NE",IF(AND(INDEX(T_EMP[TERMINATION DATE],ROW($B40)-ROW($B$8))&gt;0,R$8&gt;INDEX(T_EMP[TERMINATION DATE],ROW($B40)-ROW($B$8))),"NE",IF(NOT(ISERROR(MATCH(R$8,L_HOLS,0))),"H",IF(INDEX(L_WKNDVAL,WEEKDAY(R$8,1))=1,"WKND",INDEX(T_LEAVE[LEAVE CODE],SUMPRODUCT(--(T_LEAVE[NAME]=$B40),--(T_LEAVE[DATE]&lt;=R$8),--(T_LEAVE[DATE]&gt;=R$8),ROW(T_LEAVE[LEAVE CODE]))-ROW(T_LEAVE[#Headers]))))))),"")</f>
        <v/>
      </c>
      <c r="S40" s="75" t="str">
        <f>IFERROR(IF(S$8="","NA",IF(S$8&lt;INDEX(T_EMP[START DATE],ROW($B40)-ROW($B$8)),"NE",IF(AND(INDEX(T_EMP[TERMINATION DATE],ROW($B40)-ROW($B$8))&gt;0,S$8&gt;INDEX(T_EMP[TERMINATION DATE],ROW($B40)-ROW($B$8))),"NE",IF(NOT(ISERROR(MATCH(S$8,L_HOLS,0))),"H",IF(INDEX(L_WKNDVAL,WEEKDAY(S$8,1))=1,"WKND",INDEX(T_LEAVE[LEAVE CODE],SUMPRODUCT(--(T_LEAVE[NAME]=$B40),--(T_LEAVE[DATE]&lt;=S$8),--(T_LEAVE[DATE]&gt;=S$8),ROW(T_LEAVE[LEAVE CODE]))-ROW(T_LEAVE[#Headers]))))))),"")</f>
        <v/>
      </c>
      <c r="T40" s="75" t="str">
        <f>IFERROR(IF(T$8="","NA",IF(T$8&lt;INDEX(T_EMP[START DATE],ROW($B40)-ROW($B$8)),"NE",IF(AND(INDEX(T_EMP[TERMINATION DATE],ROW($B40)-ROW($B$8))&gt;0,T$8&gt;INDEX(T_EMP[TERMINATION DATE],ROW($B40)-ROW($B$8))),"NE",IF(NOT(ISERROR(MATCH(T$8,L_HOLS,0))),"H",IF(INDEX(L_WKNDVAL,WEEKDAY(T$8,1))=1,"WKND",INDEX(T_LEAVE[LEAVE CODE],SUMPRODUCT(--(T_LEAVE[NAME]=$B40),--(T_LEAVE[DATE]&lt;=T$8),--(T_LEAVE[DATE]&gt;=T$8),ROW(T_LEAVE[LEAVE CODE]))-ROW(T_LEAVE[#Headers]))))))),"")</f>
        <v/>
      </c>
      <c r="U40" s="75" t="str">
        <f>IFERROR(IF(U$8="","NA",IF(U$8&lt;INDEX(T_EMP[START DATE],ROW($B40)-ROW($B$8)),"NE",IF(AND(INDEX(T_EMP[TERMINATION DATE],ROW($B40)-ROW($B$8))&gt;0,U$8&gt;INDEX(T_EMP[TERMINATION DATE],ROW($B40)-ROW($B$8))),"NE",IF(NOT(ISERROR(MATCH(U$8,L_HOLS,0))),"H",IF(INDEX(L_WKNDVAL,WEEKDAY(U$8,1))=1,"WKND",INDEX(T_LEAVE[LEAVE CODE],SUMPRODUCT(--(T_LEAVE[NAME]=$B40),--(T_LEAVE[DATE]&lt;=U$8),--(T_LEAVE[DATE]&gt;=U$8),ROW(T_LEAVE[LEAVE CODE]))-ROW(T_LEAVE[#Headers]))))))),"")</f>
        <v/>
      </c>
      <c r="V40" s="75" t="str">
        <f>IFERROR(IF(V$8="","NA",IF(V$8&lt;INDEX(T_EMP[START DATE],ROW($B40)-ROW($B$8)),"NE",IF(AND(INDEX(T_EMP[TERMINATION DATE],ROW($B40)-ROW($B$8))&gt;0,V$8&gt;INDEX(T_EMP[TERMINATION DATE],ROW($B40)-ROW($B$8))),"NE",IF(NOT(ISERROR(MATCH(V$8,L_HOLS,0))),"H",IF(INDEX(L_WKNDVAL,WEEKDAY(V$8,1))=1,"WKND",INDEX(T_LEAVE[LEAVE CODE],SUMPRODUCT(--(T_LEAVE[NAME]=$B40),--(T_LEAVE[DATE]&lt;=V$8),--(T_LEAVE[DATE]&gt;=V$8),ROW(T_LEAVE[LEAVE CODE]))-ROW(T_LEAVE[#Headers]))))))),"")</f>
        <v/>
      </c>
      <c r="W40" s="75" t="str">
        <f>IFERROR(IF(W$8="","NA",IF(W$8&lt;INDEX(T_EMP[START DATE],ROW($B40)-ROW($B$8)),"NE",IF(AND(INDEX(T_EMP[TERMINATION DATE],ROW($B40)-ROW($B$8))&gt;0,W$8&gt;INDEX(T_EMP[TERMINATION DATE],ROW($B40)-ROW($B$8))),"NE",IF(NOT(ISERROR(MATCH(W$8,L_HOLS,0))),"H",IF(INDEX(L_WKNDVAL,WEEKDAY(W$8,1))=1,"WKND",INDEX(T_LEAVE[LEAVE CODE],SUMPRODUCT(--(T_LEAVE[NAME]=$B40),--(T_LEAVE[DATE]&lt;=W$8),--(T_LEAVE[DATE]&gt;=W$8),ROW(T_LEAVE[LEAVE CODE]))-ROW(T_LEAVE[#Headers]))))))),"")</f>
        <v/>
      </c>
      <c r="X40" s="75" t="str">
        <f>IFERROR(IF(X$8="","NA",IF(X$8&lt;INDEX(T_EMP[START DATE],ROW($B40)-ROW($B$8)),"NE",IF(AND(INDEX(T_EMP[TERMINATION DATE],ROW($B40)-ROW($B$8))&gt;0,X$8&gt;INDEX(T_EMP[TERMINATION DATE],ROW($B40)-ROW($B$8))),"NE",IF(NOT(ISERROR(MATCH(X$8,L_HOLS,0))),"H",IF(INDEX(L_WKNDVAL,WEEKDAY(X$8,1))=1,"WKND",INDEX(T_LEAVE[LEAVE CODE],SUMPRODUCT(--(T_LEAVE[NAME]=$B40),--(T_LEAVE[DATE]&lt;=X$8),--(T_LEAVE[DATE]&gt;=X$8),ROW(T_LEAVE[LEAVE CODE]))-ROW(T_LEAVE[#Headers]))))))),"")</f>
        <v/>
      </c>
      <c r="Y40" s="75" t="str">
        <f>IFERROR(IF(Y$8="","NA",IF(Y$8&lt;INDEX(T_EMP[START DATE],ROW($B40)-ROW($B$8)),"NE",IF(AND(INDEX(T_EMP[TERMINATION DATE],ROW($B40)-ROW($B$8))&gt;0,Y$8&gt;INDEX(T_EMP[TERMINATION DATE],ROW($B40)-ROW($B$8))),"NE",IF(NOT(ISERROR(MATCH(Y$8,L_HOLS,0))),"H",IF(INDEX(L_WKNDVAL,WEEKDAY(Y$8,1))=1,"WKND",INDEX(T_LEAVE[LEAVE CODE],SUMPRODUCT(--(T_LEAVE[NAME]=$B40),--(T_LEAVE[DATE]&lt;=Y$8),--(T_LEAVE[DATE]&gt;=Y$8),ROW(T_LEAVE[LEAVE CODE]))-ROW(T_LEAVE[#Headers]))))))),"")</f>
        <v/>
      </c>
      <c r="Z40" s="75" t="str">
        <f>IFERROR(IF(Z$8="","NA",IF(Z$8&lt;INDEX(T_EMP[START DATE],ROW($B40)-ROW($B$8)),"NE",IF(AND(INDEX(T_EMP[TERMINATION DATE],ROW($B40)-ROW($B$8))&gt;0,Z$8&gt;INDEX(T_EMP[TERMINATION DATE],ROW($B40)-ROW($B$8))),"NE",IF(NOT(ISERROR(MATCH(Z$8,L_HOLS,0))),"H",IF(INDEX(L_WKNDVAL,WEEKDAY(Z$8,1))=1,"WKND",INDEX(T_LEAVE[LEAVE CODE],SUMPRODUCT(--(T_LEAVE[NAME]=$B40),--(T_LEAVE[DATE]&lt;=Z$8),--(T_LEAVE[DATE]&gt;=Z$8),ROW(T_LEAVE[LEAVE CODE]))-ROW(T_LEAVE[#Headers]))))))),"")</f>
        <v/>
      </c>
      <c r="AA40" s="75" t="str">
        <f>IFERROR(IF(AA$8="","NA",IF(AA$8&lt;INDEX(T_EMP[START DATE],ROW($B40)-ROW($B$8)),"NE",IF(AND(INDEX(T_EMP[TERMINATION DATE],ROW($B40)-ROW($B$8))&gt;0,AA$8&gt;INDEX(T_EMP[TERMINATION DATE],ROW($B40)-ROW($B$8))),"NE",IF(NOT(ISERROR(MATCH(AA$8,L_HOLS,0))),"H",IF(INDEX(L_WKNDVAL,WEEKDAY(AA$8,1))=1,"WKND",INDEX(T_LEAVE[LEAVE CODE],SUMPRODUCT(--(T_LEAVE[NAME]=$B40),--(T_LEAVE[DATE]&lt;=AA$8),--(T_LEAVE[DATE]&gt;=AA$8),ROW(T_LEAVE[LEAVE CODE]))-ROW(T_LEAVE[#Headers]))))))),"")</f>
        <v/>
      </c>
      <c r="AB40" s="75" t="str">
        <f>IFERROR(IF(AB$8="","NA",IF(AB$8&lt;INDEX(T_EMP[START DATE],ROW($B40)-ROW($B$8)),"NE",IF(AND(INDEX(T_EMP[TERMINATION DATE],ROW($B40)-ROW($B$8))&gt;0,AB$8&gt;INDEX(T_EMP[TERMINATION DATE],ROW($B40)-ROW($B$8))),"NE",IF(NOT(ISERROR(MATCH(AB$8,L_HOLS,0))),"H",IF(INDEX(L_WKNDVAL,WEEKDAY(AB$8,1))=1,"WKND",INDEX(T_LEAVE[LEAVE CODE],SUMPRODUCT(--(T_LEAVE[NAME]=$B40),--(T_LEAVE[DATE]&lt;=AB$8),--(T_LEAVE[DATE]&gt;=AB$8),ROW(T_LEAVE[LEAVE CODE]))-ROW(T_LEAVE[#Headers]))))))),"")</f>
        <v/>
      </c>
      <c r="AC40" s="75" t="str">
        <f>IFERROR(IF(AC$8="","NA",IF(AC$8&lt;INDEX(T_EMP[START DATE],ROW($B40)-ROW($B$8)),"NE",IF(AND(INDEX(T_EMP[TERMINATION DATE],ROW($B40)-ROW($B$8))&gt;0,AC$8&gt;INDEX(T_EMP[TERMINATION DATE],ROW($B40)-ROW($B$8))),"NE",IF(NOT(ISERROR(MATCH(AC$8,L_HOLS,0))),"H",IF(INDEX(L_WKNDVAL,WEEKDAY(AC$8,1))=1,"WKND",INDEX(T_LEAVE[LEAVE CODE],SUMPRODUCT(--(T_LEAVE[NAME]=$B40),--(T_LEAVE[DATE]&lt;=AC$8),--(T_LEAVE[DATE]&gt;=AC$8),ROW(T_LEAVE[LEAVE CODE]))-ROW(T_LEAVE[#Headers]))))))),"")</f>
        <v/>
      </c>
      <c r="AD40" s="75" t="str">
        <f>IFERROR(IF(AD$8="","NA",IF(AD$8&lt;INDEX(T_EMP[START DATE],ROW($B40)-ROW($B$8)),"NE",IF(AND(INDEX(T_EMP[TERMINATION DATE],ROW($B40)-ROW($B$8))&gt;0,AD$8&gt;INDEX(T_EMP[TERMINATION DATE],ROW($B40)-ROW($B$8))),"NE",IF(NOT(ISERROR(MATCH(AD$8,L_HOLS,0))),"H",IF(INDEX(L_WKNDVAL,WEEKDAY(AD$8,1))=1,"WKND",INDEX(T_LEAVE[LEAVE CODE],SUMPRODUCT(--(T_LEAVE[NAME]=$B40),--(T_LEAVE[DATE]&lt;=AD$8),--(T_LEAVE[DATE]&gt;=AD$8),ROW(T_LEAVE[LEAVE CODE]))-ROW(T_LEAVE[#Headers]))))))),"")</f>
        <v/>
      </c>
      <c r="AE40" s="75" t="str">
        <f>IFERROR(IF(AE$8="","NA",IF(AE$8&lt;INDEX(T_EMP[START DATE],ROW($B40)-ROW($B$8)),"NE",IF(AND(INDEX(T_EMP[TERMINATION DATE],ROW($B40)-ROW($B$8))&gt;0,AE$8&gt;INDEX(T_EMP[TERMINATION DATE],ROW($B40)-ROW($B$8))),"NE",IF(NOT(ISERROR(MATCH(AE$8,L_HOLS,0))),"H",IF(INDEX(L_WKNDVAL,WEEKDAY(AE$8,1))=1,"WKND",INDEX(T_LEAVE[LEAVE CODE],SUMPRODUCT(--(T_LEAVE[NAME]=$B40),--(T_LEAVE[DATE]&lt;=AE$8),--(T_LEAVE[DATE]&gt;=AE$8),ROW(T_LEAVE[LEAVE CODE]))-ROW(T_LEAVE[#Headers]))))))),"")</f>
        <v/>
      </c>
      <c r="AF40" s="75" t="str">
        <f>IFERROR(IF(AF$8="","NA",IF(AF$8&lt;INDEX(T_EMP[START DATE],ROW($B40)-ROW($B$8)),"NE",IF(AND(INDEX(T_EMP[TERMINATION DATE],ROW($B40)-ROW($B$8))&gt;0,AF$8&gt;INDEX(T_EMP[TERMINATION DATE],ROW($B40)-ROW($B$8))),"NE",IF(NOT(ISERROR(MATCH(AF$8,L_HOLS,0))),"H",IF(INDEX(L_WKNDVAL,WEEKDAY(AF$8,1))=1,"WKND",INDEX(T_LEAVE[LEAVE CODE],SUMPRODUCT(--(T_LEAVE[NAME]=$B40),--(T_LEAVE[DATE]&lt;=AF$8),--(T_LEAVE[DATE]&gt;=AF$8),ROW(T_LEAVE[LEAVE CODE]))-ROW(T_LEAVE[#Headers]))))))),"")</f>
        <v/>
      </c>
      <c r="AG40" s="75" t="str">
        <f>IFERROR(IF(AG$8="","NA",IF(AG$8&lt;INDEX(T_EMP[START DATE],ROW($B40)-ROW($B$8)),"NE",IF(AND(INDEX(T_EMP[TERMINATION DATE],ROW($B40)-ROW($B$8))&gt;0,AG$8&gt;INDEX(T_EMP[TERMINATION DATE],ROW($B40)-ROW($B$8))),"NE",IF(NOT(ISERROR(MATCH(AG$8,L_HOLS,0))),"H",IF(INDEX(L_WKNDVAL,WEEKDAY(AG$8,1))=1,"WKND",INDEX(T_LEAVE[LEAVE CODE],SUMPRODUCT(--(T_LEAVE[NAME]=$B40),--(T_LEAVE[DATE]&lt;=AG$8),--(T_LEAVE[DATE]&gt;=AG$8),ROW(T_LEAVE[LEAVE CODE]))-ROW(T_LEAVE[#Headers]))))))),"")</f>
        <v/>
      </c>
      <c r="AH40" s="75" t="str">
        <f>IFERROR(IF(AH$8="","NA",IF(AH$8&lt;INDEX(T_EMP[START DATE],ROW($B40)-ROW($B$8)),"NE",IF(AND(INDEX(T_EMP[TERMINATION DATE],ROW($B40)-ROW($B$8))&gt;0,AH$8&gt;INDEX(T_EMP[TERMINATION DATE],ROW($B40)-ROW($B$8))),"NE",IF(NOT(ISERROR(MATCH(AH$8,L_HOLS,0))),"H",IF(INDEX(L_WKNDVAL,WEEKDAY(AH$8,1))=1,"WKND",INDEX(T_LEAVE[LEAVE CODE],SUMPRODUCT(--(T_LEAVE[NAME]=$B40),--(T_LEAVE[DATE]&lt;=AH$8),--(T_LEAVE[DATE]&gt;=AH$8),ROW(T_LEAVE[LEAVE CODE]))-ROW(T_LEAVE[#Headers]))))))),"")</f>
        <v/>
      </c>
      <c r="AJ40" s="88">
        <f>IF(OR($B40="",AJ$8=""),"",COUNTIFS($D40:$AH40,AJ$8)*INDEX(T_LEAVETYPE[DAY VALUE],1))</f>
        <v>0</v>
      </c>
      <c r="AK40" s="88">
        <f>IF(OR($B40="",AK$8=""),"",COUNTIFS($D40:$AH40,AK$8)*INDEX(T_LEAVETYPE[DAY VALUE],2))</f>
        <v>0</v>
      </c>
      <c r="AL40" s="88">
        <f>IF(OR($B40="",AL$8=""),"",COUNTIFS($D40:$AH40,AL$8)*INDEX(T_LEAVETYPE[DAY VALUE],3))</f>
        <v>0</v>
      </c>
      <c r="AM40" s="88">
        <f>IF(OR($B40="",AM$8=""),"",COUNTIFS($D40:$AH40,AM$8)*INDEX(T_LEAVETYPE[DAY VALUE],4))</f>
        <v>0</v>
      </c>
      <c r="AN40" s="88">
        <f>IF(OR($B40="",AN$8=""),"",COUNTIFS($D40:$AH40,AN$8)*INDEX(T_LEAVETYPE[DAY VALUE],5))</f>
        <v>0</v>
      </c>
      <c r="AO40" s="88">
        <f>IF(OR($B40="",AO$8=""),"",COUNTIFS($D40:$AH40,AO$8)*INDEX(T_LEAVETYPE[DAY VALUE],6))</f>
        <v>0</v>
      </c>
      <c r="AP40" s="88">
        <f>IF(OR($B40="",AP$8=""),"",COUNTIFS($D40:$AH40,AP$8)*INDEX(T_LEAVETYPE[DAY VALUE],7))</f>
        <v>0</v>
      </c>
      <c r="AQ40" s="88">
        <f>IF(OR($B40="",AQ$8=""),"",COUNTIFS($D40:$AH40,AQ$8)*INDEX(T_LEAVETYPE[DAY VALUE],8))</f>
        <v>0</v>
      </c>
      <c r="AR40" s="89">
        <f t="shared" si="3"/>
        <v>0</v>
      </c>
    </row>
    <row r="41" spans="1:44" x14ac:dyDescent="0.25">
      <c r="A41" s="90">
        <f t="shared" si="4"/>
        <v>33</v>
      </c>
      <c r="B41" s="74" t="str">
        <f>IFERROR(INDEX(T_EMP[NAME],ROW(B41)-ROW($B$8)),"")</f>
        <v>VILLAFLOR, REA</v>
      </c>
      <c r="C41" s="91" t="str">
        <f>IFERROR(INDEX(T_EMP[DEPARTMENT],ROW(B41)-ROW($C$8)),"")</f>
        <v>IB SUPPORT</v>
      </c>
      <c r="D41" s="75" t="str">
        <f>IFERROR(IF(D$8="","NA",IF(D$8&lt;INDEX(T_EMP[START DATE],ROW($B41)-ROW($B$8)),"NE",IF(AND(INDEX(T_EMP[TERMINATION DATE],ROW($B41)-ROW($B$8))&gt;0,D$8&gt;INDEX(T_EMP[TERMINATION DATE],ROW($B41)-ROW($B$8))),"NE",IF(NOT(ISERROR(MATCH(D$8,L_HOLS,0))),"H",IF(INDEX(L_WKNDVAL,WEEKDAY(D$8,1))=1,"WKND",INDEX(T_LEAVE[LEAVE CODE],SUMPRODUCT(--(T_LEAVE[NAME]=$B41),--(T_LEAVE[DATE]&lt;=D$8),--(T_LEAVE[DATE]&gt;=D$8),ROW(T_LEAVE[LEAVE CODE]))-ROW(T_LEAVE[#Headers]))))))),"")</f>
        <v>H</v>
      </c>
      <c r="E41" s="75" t="str">
        <f>IFERROR(IF(E$8="","NA",IF(E$8&lt;INDEX(T_EMP[START DATE],ROW($B41)-ROW($B$8)),"NE",IF(AND(INDEX(T_EMP[TERMINATION DATE],ROW($B41)-ROW($B$8))&gt;0,E$8&gt;INDEX(T_EMP[TERMINATION DATE],ROW($B41)-ROW($B$8))),"NE",IF(NOT(ISERROR(MATCH(E$8,L_HOLS,0))),"H",IF(INDEX(L_WKNDVAL,WEEKDAY(E$8,1))=1,"WKND",INDEX(T_LEAVE[LEAVE CODE],SUMPRODUCT(--(T_LEAVE[NAME]=$B41),--(T_LEAVE[DATE]&lt;=E$8),--(T_LEAVE[DATE]&gt;=E$8),ROW(T_LEAVE[LEAVE CODE]))-ROW(T_LEAVE[#Headers]))))))),"")</f>
        <v/>
      </c>
      <c r="F41" s="75" t="str">
        <f>IFERROR(IF(F$8="","NA",IF(F$8&lt;INDEX(T_EMP[START DATE],ROW($B41)-ROW($B$8)),"NE",IF(AND(INDEX(T_EMP[TERMINATION DATE],ROW($B41)-ROW($B$8))&gt;0,F$8&gt;INDEX(T_EMP[TERMINATION DATE],ROW($B41)-ROW($B$8))),"NE",IF(NOT(ISERROR(MATCH(F$8,L_HOLS,0))),"H",IF(INDEX(L_WKNDVAL,WEEKDAY(F$8,1))=1,"WKND",INDEX(T_LEAVE[LEAVE CODE],SUMPRODUCT(--(T_LEAVE[NAME]=$B41),--(T_LEAVE[DATE]&lt;=F$8),--(T_LEAVE[DATE]&gt;=F$8),ROW(T_LEAVE[LEAVE CODE]))-ROW(T_LEAVE[#Headers]))))))),"")</f>
        <v/>
      </c>
      <c r="G41" s="75" t="str">
        <f>IFERROR(IF(G$8="","NA",IF(G$8&lt;INDEX(T_EMP[START DATE],ROW($B41)-ROW($B$8)),"NE",IF(AND(INDEX(T_EMP[TERMINATION DATE],ROW($B41)-ROW($B$8))&gt;0,G$8&gt;INDEX(T_EMP[TERMINATION DATE],ROW($B41)-ROW($B$8))),"NE",IF(NOT(ISERROR(MATCH(G$8,L_HOLS,0))),"H",IF(INDEX(L_WKNDVAL,WEEKDAY(G$8,1))=1,"WKND",INDEX(T_LEAVE[LEAVE CODE],SUMPRODUCT(--(T_LEAVE[NAME]=$B41),--(T_LEAVE[DATE]&lt;=G$8),--(T_LEAVE[DATE]&gt;=G$8),ROW(T_LEAVE[LEAVE CODE]))-ROW(T_LEAVE[#Headers]))))))),"")</f>
        <v/>
      </c>
      <c r="H41" s="75" t="str">
        <f>IFERROR(IF(H$8="","NA",IF(H$8&lt;INDEX(T_EMP[START DATE],ROW($B41)-ROW($B$8)),"NE",IF(AND(INDEX(T_EMP[TERMINATION DATE],ROW($B41)-ROW($B$8))&gt;0,H$8&gt;INDEX(T_EMP[TERMINATION DATE],ROW($B41)-ROW($B$8))),"NE",IF(NOT(ISERROR(MATCH(H$8,L_HOLS,0))),"H",IF(INDEX(L_WKNDVAL,WEEKDAY(H$8,1))=1,"WKND",INDEX(T_LEAVE[LEAVE CODE],SUMPRODUCT(--(T_LEAVE[NAME]=$B41),--(T_LEAVE[DATE]&lt;=H$8),--(T_LEAVE[DATE]&gt;=H$8),ROW(T_LEAVE[LEAVE CODE]))-ROW(T_LEAVE[#Headers]))))))),"")</f>
        <v/>
      </c>
      <c r="I41" s="75" t="str">
        <f>IFERROR(IF(I$8="","NA",IF(I$8&lt;INDEX(T_EMP[START DATE],ROW($B41)-ROW($B$8)),"NE",IF(AND(INDEX(T_EMP[TERMINATION DATE],ROW($B41)-ROW($B$8))&gt;0,I$8&gt;INDEX(T_EMP[TERMINATION DATE],ROW($B41)-ROW($B$8))),"NE",IF(NOT(ISERROR(MATCH(I$8,L_HOLS,0))),"H",IF(INDEX(L_WKNDVAL,WEEKDAY(I$8,1))=1,"WKND",INDEX(T_LEAVE[LEAVE CODE],SUMPRODUCT(--(T_LEAVE[NAME]=$B41),--(T_LEAVE[DATE]&lt;=I$8),--(T_LEAVE[DATE]&gt;=I$8),ROW(T_LEAVE[LEAVE CODE]))-ROW(T_LEAVE[#Headers]))))))),"")</f>
        <v/>
      </c>
      <c r="J41" s="75" t="str">
        <f>IFERROR(IF(J$8="","NA",IF(J$8&lt;INDEX(T_EMP[START DATE],ROW($B41)-ROW($B$8)),"NE",IF(AND(INDEX(T_EMP[TERMINATION DATE],ROW($B41)-ROW($B$8))&gt;0,J$8&gt;INDEX(T_EMP[TERMINATION DATE],ROW($B41)-ROW($B$8))),"NE",IF(NOT(ISERROR(MATCH(J$8,L_HOLS,0))),"H",IF(INDEX(L_WKNDVAL,WEEKDAY(J$8,1))=1,"WKND",INDEX(T_LEAVE[LEAVE CODE],SUMPRODUCT(--(T_LEAVE[NAME]=$B41),--(T_LEAVE[DATE]&lt;=J$8),--(T_LEAVE[DATE]&gt;=J$8),ROW(T_LEAVE[LEAVE CODE]))-ROW(T_LEAVE[#Headers]))))))),"")</f>
        <v/>
      </c>
      <c r="K41" s="75" t="str">
        <f>IFERROR(IF(K$8="","NA",IF(K$8&lt;INDEX(T_EMP[START DATE],ROW($B41)-ROW($B$8)),"NE",IF(AND(INDEX(T_EMP[TERMINATION DATE],ROW($B41)-ROW($B$8))&gt;0,K$8&gt;INDEX(T_EMP[TERMINATION DATE],ROW($B41)-ROW($B$8))),"NE",IF(NOT(ISERROR(MATCH(K$8,L_HOLS,0))),"H",IF(INDEX(L_WKNDVAL,WEEKDAY(K$8,1))=1,"WKND",INDEX(T_LEAVE[LEAVE CODE],SUMPRODUCT(--(T_LEAVE[NAME]=$B41),--(T_LEAVE[DATE]&lt;=K$8),--(T_LEAVE[DATE]&gt;=K$8),ROW(T_LEAVE[LEAVE CODE]))-ROW(T_LEAVE[#Headers]))))))),"")</f>
        <v/>
      </c>
      <c r="L41" s="75" t="str">
        <f>IFERROR(IF(L$8="","NA",IF(L$8&lt;INDEX(T_EMP[START DATE],ROW($B41)-ROW($B$8)),"NE",IF(AND(INDEX(T_EMP[TERMINATION DATE],ROW($B41)-ROW($B$8))&gt;0,L$8&gt;INDEX(T_EMP[TERMINATION DATE],ROW($B41)-ROW($B$8))),"NE",IF(NOT(ISERROR(MATCH(L$8,L_HOLS,0))),"H",IF(INDEX(L_WKNDVAL,WEEKDAY(L$8,1))=1,"WKND",INDEX(T_LEAVE[LEAVE CODE],SUMPRODUCT(--(T_LEAVE[NAME]=$B41),--(T_LEAVE[DATE]&lt;=L$8),--(T_LEAVE[DATE]&gt;=L$8),ROW(T_LEAVE[LEAVE CODE]))-ROW(T_LEAVE[#Headers]))))))),"")</f>
        <v/>
      </c>
      <c r="M41" s="75" t="str">
        <f>IFERROR(IF(M$8="","NA",IF(M$8&lt;INDEX(T_EMP[START DATE],ROW($B41)-ROW($B$8)),"NE",IF(AND(INDEX(T_EMP[TERMINATION DATE],ROW($B41)-ROW($B$8))&gt;0,M$8&gt;INDEX(T_EMP[TERMINATION DATE],ROW($B41)-ROW($B$8))),"NE",IF(NOT(ISERROR(MATCH(M$8,L_HOLS,0))),"H",IF(INDEX(L_WKNDVAL,WEEKDAY(M$8,1))=1,"WKND",INDEX(T_LEAVE[LEAVE CODE],SUMPRODUCT(--(T_LEAVE[NAME]=$B41),--(T_LEAVE[DATE]&lt;=M$8),--(T_LEAVE[DATE]&gt;=M$8),ROW(T_LEAVE[LEAVE CODE]))-ROW(T_LEAVE[#Headers]))))))),"")</f>
        <v/>
      </c>
      <c r="N41" s="75" t="str">
        <f>IFERROR(IF(N$8="","NA",IF(N$8&lt;INDEX(T_EMP[START DATE],ROW($B41)-ROW($B$8)),"NE",IF(AND(INDEX(T_EMP[TERMINATION DATE],ROW($B41)-ROW($B$8))&gt;0,N$8&gt;INDEX(T_EMP[TERMINATION DATE],ROW($B41)-ROW($B$8))),"NE",IF(NOT(ISERROR(MATCH(N$8,L_HOLS,0))),"H",IF(INDEX(L_WKNDVAL,WEEKDAY(N$8,1))=1,"WKND",INDEX(T_LEAVE[LEAVE CODE],SUMPRODUCT(--(T_LEAVE[NAME]=$B41),--(T_LEAVE[DATE]&lt;=N$8),--(T_LEAVE[DATE]&gt;=N$8),ROW(T_LEAVE[LEAVE CODE]))-ROW(T_LEAVE[#Headers]))))))),"")</f>
        <v/>
      </c>
      <c r="O41" s="75" t="str">
        <f>IFERROR(IF(O$8="","NA",IF(O$8&lt;INDEX(T_EMP[START DATE],ROW($B41)-ROW($B$8)),"NE",IF(AND(INDEX(T_EMP[TERMINATION DATE],ROW($B41)-ROW($B$8))&gt;0,O$8&gt;INDEX(T_EMP[TERMINATION DATE],ROW($B41)-ROW($B$8))),"NE",IF(NOT(ISERROR(MATCH(O$8,L_HOLS,0))),"H",IF(INDEX(L_WKNDVAL,WEEKDAY(O$8,1))=1,"WKND",INDEX(T_LEAVE[LEAVE CODE],SUMPRODUCT(--(T_LEAVE[NAME]=$B41),--(T_LEAVE[DATE]&lt;=O$8),--(T_LEAVE[DATE]&gt;=O$8),ROW(T_LEAVE[LEAVE CODE]))-ROW(T_LEAVE[#Headers]))))))),"")</f>
        <v/>
      </c>
      <c r="P41" s="75" t="str">
        <f>IFERROR(IF(P$8="","NA",IF(P$8&lt;INDEX(T_EMP[START DATE],ROW($B41)-ROW($B$8)),"NE",IF(AND(INDEX(T_EMP[TERMINATION DATE],ROW($B41)-ROW($B$8))&gt;0,P$8&gt;INDEX(T_EMP[TERMINATION DATE],ROW($B41)-ROW($B$8))),"NE",IF(NOT(ISERROR(MATCH(P$8,L_HOLS,0))),"H",IF(INDEX(L_WKNDVAL,WEEKDAY(P$8,1))=1,"WKND",INDEX(T_LEAVE[LEAVE CODE],SUMPRODUCT(--(T_LEAVE[NAME]=$B41),--(T_LEAVE[DATE]&lt;=P$8),--(T_LEAVE[DATE]&gt;=P$8),ROW(T_LEAVE[LEAVE CODE]))-ROW(T_LEAVE[#Headers]))))))),"")</f>
        <v>H</v>
      </c>
      <c r="Q41" s="75" t="str">
        <f>IFERROR(IF(Q$8="","NA",IF(Q$8&lt;INDEX(T_EMP[START DATE],ROW($B41)-ROW($B$8)),"NE",IF(AND(INDEX(T_EMP[TERMINATION DATE],ROW($B41)-ROW($B$8))&gt;0,Q$8&gt;INDEX(T_EMP[TERMINATION DATE],ROW($B41)-ROW($B$8))),"NE",IF(NOT(ISERROR(MATCH(Q$8,L_HOLS,0))),"H",IF(INDEX(L_WKNDVAL,WEEKDAY(Q$8,1))=1,"WKND",INDEX(T_LEAVE[LEAVE CODE],SUMPRODUCT(--(T_LEAVE[NAME]=$B41),--(T_LEAVE[DATE]&lt;=Q$8),--(T_LEAVE[DATE]&gt;=Q$8),ROW(T_LEAVE[LEAVE CODE]))-ROW(T_LEAVE[#Headers]))))))),"")</f>
        <v/>
      </c>
      <c r="R41" s="75" t="str">
        <f>IFERROR(IF(R$8="","NA",IF(R$8&lt;INDEX(T_EMP[START DATE],ROW($B41)-ROW($B$8)),"NE",IF(AND(INDEX(T_EMP[TERMINATION DATE],ROW($B41)-ROW($B$8))&gt;0,R$8&gt;INDEX(T_EMP[TERMINATION DATE],ROW($B41)-ROW($B$8))),"NE",IF(NOT(ISERROR(MATCH(R$8,L_HOLS,0))),"H",IF(INDEX(L_WKNDVAL,WEEKDAY(R$8,1))=1,"WKND",INDEX(T_LEAVE[LEAVE CODE],SUMPRODUCT(--(T_LEAVE[NAME]=$B41),--(T_LEAVE[DATE]&lt;=R$8),--(T_LEAVE[DATE]&gt;=R$8),ROW(T_LEAVE[LEAVE CODE]))-ROW(T_LEAVE[#Headers]))))))),"")</f>
        <v/>
      </c>
      <c r="S41" s="75" t="str">
        <f>IFERROR(IF(S$8="","NA",IF(S$8&lt;INDEX(T_EMP[START DATE],ROW($B41)-ROW($B$8)),"NE",IF(AND(INDEX(T_EMP[TERMINATION DATE],ROW($B41)-ROW($B$8))&gt;0,S$8&gt;INDEX(T_EMP[TERMINATION DATE],ROW($B41)-ROW($B$8))),"NE",IF(NOT(ISERROR(MATCH(S$8,L_HOLS,0))),"H",IF(INDEX(L_WKNDVAL,WEEKDAY(S$8,1))=1,"WKND",INDEX(T_LEAVE[LEAVE CODE],SUMPRODUCT(--(T_LEAVE[NAME]=$B41),--(T_LEAVE[DATE]&lt;=S$8),--(T_LEAVE[DATE]&gt;=S$8),ROW(T_LEAVE[LEAVE CODE]))-ROW(T_LEAVE[#Headers]))))))),"")</f>
        <v/>
      </c>
      <c r="T41" s="75" t="str">
        <f>IFERROR(IF(T$8="","NA",IF(T$8&lt;INDEX(T_EMP[START DATE],ROW($B41)-ROW($B$8)),"NE",IF(AND(INDEX(T_EMP[TERMINATION DATE],ROW($B41)-ROW($B$8))&gt;0,T$8&gt;INDEX(T_EMP[TERMINATION DATE],ROW($B41)-ROW($B$8))),"NE",IF(NOT(ISERROR(MATCH(T$8,L_HOLS,0))),"H",IF(INDEX(L_WKNDVAL,WEEKDAY(T$8,1))=1,"WKND",INDEX(T_LEAVE[LEAVE CODE],SUMPRODUCT(--(T_LEAVE[NAME]=$B41),--(T_LEAVE[DATE]&lt;=T$8),--(T_LEAVE[DATE]&gt;=T$8),ROW(T_LEAVE[LEAVE CODE]))-ROW(T_LEAVE[#Headers]))))))),"")</f>
        <v/>
      </c>
      <c r="U41" s="75" t="str">
        <f>IFERROR(IF(U$8="","NA",IF(U$8&lt;INDEX(T_EMP[START DATE],ROW($B41)-ROW($B$8)),"NE",IF(AND(INDEX(T_EMP[TERMINATION DATE],ROW($B41)-ROW($B$8))&gt;0,U$8&gt;INDEX(T_EMP[TERMINATION DATE],ROW($B41)-ROW($B$8))),"NE",IF(NOT(ISERROR(MATCH(U$8,L_HOLS,0))),"H",IF(INDEX(L_WKNDVAL,WEEKDAY(U$8,1))=1,"WKND",INDEX(T_LEAVE[LEAVE CODE],SUMPRODUCT(--(T_LEAVE[NAME]=$B41),--(T_LEAVE[DATE]&lt;=U$8),--(T_LEAVE[DATE]&gt;=U$8),ROW(T_LEAVE[LEAVE CODE]))-ROW(T_LEAVE[#Headers]))))))),"")</f>
        <v/>
      </c>
      <c r="V41" s="75" t="str">
        <f>IFERROR(IF(V$8="","NA",IF(V$8&lt;INDEX(T_EMP[START DATE],ROW($B41)-ROW($B$8)),"NE",IF(AND(INDEX(T_EMP[TERMINATION DATE],ROW($B41)-ROW($B$8))&gt;0,V$8&gt;INDEX(T_EMP[TERMINATION DATE],ROW($B41)-ROW($B$8))),"NE",IF(NOT(ISERROR(MATCH(V$8,L_HOLS,0))),"H",IF(INDEX(L_WKNDVAL,WEEKDAY(V$8,1))=1,"WKND",INDEX(T_LEAVE[LEAVE CODE],SUMPRODUCT(--(T_LEAVE[NAME]=$B41),--(T_LEAVE[DATE]&lt;=V$8),--(T_LEAVE[DATE]&gt;=V$8),ROW(T_LEAVE[LEAVE CODE]))-ROW(T_LEAVE[#Headers]))))))),"")</f>
        <v/>
      </c>
      <c r="W41" s="75" t="str">
        <f>IFERROR(IF(W$8="","NA",IF(W$8&lt;INDEX(T_EMP[START DATE],ROW($B41)-ROW($B$8)),"NE",IF(AND(INDEX(T_EMP[TERMINATION DATE],ROW($B41)-ROW($B$8))&gt;0,W$8&gt;INDEX(T_EMP[TERMINATION DATE],ROW($B41)-ROW($B$8))),"NE",IF(NOT(ISERROR(MATCH(W$8,L_HOLS,0))),"H",IF(INDEX(L_WKNDVAL,WEEKDAY(W$8,1))=1,"WKND",INDEX(T_LEAVE[LEAVE CODE],SUMPRODUCT(--(T_LEAVE[NAME]=$B41),--(T_LEAVE[DATE]&lt;=W$8),--(T_LEAVE[DATE]&gt;=W$8),ROW(T_LEAVE[LEAVE CODE]))-ROW(T_LEAVE[#Headers]))))))),"")</f>
        <v/>
      </c>
      <c r="X41" s="75" t="str">
        <f>IFERROR(IF(X$8="","NA",IF(X$8&lt;INDEX(T_EMP[START DATE],ROW($B41)-ROW($B$8)),"NE",IF(AND(INDEX(T_EMP[TERMINATION DATE],ROW($B41)-ROW($B$8))&gt;0,X$8&gt;INDEX(T_EMP[TERMINATION DATE],ROW($B41)-ROW($B$8))),"NE",IF(NOT(ISERROR(MATCH(X$8,L_HOLS,0))),"H",IF(INDEX(L_WKNDVAL,WEEKDAY(X$8,1))=1,"WKND",INDEX(T_LEAVE[LEAVE CODE],SUMPRODUCT(--(T_LEAVE[NAME]=$B41),--(T_LEAVE[DATE]&lt;=X$8),--(T_LEAVE[DATE]&gt;=X$8),ROW(T_LEAVE[LEAVE CODE]))-ROW(T_LEAVE[#Headers]))))))),"")</f>
        <v/>
      </c>
      <c r="Y41" s="75" t="str">
        <f>IFERROR(IF(Y$8="","NA",IF(Y$8&lt;INDEX(T_EMP[START DATE],ROW($B41)-ROW($B$8)),"NE",IF(AND(INDEX(T_EMP[TERMINATION DATE],ROW($B41)-ROW($B$8))&gt;0,Y$8&gt;INDEX(T_EMP[TERMINATION DATE],ROW($B41)-ROW($B$8))),"NE",IF(NOT(ISERROR(MATCH(Y$8,L_HOLS,0))),"H",IF(INDEX(L_WKNDVAL,WEEKDAY(Y$8,1))=1,"WKND",INDEX(T_LEAVE[LEAVE CODE],SUMPRODUCT(--(T_LEAVE[NAME]=$B41),--(T_LEAVE[DATE]&lt;=Y$8),--(T_LEAVE[DATE]&gt;=Y$8),ROW(T_LEAVE[LEAVE CODE]))-ROW(T_LEAVE[#Headers]))))))),"")</f>
        <v/>
      </c>
      <c r="Z41" s="75" t="str">
        <f>IFERROR(IF(Z$8="","NA",IF(Z$8&lt;INDEX(T_EMP[START DATE],ROW($B41)-ROW($B$8)),"NE",IF(AND(INDEX(T_EMP[TERMINATION DATE],ROW($B41)-ROW($B$8))&gt;0,Z$8&gt;INDEX(T_EMP[TERMINATION DATE],ROW($B41)-ROW($B$8))),"NE",IF(NOT(ISERROR(MATCH(Z$8,L_HOLS,0))),"H",IF(INDEX(L_WKNDVAL,WEEKDAY(Z$8,1))=1,"WKND",INDEX(T_LEAVE[LEAVE CODE],SUMPRODUCT(--(T_LEAVE[NAME]=$B41),--(T_LEAVE[DATE]&lt;=Z$8),--(T_LEAVE[DATE]&gt;=Z$8),ROW(T_LEAVE[LEAVE CODE]))-ROW(T_LEAVE[#Headers]))))))),"")</f>
        <v/>
      </c>
      <c r="AA41" s="75" t="str">
        <f>IFERROR(IF(AA$8="","NA",IF(AA$8&lt;INDEX(T_EMP[START DATE],ROW($B41)-ROW($B$8)),"NE",IF(AND(INDEX(T_EMP[TERMINATION DATE],ROW($B41)-ROW($B$8))&gt;0,AA$8&gt;INDEX(T_EMP[TERMINATION DATE],ROW($B41)-ROW($B$8))),"NE",IF(NOT(ISERROR(MATCH(AA$8,L_HOLS,0))),"H",IF(INDEX(L_WKNDVAL,WEEKDAY(AA$8,1))=1,"WKND",INDEX(T_LEAVE[LEAVE CODE],SUMPRODUCT(--(T_LEAVE[NAME]=$B41),--(T_LEAVE[DATE]&lt;=AA$8),--(T_LEAVE[DATE]&gt;=AA$8),ROW(T_LEAVE[LEAVE CODE]))-ROW(T_LEAVE[#Headers]))))))),"")</f>
        <v/>
      </c>
      <c r="AB41" s="75" t="str">
        <f>IFERROR(IF(AB$8="","NA",IF(AB$8&lt;INDEX(T_EMP[START DATE],ROW($B41)-ROW($B$8)),"NE",IF(AND(INDEX(T_EMP[TERMINATION DATE],ROW($B41)-ROW($B$8))&gt;0,AB$8&gt;INDEX(T_EMP[TERMINATION DATE],ROW($B41)-ROW($B$8))),"NE",IF(NOT(ISERROR(MATCH(AB$8,L_HOLS,0))),"H",IF(INDEX(L_WKNDVAL,WEEKDAY(AB$8,1))=1,"WKND",INDEX(T_LEAVE[LEAVE CODE],SUMPRODUCT(--(T_LEAVE[NAME]=$B41),--(T_LEAVE[DATE]&lt;=AB$8),--(T_LEAVE[DATE]&gt;=AB$8),ROW(T_LEAVE[LEAVE CODE]))-ROW(T_LEAVE[#Headers]))))))),"")</f>
        <v/>
      </c>
      <c r="AC41" s="75" t="str">
        <f>IFERROR(IF(AC$8="","NA",IF(AC$8&lt;INDEX(T_EMP[START DATE],ROW($B41)-ROW($B$8)),"NE",IF(AND(INDEX(T_EMP[TERMINATION DATE],ROW($B41)-ROW($B$8))&gt;0,AC$8&gt;INDEX(T_EMP[TERMINATION DATE],ROW($B41)-ROW($B$8))),"NE",IF(NOT(ISERROR(MATCH(AC$8,L_HOLS,0))),"H",IF(INDEX(L_WKNDVAL,WEEKDAY(AC$8,1))=1,"WKND",INDEX(T_LEAVE[LEAVE CODE],SUMPRODUCT(--(T_LEAVE[NAME]=$B41),--(T_LEAVE[DATE]&lt;=AC$8),--(T_LEAVE[DATE]&gt;=AC$8),ROW(T_LEAVE[LEAVE CODE]))-ROW(T_LEAVE[#Headers]))))))),"")</f>
        <v/>
      </c>
      <c r="AD41" s="75" t="str">
        <f>IFERROR(IF(AD$8="","NA",IF(AD$8&lt;INDEX(T_EMP[START DATE],ROW($B41)-ROW($B$8)),"NE",IF(AND(INDEX(T_EMP[TERMINATION DATE],ROW($B41)-ROW($B$8))&gt;0,AD$8&gt;INDEX(T_EMP[TERMINATION DATE],ROW($B41)-ROW($B$8))),"NE",IF(NOT(ISERROR(MATCH(AD$8,L_HOLS,0))),"H",IF(INDEX(L_WKNDVAL,WEEKDAY(AD$8,1))=1,"WKND",INDEX(T_LEAVE[LEAVE CODE],SUMPRODUCT(--(T_LEAVE[NAME]=$B41),--(T_LEAVE[DATE]&lt;=AD$8),--(T_LEAVE[DATE]&gt;=AD$8),ROW(T_LEAVE[LEAVE CODE]))-ROW(T_LEAVE[#Headers]))))))),"")</f>
        <v/>
      </c>
      <c r="AE41" s="75" t="str">
        <f>IFERROR(IF(AE$8="","NA",IF(AE$8&lt;INDEX(T_EMP[START DATE],ROW($B41)-ROW($B$8)),"NE",IF(AND(INDEX(T_EMP[TERMINATION DATE],ROW($B41)-ROW($B$8))&gt;0,AE$8&gt;INDEX(T_EMP[TERMINATION DATE],ROW($B41)-ROW($B$8))),"NE",IF(NOT(ISERROR(MATCH(AE$8,L_HOLS,0))),"H",IF(INDEX(L_WKNDVAL,WEEKDAY(AE$8,1))=1,"WKND",INDEX(T_LEAVE[LEAVE CODE],SUMPRODUCT(--(T_LEAVE[NAME]=$B41),--(T_LEAVE[DATE]&lt;=AE$8),--(T_LEAVE[DATE]&gt;=AE$8),ROW(T_LEAVE[LEAVE CODE]))-ROW(T_LEAVE[#Headers]))))))),"")</f>
        <v/>
      </c>
      <c r="AF41" s="75" t="str">
        <f>IFERROR(IF(AF$8="","NA",IF(AF$8&lt;INDEX(T_EMP[START DATE],ROW($B41)-ROW($B$8)),"NE",IF(AND(INDEX(T_EMP[TERMINATION DATE],ROW($B41)-ROW($B$8))&gt;0,AF$8&gt;INDEX(T_EMP[TERMINATION DATE],ROW($B41)-ROW($B$8))),"NE",IF(NOT(ISERROR(MATCH(AF$8,L_HOLS,0))),"H",IF(INDEX(L_WKNDVAL,WEEKDAY(AF$8,1))=1,"WKND",INDEX(T_LEAVE[LEAVE CODE],SUMPRODUCT(--(T_LEAVE[NAME]=$B41),--(T_LEAVE[DATE]&lt;=AF$8),--(T_LEAVE[DATE]&gt;=AF$8),ROW(T_LEAVE[LEAVE CODE]))-ROW(T_LEAVE[#Headers]))))))),"")</f>
        <v/>
      </c>
      <c r="AG41" s="75" t="str">
        <f>IFERROR(IF(AG$8="","NA",IF(AG$8&lt;INDEX(T_EMP[START DATE],ROW($B41)-ROW($B$8)),"NE",IF(AND(INDEX(T_EMP[TERMINATION DATE],ROW($B41)-ROW($B$8))&gt;0,AG$8&gt;INDEX(T_EMP[TERMINATION DATE],ROW($B41)-ROW($B$8))),"NE",IF(NOT(ISERROR(MATCH(AG$8,L_HOLS,0))),"H",IF(INDEX(L_WKNDVAL,WEEKDAY(AG$8,1))=1,"WKND",INDEX(T_LEAVE[LEAVE CODE],SUMPRODUCT(--(T_LEAVE[NAME]=$B41),--(T_LEAVE[DATE]&lt;=AG$8),--(T_LEAVE[DATE]&gt;=AG$8),ROW(T_LEAVE[LEAVE CODE]))-ROW(T_LEAVE[#Headers]))))))),"")</f>
        <v/>
      </c>
      <c r="AH41" s="75" t="str">
        <f>IFERROR(IF(AH$8="","NA",IF(AH$8&lt;INDEX(T_EMP[START DATE],ROW($B41)-ROW($B$8)),"NE",IF(AND(INDEX(T_EMP[TERMINATION DATE],ROW($B41)-ROW($B$8))&gt;0,AH$8&gt;INDEX(T_EMP[TERMINATION DATE],ROW($B41)-ROW($B$8))),"NE",IF(NOT(ISERROR(MATCH(AH$8,L_HOLS,0))),"H",IF(INDEX(L_WKNDVAL,WEEKDAY(AH$8,1))=1,"WKND",INDEX(T_LEAVE[LEAVE CODE],SUMPRODUCT(--(T_LEAVE[NAME]=$B41),--(T_LEAVE[DATE]&lt;=AH$8),--(T_LEAVE[DATE]&gt;=AH$8),ROW(T_LEAVE[LEAVE CODE]))-ROW(T_LEAVE[#Headers]))))))),"")</f>
        <v/>
      </c>
      <c r="AJ41" s="88">
        <f>IF(OR($B41="",AJ$8=""),"",COUNTIFS($D41:$AH41,AJ$8)*INDEX(T_LEAVETYPE[DAY VALUE],1))</f>
        <v>0</v>
      </c>
      <c r="AK41" s="88">
        <f>IF(OR($B41="",AK$8=""),"",COUNTIFS($D41:$AH41,AK$8)*INDEX(T_LEAVETYPE[DAY VALUE],2))</f>
        <v>0</v>
      </c>
      <c r="AL41" s="88">
        <f>IF(OR($B41="",AL$8=""),"",COUNTIFS($D41:$AH41,AL$8)*INDEX(T_LEAVETYPE[DAY VALUE],3))</f>
        <v>0</v>
      </c>
      <c r="AM41" s="88">
        <f>IF(OR($B41="",AM$8=""),"",COUNTIFS($D41:$AH41,AM$8)*INDEX(T_LEAVETYPE[DAY VALUE],4))</f>
        <v>0</v>
      </c>
      <c r="AN41" s="88">
        <f>IF(OR($B41="",AN$8=""),"",COUNTIFS($D41:$AH41,AN$8)*INDEX(T_LEAVETYPE[DAY VALUE],5))</f>
        <v>0</v>
      </c>
      <c r="AO41" s="88">
        <f>IF(OR($B41="",AO$8=""),"",COUNTIFS($D41:$AH41,AO$8)*INDEX(T_LEAVETYPE[DAY VALUE],6))</f>
        <v>0</v>
      </c>
      <c r="AP41" s="88">
        <f>IF(OR($B41="",AP$8=""),"",COUNTIFS($D41:$AH41,AP$8)*INDEX(T_LEAVETYPE[DAY VALUE],7))</f>
        <v>0</v>
      </c>
      <c r="AQ41" s="88">
        <f>IF(OR($B41="",AQ$8=""),"",COUNTIFS($D41:$AH41,AQ$8)*INDEX(T_LEAVETYPE[DAY VALUE],8))</f>
        <v>0</v>
      </c>
      <c r="AR41" s="89">
        <f t="shared" si="3"/>
        <v>0</v>
      </c>
    </row>
    <row r="42" spans="1:44" x14ac:dyDescent="0.25">
      <c r="A42" s="90">
        <f t="shared" si="4"/>
        <v>34</v>
      </c>
      <c r="B42" s="74" t="str">
        <f>IFERROR(INDEX(T_EMP[NAME],ROW(B42)-ROW($B$8)),"")</f>
        <v>VALENCIA, WINDSOR ROBERT</v>
      </c>
      <c r="C42" s="91" t="str">
        <f>IFERROR(INDEX(T_EMP[DEPARTMENT],ROW(B42)-ROW($C$8)),"")</f>
        <v>IB SUPPORT</v>
      </c>
      <c r="D42" s="75" t="str">
        <f>IFERROR(IF(D$8="","NA",IF(D$8&lt;INDEX(T_EMP[START DATE],ROW($B42)-ROW($B$8)),"NE",IF(AND(INDEX(T_EMP[TERMINATION DATE],ROW($B42)-ROW($B$8))&gt;0,D$8&gt;INDEX(T_EMP[TERMINATION DATE],ROW($B42)-ROW($B$8))),"NE",IF(NOT(ISERROR(MATCH(D$8,L_HOLS,0))),"H",IF(INDEX(L_WKNDVAL,WEEKDAY(D$8,1))=1,"WKND",INDEX(T_LEAVE[LEAVE CODE],SUMPRODUCT(--(T_LEAVE[NAME]=$B42),--(T_LEAVE[DATE]&lt;=D$8),--(T_LEAVE[DATE]&gt;=D$8),ROW(T_LEAVE[LEAVE CODE]))-ROW(T_LEAVE[#Headers]))))))),"")</f>
        <v>H</v>
      </c>
      <c r="E42" s="75" t="str">
        <f>IFERROR(IF(E$8="","NA",IF(E$8&lt;INDEX(T_EMP[START DATE],ROW($B42)-ROW($B$8)),"NE",IF(AND(INDEX(T_EMP[TERMINATION DATE],ROW($B42)-ROW($B$8))&gt;0,E$8&gt;INDEX(T_EMP[TERMINATION DATE],ROW($B42)-ROW($B$8))),"NE",IF(NOT(ISERROR(MATCH(E$8,L_HOLS,0))),"H",IF(INDEX(L_WKNDVAL,WEEKDAY(E$8,1))=1,"WKND",INDEX(T_LEAVE[LEAVE CODE],SUMPRODUCT(--(T_LEAVE[NAME]=$B42),--(T_LEAVE[DATE]&lt;=E$8),--(T_LEAVE[DATE]&gt;=E$8),ROW(T_LEAVE[LEAVE CODE]))-ROW(T_LEAVE[#Headers]))))))),"")</f>
        <v/>
      </c>
      <c r="F42" s="75" t="str">
        <f>IFERROR(IF(F$8="","NA",IF(F$8&lt;INDEX(T_EMP[START DATE],ROW($B42)-ROW($B$8)),"NE",IF(AND(INDEX(T_EMP[TERMINATION DATE],ROW($B42)-ROW($B$8))&gt;0,F$8&gt;INDEX(T_EMP[TERMINATION DATE],ROW($B42)-ROW($B$8))),"NE",IF(NOT(ISERROR(MATCH(F$8,L_HOLS,0))),"H",IF(INDEX(L_WKNDVAL,WEEKDAY(F$8,1))=1,"WKND",INDEX(T_LEAVE[LEAVE CODE],SUMPRODUCT(--(T_LEAVE[NAME]=$B42),--(T_LEAVE[DATE]&lt;=F$8),--(T_LEAVE[DATE]&gt;=F$8),ROW(T_LEAVE[LEAVE CODE]))-ROW(T_LEAVE[#Headers]))))))),"")</f>
        <v/>
      </c>
      <c r="G42" s="75" t="str">
        <f>IFERROR(IF(G$8="","NA",IF(G$8&lt;INDEX(T_EMP[START DATE],ROW($B42)-ROW($B$8)),"NE",IF(AND(INDEX(T_EMP[TERMINATION DATE],ROW($B42)-ROW($B$8))&gt;0,G$8&gt;INDEX(T_EMP[TERMINATION DATE],ROW($B42)-ROW($B$8))),"NE",IF(NOT(ISERROR(MATCH(G$8,L_HOLS,0))),"H",IF(INDEX(L_WKNDVAL,WEEKDAY(G$8,1))=1,"WKND",INDEX(T_LEAVE[LEAVE CODE],SUMPRODUCT(--(T_LEAVE[NAME]=$B42),--(T_LEAVE[DATE]&lt;=G$8),--(T_LEAVE[DATE]&gt;=G$8),ROW(T_LEAVE[LEAVE CODE]))-ROW(T_LEAVE[#Headers]))))))),"")</f>
        <v/>
      </c>
      <c r="H42" s="75" t="str">
        <f>IFERROR(IF(H$8="","NA",IF(H$8&lt;INDEX(T_EMP[START DATE],ROW($B42)-ROW($B$8)),"NE",IF(AND(INDEX(T_EMP[TERMINATION DATE],ROW($B42)-ROW($B$8))&gt;0,H$8&gt;INDEX(T_EMP[TERMINATION DATE],ROW($B42)-ROW($B$8))),"NE",IF(NOT(ISERROR(MATCH(H$8,L_HOLS,0))),"H",IF(INDEX(L_WKNDVAL,WEEKDAY(H$8,1))=1,"WKND",INDEX(T_LEAVE[LEAVE CODE],SUMPRODUCT(--(T_LEAVE[NAME]=$B42),--(T_LEAVE[DATE]&lt;=H$8),--(T_LEAVE[DATE]&gt;=H$8),ROW(T_LEAVE[LEAVE CODE]))-ROW(T_LEAVE[#Headers]))))))),"")</f>
        <v/>
      </c>
      <c r="I42" s="75" t="str">
        <f>IFERROR(IF(I$8="","NA",IF(I$8&lt;INDEX(T_EMP[START DATE],ROW($B42)-ROW($B$8)),"NE",IF(AND(INDEX(T_EMP[TERMINATION DATE],ROW($B42)-ROW($B$8))&gt;0,I$8&gt;INDEX(T_EMP[TERMINATION DATE],ROW($B42)-ROW($B$8))),"NE",IF(NOT(ISERROR(MATCH(I$8,L_HOLS,0))),"H",IF(INDEX(L_WKNDVAL,WEEKDAY(I$8,1))=1,"WKND",INDEX(T_LEAVE[LEAVE CODE],SUMPRODUCT(--(T_LEAVE[NAME]=$B42),--(T_LEAVE[DATE]&lt;=I$8),--(T_LEAVE[DATE]&gt;=I$8),ROW(T_LEAVE[LEAVE CODE]))-ROW(T_LEAVE[#Headers]))))))),"")</f>
        <v/>
      </c>
      <c r="J42" s="75" t="str">
        <f>IFERROR(IF(J$8="","NA",IF(J$8&lt;INDEX(T_EMP[START DATE],ROW($B42)-ROW($B$8)),"NE",IF(AND(INDEX(T_EMP[TERMINATION DATE],ROW($B42)-ROW($B$8))&gt;0,J$8&gt;INDEX(T_EMP[TERMINATION DATE],ROW($B42)-ROW($B$8))),"NE",IF(NOT(ISERROR(MATCH(J$8,L_HOLS,0))),"H",IF(INDEX(L_WKNDVAL,WEEKDAY(J$8,1))=1,"WKND",INDEX(T_LEAVE[LEAVE CODE],SUMPRODUCT(--(T_LEAVE[NAME]=$B42),--(T_LEAVE[DATE]&lt;=J$8),--(T_LEAVE[DATE]&gt;=J$8),ROW(T_LEAVE[LEAVE CODE]))-ROW(T_LEAVE[#Headers]))))))),"")</f>
        <v/>
      </c>
      <c r="K42" s="75" t="str">
        <f>IFERROR(IF(K$8="","NA",IF(K$8&lt;INDEX(T_EMP[START DATE],ROW($B42)-ROW($B$8)),"NE",IF(AND(INDEX(T_EMP[TERMINATION DATE],ROW($B42)-ROW($B$8))&gt;0,K$8&gt;INDEX(T_EMP[TERMINATION DATE],ROW($B42)-ROW($B$8))),"NE",IF(NOT(ISERROR(MATCH(K$8,L_HOLS,0))),"H",IF(INDEX(L_WKNDVAL,WEEKDAY(K$8,1))=1,"WKND",INDEX(T_LEAVE[LEAVE CODE],SUMPRODUCT(--(T_LEAVE[NAME]=$B42),--(T_LEAVE[DATE]&lt;=K$8),--(T_LEAVE[DATE]&gt;=K$8),ROW(T_LEAVE[LEAVE CODE]))-ROW(T_LEAVE[#Headers]))))))),"")</f>
        <v/>
      </c>
      <c r="L42" s="75" t="str">
        <f>IFERROR(IF(L$8="","NA",IF(L$8&lt;INDEX(T_EMP[START DATE],ROW($B42)-ROW($B$8)),"NE",IF(AND(INDEX(T_EMP[TERMINATION DATE],ROW($B42)-ROW($B$8))&gt;0,L$8&gt;INDEX(T_EMP[TERMINATION DATE],ROW($B42)-ROW($B$8))),"NE",IF(NOT(ISERROR(MATCH(L$8,L_HOLS,0))),"H",IF(INDEX(L_WKNDVAL,WEEKDAY(L$8,1))=1,"WKND",INDEX(T_LEAVE[LEAVE CODE],SUMPRODUCT(--(T_LEAVE[NAME]=$B42),--(T_LEAVE[DATE]&lt;=L$8),--(T_LEAVE[DATE]&gt;=L$8),ROW(T_LEAVE[LEAVE CODE]))-ROW(T_LEAVE[#Headers]))))))),"")</f>
        <v/>
      </c>
      <c r="M42" s="75" t="str">
        <f>IFERROR(IF(M$8="","NA",IF(M$8&lt;INDEX(T_EMP[START DATE],ROW($B42)-ROW($B$8)),"NE",IF(AND(INDEX(T_EMP[TERMINATION DATE],ROW($B42)-ROW($B$8))&gt;0,M$8&gt;INDEX(T_EMP[TERMINATION DATE],ROW($B42)-ROW($B$8))),"NE",IF(NOT(ISERROR(MATCH(M$8,L_HOLS,0))),"H",IF(INDEX(L_WKNDVAL,WEEKDAY(M$8,1))=1,"WKND",INDEX(T_LEAVE[LEAVE CODE],SUMPRODUCT(--(T_LEAVE[NAME]=$B42),--(T_LEAVE[DATE]&lt;=M$8),--(T_LEAVE[DATE]&gt;=M$8),ROW(T_LEAVE[LEAVE CODE]))-ROW(T_LEAVE[#Headers]))))))),"")</f>
        <v/>
      </c>
      <c r="N42" s="75" t="str">
        <f>IFERROR(IF(N$8="","NA",IF(N$8&lt;INDEX(T_EMP[START DATE],ROW($B42)-ROW($B$8)),"NE",IF(AND(INDEX(T_EMP[TERMINATION DATE],ROW($B42)-ROW($B$8))&gt;0,N$8&gt;INDEX(T_EMP[TERMINATION DATE],ROW($B42)-ROW($B$8))),"NE",IF(NOT(ISERROR(MATCH(N$8,L_HOLS,0))),"H",IF(INDEX(L_WKNDVAL,WEEKDAY(N$8,1))=1,"WKND",INDEX(T_LEAVE[LEAVE CODE],SUMPRODUCT(--(T_LEAVE[NAME]=$B42),--(T_LEAVE[DATE]&lt;=N$8),--(T_LEAVE[DATE]&gt;=N$8),ROW(T_LEAVE[LEAVE CODE]))-ROW(T_LEAVE[#Headers]))))))),"")</f>
        <v/>
      </c>
      <c r="O42" s="75" t="str">
        <f>IFERROR(IF(O$8="","NA",IF(O$8&lt;INDEX(T_EMP[START DATE],ROW($B42)-ROW($B$8)),"NE",IF(AND(INDEX(T_EMP[TERMINATION DATE],ROW($B42)-ROW($B$8))&gt;0,O$8&gt;INDEX(T_EMP[TERMINATION DATE],ROW($B42)-ROW($B$8))),"NE",IF(NOT(ISERROR(MATCH(O$8,L_HOLS,0))),"H",IF(INDEX(L_WKNDVAL,WEEKDAY(O$8,1))=1,"WKND",INDEX(T_LEAVE[LEAVE CODE],SUMPRODUCT(--(T_LEAVE[NAME]=$B42),--(T_LEAVE[DATE]&lt;=O$8),--(T_LEAVE[DATE]&gt;=O$8),ROW(T_LEAVE[LEAVE CODE]))-ROW(T_LEAVE[#Headers]))))))),"")</f>
        <v/>
      </c>
      <c r="P42" s="75" t="str">
        <f>IFERROR(IF(P$8="","NA",IF(P$8&lt;INDEX(T_EMP[START DATE],ROW($B42)-ROW($B$8)),"NE",IF(AND(INDEX(T_EMP[TERMINATION DATE],ROW($B42)-ROW($B$8))&gt;0,P$8&gt;INDEX(T_EMP[TERMINATION DATE],ROW($B42)-ROW($B$8))),"NE",IF(NOT(ISERROR(MATCH(P$8,L_HOLS,0))),"H",IF(INDEX(L_WKNDVAL,WEEKDAY(P$8,1))=1,"WKND",INDEX(T_LEAVE[LEAVE CODE],SUMPRODUCT(--(T_LEAVE[NAME]=$B42),--(T_LEAVE[DATE]&lt;=P$8),--(T_LEAVE[DATE]&gt;=P$8),ROW(T_LEAVE[LEAVE CODE]))-ROW(T_LEAVE[#Headers]))))))),"")</f>
        <v>H</v>
      </c>
      <c r="Q42" s="75" t="str">
        <f>IFERROR(IF(Q$8="","NA",IF(Q$8&lt;INDEX(T_EMP[START DATE],ROW($B42)-ROW($B$8)),"NE",IF(AND(INDEX(T_EMP[TERMINATION DATE],ROW($B42)-ROW($B$8))&gt;0,Q$8&gt;INDEX(T_EMP[TERMINATION DATE],ROW($B42)-ROW($B$8))),"NE",IF(NOT(ISERROR(MATCH(Q$8,L_HOLS,0))),"H",IF(INDEX(L_WKNDVAL,WEEKDAY(Q$8,1))=1,"WKND",INDEX(T_LEAVE[LEAVE CODE],SUMPRODUCT(--(T_LEAVE[NAME]=$B42),--(T_LEAVE[DATE]&lt;=Q$8),--(T_LEAVE[DATE]&gt;=Q$8),ROW(T_LEAVE[LEAVE CODE]))-ROW(T_LEAVE[#Headers]))))))),"")</f>
        <v/>
      </c>
      <c r="R42" s="75" t="str">
        <f>IFERROR(IF(R$8="","NA",IF(R$8&lt;INDEX(T_EMP[START DATE],ROW($B42)-ROW($B$8)),"NE",IF(AND(INDEX(T_EMP[TERMINATION DATE],ROW($B42)-ROW($B$8))&gt;0,R$8&gt;INDEX(T_EMP[TERMINATION DATE],ROW($B42)-ROW($B$8))),"NE",IF(NOT(ISERROR(MATCH(R$8,L_HOLS,0))),"H",IF(INDEX(L_WKNDVAL,WEEKDAY(R$8,1))=1,"WKND",INDEX(T_LEAVE[LEAVE CODE],SUMPRODUCT(--(T_LEAVE[NAME]=$B42),--(T_LEAVE[DATE]&lt;=R$8),--(T_LEAVE[DATE]&gt;=R$8),ROW(T_LEAVE[LEAVE CODE]))-ROW(T_LEAVE[#Headers]))))))),"")</f>
        <v/>
      </c>
      <c r="S42" s="75" t="str">
        <f>IFERROR(IF(S$8="","NA",IF(S$8&lt;INDEX(T_EMP[START DATE],ROW($B42)-ROW($B$8)),"NE",IF(AND(INDEX(T_EMP[TERMINATION DATE],ROW($B42)-ROW($B$8))&gt;0,S$8&gt;INDEX(T_EMP[TERMINATION DATE],ROW($B42)-ROW($B$8))),"NE",IF(NOT(ISERROR(MATCH(S$8,L_HOLS,0))),"H",IF(INDEX(L_WKNDVAL,WEEKDAY(S$8,1))=1,"WKND",INDEX(T_LEAVE[LEAVE CODE],SUMPRODUCT(--(T_LEAVE[NAME]=$B42),--(T_LEAVE[DATE]&lt;=S$8),--(T_LEAVE[DATE]&gt;=S$8),ROW(T_LEAVE[LEAVE CODE]))-ROW(T_LEAVE[#Headers]))))))),"")</f>
        <v/>
      </c>
      <c r="T42" s="75" t="str">
        <f>IFERROR(IF(T$8="","NA",IF(T$8&lt;INDEX(T_EMP[START DATE],ROW($B42)-ROW($B$8)),"NE",IF(AND(INDEX(T_EMP[TERMINATION DATE],ROW($B42)-ROW($B$8))&gt;0,T$8&gt;INDEX(T_EMP[TERMINATION DATE],ROW($B42)-ROW($B$8))),"NE",IF(NOT(ISERROR(MATCH(T$8,L_HOLS,0))),"H",IF(INDEX(L_WKNDVAL,WEEKDAY(T$8,1))=1,"WKND",INDEX(T_LEAVE[LEAVE CODE],SUMPRODUCT(--(T_LEAVE[NAME]=$B42),--(T_LEAVE[DATE]&lt;=T$8),--(T_LEAVE[DATE]&gt;=T$8),ROW(T_LEAVE[LEAVE CODE]))-ROW(T_LEAVE[#Headers]))))))),"")</f>
        <v/>
      </c>
      <c r="U42" s="75" t="str">
        <f>IFERROR(IF(U$8="","NA",IF(U$8&lt;INDEX(T_EMP[START DATE],ROW($B42)-ROW($B$8)),"NE",IF(AND(INDEX(T_EMP[TERMINATION DATE],ROW($B42)-ROW($B$8))&gt;0,U$8&gt;INDEX(T_EMP[TERMINATION DATE],ROW($B42)-ROW($B$8))),"NE",IF(NOT(ISERROR(MATCH(U$8,L_HOLS,0))),"H",IF(INDEX(L_WKNDVAL,WEEKDAY(U$8,1))=1,"WKND",INDEX(T_LEAVE[LEAVE CODE],SUMPRODUCT(--(T_LEAVE[NAME]=$B42),--(T_LEAVE[DATE]&lt;=U$8),--(T_LEAVE[DATE]&gt;=U$8),ROW(T_LEAVE[LEAVE CODE]))-ROW(T_LEAVE[#Headers]))))))),"")</f>
        <v/>
      </c>
      <c r="V42" s="75" t="str">
        <f>IFERROR(IF(V$8="","NA",IF(V$8&lt;INDEX(T_EMP[START DATE],ROW($B42)-ROW($B$8)),"NE",IF(AND(INDEX(T_EMP[TERMINATION DATE],ROW($B42)-ROW($B$8))&gt;0,V$8&gt;INDEX(T_EMP[TERMINATION DATE],ROW($B42)-ROW($B$8))),"NE",IF(NOT(ISERROR(MATCH(V$8,L_HOLS,0))),"H",IF(INDEX(L_WKNDVAL,WEEKDAY(V$8,1))=1,"WKND",INDEX(T_LEAVE[LEAVE CODE],SUMPRODUCT(--(T_LEAVE[NAME]=$B42),--(T_LEAVE[DATE]&lt;=V$8),--(T_LEAVE[DATE]&gt;=V$8),ROW(T_LEAVE[LEAVE CODE]))-ROW(T_LEAVE[#Headers]))))))),"")</f>
        <v/>
      </c>
      <c r="W42" s="75" t="str">
        <f>IFERROR(IF(W$8="","NA",IF(W$8&lt;INDEX(T_EMP[START DATE],ROW($B42)-ROW($B$8)),"NE",IF(AND(INDEX(T_EMP[TERMINATION DATE],ROW($B42)-ROW($B$8))&gt;0,W$8&gt;INDEX(T_EMP[TERMINATION DATE],ROW($B42)-ROW($B$8))),"NE",IF(NOT(ISERROR(MATCH(W$8,L_HOLS,0))),"H",IF(INDEX(L_WKNDVAL,WEEKDAY(W$8,1))=1,"WKND",INDEX(T_LEAVE[LEAVE CODE],SUMPRODUCT(--(T_LEAVE[NAME]=$B42),--(T_LEAVE[DATE]&lt;=W$8),--(T_LEAVE[DATE]&gt;=W$8),ROW(T_LEAVE[LEAVE CODE]))-ROW(T_LEAVE[#Headers]))))))),"")</f>
        <v/>
      </c>
      <c r="X42" s="75" t="str">
        <f>IFERROR(IF(X$8="","NA",IF(X$8&lt;INDEX(T_EMP[START DATE],ROW($B42)-ROW($B$8)),"NE",IF(AND(INDEX(T_EMP[TERMINATION DATE],ROW($B42)-ROW($B$8))&gt;0,X$8&gt;INDEX(T_EMP[TERMINATION DATE],ROW($B42)-ROW($B$8))),"NE",IF(NOT(ISERROR(MATCH(X$8,L_HOLS,0))),"H",IF(INDEX(L_WKNDVAL,WEEKDAY(X$8,1))=1,"WKND",INDEX(T_LEAVE[LEAVE CODE],SUMPRODUCT(--(T_LEAVE[NAME]=$B42),--(T_LEAVE[DATE]&lt;=X$8),--(T_LEAVE[DATE]&gt;=X$8),ROW(T_LEAVE[LEAVE CODE]))-ROW(T_LEAVE[#Headers]))))))),"")</f>
        <v/>
      </c>
      <c r="Y42" s="75" t="str">
        <f>IFERROR(IF(Y$8="","NA",IF(Y$8&lt;INDEX(T_EMP[START DATE],ROW($B42)-ROW($B$8)),"NE",IF(AND(INDEX(T_EMP[TERMINATION DATE],ROW($B42)-ROW($B$8))&gt;0,Y$8&gt;INDEX(T_EMP[TERMINATION DATE],ROW($B42)-ROW($B$8))),"NE",IF(NOT(ISERROR(MATCH(Y$8,L_HOLS,0))),"H",IF(INDEX(L_WKNDVAL,WEEKDAY(Y$8,1))=1,"WKND",INDEX(T_LEAVE[LEAVE CODE],SUMPRODUCT(--(T_LEAVE[NAME]=$B42),--(T_LEAVE[DATE]&lt;=Y$8),--(T_LEAVE[DATE]&gt;=Y$8),ROW(T_LEAVE[LEAVE CODE]))-ROW(T_LEAVE[#Headers]))))))),"")</f>
        <v/>
      </c>
      <c r="Z42" s="75" t="str">
        <f>IFERROR(IF(Z$8="","NA",IF(Z$8&lt;INDEX(T_EMP[START DATE],ROW($B42)-ROW($B$8)),"NE",IF(AND(INDEX(T_EMP[TERMINATION DATE],ROW($B42)-ROW($B$8))&gt;0,Z$8&gt;INDEX(T_EMP[TERMINATION DATE],ROW($B42)-ROW($B$8))),"NE",IF(NOT(ISERROR(MATCH(Z$8,L_HOLS,0))),"H",IF(INDEX(L_WKNDVAL,WEEKDAY(Z$8,1))=1,"WKND",INDEX(T_LEAVE[LEAVE CODE],SUMPRODUCT(--(T_LEAVE[NAME]=$B42),--(T_LEAVE[DATE]&lt;=Z$8),--(T_LEAVE[DATE]&gt;=Z$8),ROW(T_LEAVE[LEAVE CODE]))-ROW(T_LEAVE[#Headers]))))))),"")</f>
        <v/>
      </c>
      <c r="AA42" s="75" t="str">
        <f>IFERROR(IF(AA$8="","NA",IF(AA$8&lt;INDEX(T_EMP[START DATE],ROW($B42)-ROW($B$8)),"NE",IF(AND(INDEX(T_EMP[TERMINATION DATE],ROW($B42)-ROW($B$8))&gt;0,AA$8&gt;INDEX(T_EMP[TERMINATION DATE],ROW($B42)-ROW($B$8))),"NE",IF(NOT(ISERROR(MATCH(AA$8,L_HOLS,0))),"H",IF(INDEX(L_WKNDVAL,WEEKDAY(AA$8,1))=1,"WKND",INDEX(T_LEAVE[LEAVE CODE],SUMPRODUCT(--(T_LEAVE[NAME]=$B42),--(T_LEAVE[DATE]&lt;=AA$8),--(T_LEAVE[DATE]&gt;=AA$8),ROW(T_LEAVE[LEAVE CODE]))-ROW(T_LEAVE[#Headers]))))))),"")</f>
        <v/>
      </c>
      <c r="AB42" s="75" t="str">
        <f>IFERROR(IF(AB$8="","NA",IF(AB$8&lt;INDEX(T_EMP[START DATE],ROW($B42)-ROW($B$8)),"NE",IF(AND(INDEX(T_EMP[TERMINATION DATE],ROW($B42)-ROW($B$8))&gt;0,AB$8&gt;INDEX(T_EMP[TERMINATION DATE],ROW($B42)-ROW($B$8))),"NE",IF(NOT(ISERROR(MATCH(AB$8,L_HOLS,0))),"H",IF(INDEX(L_WKNDVAL,WEEKDAY(AB$8,1))=1,"WKND",INDEX(T_LEAVE[LEAVE CODE],SUMPRODUCT(--(T_LEAVE[NAME]=$B42),--(T_LEAVE[DATE]&lt;=AB$8),--(T_LEAVE[DATE]&gt;=AB$8),ROW(T_LEAVE[LEAVE CODE]))-ROW(T_LEAVE[#Headers]))))))),"")</f>
        <v/>
      </c>
      <c r="AC42" s="75" t="str">
        <f>IFERROR(IF(AC$8="","NA",IF(AC$8&lt;INDEX(T_EMP[START DATE],ROW($B42)-ROW($B$8)),"NE",IF(AND(INDEX(T_EMP[TERMINATION DATE],ROW($B42)-ROW($B$8))&gt;0,AC$8&gt;INDEX(T_EMP[TERMINATION DATE],ROW($B42)-ROW($B$8))),"NE",IF(NOT(ISERROR(MATCH(AC$8,L_HOLS,0))),"H",IF(INDEX(L_WKNDVAL,WEEKDAY(AC$8,1))=1,"WKND",INDEX(T_LEAVE[LEAVE CODE],SUMPRODUCT(--(T_LEAVE[NAME]=$B42),--(T_LEAVE[DATE]&lt;=AC$8),--(T_LEAVE[DATE]&gt;=AC$8),ROW(T_LEAVE[LEAVE CODE]))-ROW(T_LEAVE[#Headers]))))))),"")</f>
        <v/>
      </c>
      <c r="AD42" s="75" t="str">
        <f>IFERROR(IF(AD$8="","NA",IF(AD$8&lt;INDEX(T_EMP[START DATE],ROW($B42)-ROW($B$8)),"NE",IF(AND(INDEX(T_EMP[TERMINATION DATE],ROW($B42)-ROW($B$8))&gt;0,AD$8&gt;INDEX(T_EMP[TERMINATION DATE],ROW($B42)-ROW($B$8))),"NE",IF(NOT(ISERROR(MATCH(AD$8,L_HOLS,0))),"H",IF(INDEX(L_WKNDVAL,WEEKDAY(AD$8,1))=1,"WKND",INDEX(T_LEAVE[LEAVE CODE],SUMPRODUCT(--(T_LEAVE[NAME]=$B42),--(T_LEAVE[DATE]&lt;=AD$8),--(T_LEAVE[DATE]&gt;=AD$8),ROW(T_LEAVE[LEAVE CODE]))-ROW(T_LEAVE[#Headers]))))))),"")</f>
        <v/>
      </c>
      <c r="AE42" s="75" t="str">
        <f>IFERROR(IF(AE$8="","NA",IF(AE$8&lt;INDEX(T_EMP[START DATE],ROW($B42)-ROW($B$8)),"NE",IF(AND(INDEX(T_EMP[TERMINATION DATE],ROW($B42)-ROW($B$8))&gt;0,AE$8&gt;INDEX(T_EMP[TERMINATION DATE],ROW($B42)-ROW($B$8))),"NE",IF(NOT(ISERROR(MATCH(AE$8,L_HOLS,0))),"H",IF(INDEX(L_WKNDVAL,WEEKDAY(AE$8,1))=1,"WKND",INDEX(T_LEAVE[LEAVE CODE],SUMPRODUCT(--(T_LEAVE[NAME]=$B42),--(T_LEAVE[DATE]&lt;=AE$8),--(T_LEAVE[DATE]&gt;=AE$8),ROW(T_LEAVE[LEAVE CODE]))-ROW(T_LEAVE[#Headers]))))))),"")</f>
        <v/>
      </c>
      <c r="AF42" s="75" t="str">
        <f>IFERROR(IF(AF$8="","NA",IF(AF$8&lt;INDEX(T_EMP[START DATE],ROW($B42)-ROW($B$8)),"NE",IF(AND(INDEX(T_EMP[TERMINATION DATE],ROW($B42)-ROW($B$8))&gt;0,AF$8&gt;INDEX(T_EMP[TERMINATION DATE],ROW($B42)-ROW($B$8))),"NE",IF(NOT(ISERROR(MATCH(AF$8,L_HOLS,0))),"H",IF(INDEX(L_WKNDVAL,WEEKDAY(AF$8,1))=1,"WKND",INDEX(T_LEAVE[LEAVE CODE],SUMPRODUCT(--(T_LEAVE[NAME]=$B42),--(T_LEAVE[DATE]&lt;=AF$8),--(T_LEAVE[DATE]&gt;=AF$8),ROW(T_LEAVE[LEAVE CODE]))-ROW(T_LEAVE[#Headers]))))))),"")</f>
        <v/>
      </c>
      <c r="AG42" s="75" t="str">
        <f>IFERROR(IF(AG$8="","NA",IF(AG$8&lt;INDEX(T_EMP[START DATE],ROW($B42)-ROW($B$8)),"NE",IF(AND(INDEX(T_EMP[TERMINATION DATE],ROW($B42)-ROW($B$8))&gt;0,AG$8&gt;INDEX(T_EMP[TERMINATION DATE],ROW($B42)-ROW($B$8))),"NE",IF(NOT(ISERROR(MATCH(AG$8,L_HOLS,0))),"H",IF(INDEX(L_WKNDVAL,WEEKDAY(AG$8,1))=1,"WKND",INDEX(T_LEAVE[LEAVE CODE],SUMPRODUCT(--(T_LEAVE[NAME]=$B42),--(T_LEAVE[DATE]&lt;=AG$8),--(T_LEAVE[DATE]&gt;=AG$8),ROW(T_LEAVE[LEAVE CODE]))-ROW(T_LEAVE[#Headers]))))))),"")</f>
        <v/>
      </c>
      <c r="AH42" s="75" t="str">
        <f>IFERROR(IF(AH$8="","NA",IF(AH$8&lt;INDEX(T_EMP[START DATE],ROW($B42)-ROW($B$8)),"NE",IF(AND(INDEX(T_EMP[TERMINATION DATE],ROW($B42)-ROW($B$8))&gt;0,AH$8&gt;INDEX(T_EMP[TERMINATION DATE],ROW($B42)-ROW($B$8))),"NE",IF(NOT(ISERROR(MATCH(AH$8,L_HOLS,0))),"H",IF(INDEX(L_WKNDVAL,WEEKDAY(AH$8,1))=1,"WKND",INDEX(T_LEAVE[LEAVE CODE],SUMPRODUCT(--(T_LEAVE[NAME]=$B42),--(T_LEAVE[DATE]&lt;=AH$8),--(T_LEAVE[DATE]&gt;=AH$8),ROW(T_LEAVE[LEAVE CODE]))-ROW(T_LEAVE[#Headers]))))))),"")</f>
        <v/>
      </c>
      <c r="AJ42" s="88">
        <f>IF(OR($B42="",AJ$8=""),"",COUNTIFS($D42:$AH42,AJ$8)*INDEX(T_LEAVETYPE[DAY VALUE],1))</f>
        <v>0</v>
      </c>
      <c r="AK42" s="88">
        <f>IF(OR($B42="",AK$8=""),"",COUNTIFS($D42:$AH42,AK$8)*INDEX(T_LEAVETYPE[DAY VALUE],2))</f>
        <v>0</v>
      </c>
      <c r="AL42" s="88">
        <f>IF(OR($B42="",AL$8=""),"",COUNTIFS($D42:$AH42,AL$8)*INDEX(T_LEAVETYPE[DAY VALUE],3))</f>
        <v>0</v>
      </c>
      <c r="AM42" s="88">
        <f>IF(OR($B42="",AM$8=""),"",COUNTIFS($D42:$AH42,AM$8)*INDEX(T_LEAVETYPE[DAY VALUE],4))</f>
        <v>0</v>
      </c>
      <c r="AN42" s="88">
        <f>IF(OR($B42="",AN$8=""),"",COUNTIFS($D42:$AH42,AN$8)*INDEX(T_LEAVETYPE[DAY VALUE],5))</f>
        <v>0</v>
      </c>
      <c r="AO42" s="88">
        <f>IF(OR($B42="",AO$8=""),"",COUNTIFS($D42:$AH42,AO$8)*INDEX(T_LEAVETYPE[DAY VALUE],6))</f>
        <v>0</v>
      </c>
      <c r="AP42" s="88">
        <f>IF(OR($B42="",AP$8=""),"",COUNTIFS($D42:$AH42,AP$8)*INDEX(T_LEAVETYPE[DAY VALUE],7))</f>
        <v>0</v>
      </c>
      <c r="AQ42" s="88">
        <f>IF(OR($B42="",AQ$8=""),"",COUNTIFS($D42:$AH42,AQ$8)*INDEX(T_LEAVETYPE[DAY VALUE],8))</f>
        <v>0</v>
      </c>
      <c r="AR42" s="89">
        <f t="shared" si="3"/>
        <v>0</v>
      </c>
    </row>
    <row r="43" spans="1:44" x14ac:dyDescent="0.25">
      <c r="A43" s="90">
        <f t="shared" si="4"/>
        <v>35</v>
      </c>
      <c r="B43" s="74" t="str">
        <f>IFERROR(INDEX(T_EMP[NAME],ROW(B43)-ROW($B$8)),"")</f>
        <v>BORJA, RONCEY</v>
      </c>
      <c r="C43" s="91" t="str">
        <f>IFERROR(INDEX(T_EMP[DEPARTMENT],ROW(B43)-ROW($C$8)),"")</f>
        <v>IB SUPPORT</v>
      </c>
      <c r="D43" s="75" t="str">
        <f>IFERROR(IF(D$8="","NA",IF(D$8&lt;INDEX(T_EMP[START DATE],ROW($B43)-ROW($B$8)),"NE",IF(AND(INDEX(T_EMP[TERMINATION DATE],ROW($B43)-ROW($B$8))&gt;0,D$8&gt;INDEX(T_EMP[TERMINATION DATE],ROW($B43)-ROW($B$8))),"NE",IF(NOT(ISERROR(MATCH(D$8,L_HOLS,0))),"H",IF(INDEX(L_WKNDVAL,WEEKDAY(D$8,1))=1,"WKND",INDEX(T_LEAVE[LEAVE CODE],SUMPRODUCT(--(T_LEAVE[NAME]=$B43),--(T_LEAVE[DATE]&lt;=D$8),--(T_LEAVE[DATE]&gt;=D$8),ROW(T_LEAVE[LEAVE CODE]))-ROW(T_LEAVE[#Headers]))))))),"")</f>
        <v>H</v>
      </c>
      <c r="E43" s="75" t="str">
        <f>IFERROR(IF(E$8="","NA",IF(E$8&lt;INDEX(T_EMP[START DATE],ROW($B43)-ROW($B$8)),"NE",IF(AND(INDEX(T_EMP[TERMINATION DATE],ROW($B43)-ROW($B$8))&gt;0,E$8&gt;INDEX(T_EMP[TERMINATION DATE],ROW($B43)-ROW($B$8))),"NE",IF(NOT(ISERROR(MATCH(E$8,L_HOLS,0))),"H",IF(INDEX(L_WKNDVAL,WEEKDAY(E$8,1))=1,"WKND",INDEX(T_LEAVE[LEAVE CODE],SUMPRODUCT(--(T_LEAVE[NAME]=$B43),--(T_LEAVE[DATE]&lt;=E$8),--(T_LEAVE[DATE]&gt;=E$8),ROW(T_LEAVE[LEAVE CODE]))-ROW(T_LEAVE[#Headers]))))))),"")</f>
        <v/>
      </c>
      <c r="F43" s="75" t="str">
        <f>IFERROR(IF(F$8="","NA",IF(F$8&lt;INDEX(T_EMP[START DATE],ROW($B43)-ROW($B$8)),"NE",IF(AND(INDEX(T_EMP[TERMINATION DATE],ROW($B43)-ROW($B$8))&gt;0,F$8&gt;INDEX(T_EMP[TERMINATION DATE],ROW($B43)-ROW($B$8))),"NE",IF(NOT(ISERROR(MATCH(F$8,L_HOLS,0))),"H",IF(INDEX(L_WKNDVAL,WEEKDAY(F$8,1))=1,"WKND",INDEX(T_LEAVE[LEAVE CODE],SUMPRODUCT(--(T_LEAVE[NAME]=$B43),--(T_LEAVE[DATE]&lt;=F$8),--(T_LEAVE[DATE]&gt;=F$8),ROW(T_LEAVE[LEAVE CODE]))-ROW(T_LEAVE[#Headers]))))))),"")</f>
        <v/>
      </c>
      <c r="G43" s="75" t="str">
        <f>IFERROR(IF(G$8="","NA",IF(G$8&lt;INDEX(T_EMP[START DATE],ROW($B43)-ROW($B$8)),"NE",IF(AND(INDEX(T_EMP[TERMINATION DATE],ROW($B43)-ROW($B$8))&gt;0,G$8&gt;INDEX(T_EMP[TERMINATION DATE],ROW($B43)-ROW($B$8))),"NE",IF(NOT(ISERROR(MATCH(G$8,L_HOLS,0))),"H",IF(INDEX(L_WKNDVAL,WEEKDAY(G$8,1))=1,"WKND",INDEX(T_LEAVE[LEAVE CODE],SUMPRODUCT(--(T_LEAVE[NAME]=$B43),--(T_LEAVE[DATE]&lt;=G$8),--(T_LEAVE[DATE]&gt;=G$8),ROW(T_LEAVE[LEAVE CODE]))-ROW(T_LEAVE[#Headers]))))))),"")</f>
        <v/>
      </c>
      <c r="H43" s="75" t="str">
        <f>IFERROR(IF(H$8="","NA",IF(H$8&lt;INDEX(T_EMP[START DATE],ROW($B43)-ROW($B$8)),"NE",IF(AND(INDEX(T_EMP[TERMINATION DATE],ROW($B43)-ROW($B$8))&gt;0,H$8&gt;INDEX(T_EMP[TERMINATION DATE],ROW($B43)-ROW($B$8))),"NE",IF(NOT(ISERROR(MATCH(H$8,L_HOLS,0))),"H",IF(INDEX(L_WKNDVAL,WEEKDAY(H$8,1))=1,"WKND",INDEX(T_LEAVE[LEAVE CODE],SUMPRODUCT(--(T_LEAVE[NAME]=$B43),--(T_LEAVE[DATE]&lt;=H$8),--(T_LEAVE[DATE]&gt;=H$8),ROW(T_LEAVE[LEAVE CODE]))-ROW(T_LEAVE[#Headers]))))))),"")</f>
        <v/>
      </c>
      <c r="I43" s="75" t="str">
        <f>IFERROR(IF(I$8="","NA",IF(I$8&lt;INDEX(T_EMP[START DATE],ROW($B43)-ROW($B$8)),"NE",IF(AND(INDEX(T_EMP[TERMINATION DATE],ROW($B43)-ROW($B$8))&gt;0,I$8&gt;INDEX(T_EMP[TERMINATION DATE],ROW($B43)-ROW($B$8))),"NE",IF(NOT(ISERROR(MATCH(I$8,L_HOLS,0))),"H",IF(INDEX(L_WKNDVAL,WEEKDAY(I$8,1))=1,"WKND",INDEX(T_LEAVE[LEAVE CODE],SUMPRODUCT(--(T_LEAVE[NAME]=$B43),--(T_LEAVE[DATE]&lt;=I$8),--(T_LEAVE[DATE]&gt;=I$8),ROW(T_LEAVE[LEAVE CODE]))-ROW(T_LEAVE[#Headers]))))))),"")</f>
        <v/>
      </c>
      <c r="J43" s="75" t="str">
        <f>IFERROR(IF(J$8="","NA",IF(J$8&lt;INDEX(T_EMP[START DATE],ROW($B43)-ROW($B$8)),"NE",IF(AND(INDEX(T_EMP[TERMINATION DATE],ROW($B43)-ROW($B$8))&gt;0,J$8&gt;INDEX(T_EMP[TERMINATION DATE],ROW($B43)-ROW($B$8))),"NE",IF(NOT(ISERROR(MATCH(J$8,L_HOLS,0))),"H",IF(INDEX(L_WKNDVAL,WEEKDAY(J$8,1))=1,"WKND",INDEX(T_LEAVE[LEAVE CODE],SUMPRODUCT(--(T_LEAVE[NAME]=$B43),--(T_LEAVE[DATE]&lt;=J$8),--(T_LEAVE[DATE]&gt;=J$8),ROW(T_LEAVE[LEAVE CODE]))-ROW(T_LEAVE[#Headers]))))))),"")</f>
        <v/>
      </c>
      <c r="K43" s="75" t="str">
        <f>IFERROR(IF(K$8="","NA",IF(K$8&lt;INDEX(T_EMP[START DATE],ROW($B43)-ROW($B$8)),"NE",IF(AND(INDEX(T_EMP[TERMINATION DATE],ROW($B43)-ROW($B$8))&gt;0,K$8&gt;INDEX(T_EMP[TERMINATION DATE],ROW($B43)-ROW($B$8))),"NE",IF(NOT(ISERROR(MATCH(K$8,L_HOLS,0))),"H",IF(INDEX(L_WKNDVAL,WEEKDAY(K$8,1))=1,"WKND",INDEX(T_LEAVE[LEAVE CODE],SUMPRODUCT(--(T_LEAVE[NAME]=$B43),--(T_LEAVE[DATE]&lt;=K$8),--(T_LEAVE[DATE]&gt;=K$8),ROW(T_LEAVE[LEAVE CODE]))-ROW(T_LEAVE[#Headers]))))))),"")</f>
        <v/>
      </c>
      <c r="L43" s="75" t="str">
        <f>IFERROR(IF(L$8="","NA",IF(L$8&lt;INDEX(T_EMP[START DATE],ROW($B43)-ROW($B$8)),"NE",IF(AND(INDEX(T_EMP[TERMINATION DATE],ROW($B43)-ROW($B$8))&gt;0,L$8&gt;INDEX(T_EMP[TERMINATION DATE],ROW($B43)-ROW($B$8))),"NE",IF(NOT(ISERROR(MATCH(L$8,L_HOLS,0))),"H",IF(INDEX(L_WKNDVAL,WEEKDAY(L$8,1))=1,"WKND",INDEX(T_LEAVE[LEAVE CODE],SUMPRODUCT(--(T_LEAVE[NAME]=$B43),--(T_LEAVE[DATE]&lt;=L$8),--(T_LEAVE[DATE]&gt;=L$8),ROW(T_LEAVE[LEAVE CODE]))-ROW(T_LEAVE[#Headers]))))))),"")</f>
        <v/>
      </c>
      <c r="M43" s="75" t="str">
        <f>IFERROR(IF(M$8="","NA",IF(M$8&lt;INDEX(T_EMP[START DATE],ROW($B43)-ROW($B$8)),"NE",IF(AND(INDEX(T_EMP[TERMINATION DATE],ROW($B43)-ROW($B$8))&gt;0,M$8&gt;INDEX(T_EMP[TERMINATION DATE],ROW($B43)-ROW($B$8))),"NE",IF(NOT(ISERROR(MATCH(M$8,L_HOLS,0))),"H",IF(INDEX(L_WKNDVAL,WEEKDAY(M$8,1))=1,"WKND",INDEX(T_LEAVE[LEAVE CODE],SUMPRODUCT(--(T_LEAVE[NAME]=$B43),--(T_LEAVE[DATE]&lt;=M$8),--(T_LEAVE[DATE]&gt;=M$8),ROW(T_LEAVE[LEAVE CODE]))-ROW(T_LEAVE[#Headers]))))))),"")</f>
        <v/>
      </c>
      <c r="N43" s="75" t="str">
        <f>IFERROR(IF(N$8="","NA",IF(N$8&lt;INDEX(T_EMP[START DATE],ROW($B43)-ROW($B$8)),"NE",IF(AND(INDEX(T_EMP[TERMINATION DATE],ROW($B43)-ROW($B$8))&gt;0,N$8&gt;INDEX(T_EMP[TERMINATION DATE],ROW($B43)-ROW($B$8))),"NE",IF(NOT(ISERROR(MATCH(N$8,L_HOLS,0))),"H",IF(INDEX(L_WKNDVAL,WEEKDAY(N$8,1))=1,"WKND",INDEX(T_LEAVE[LEAVE CODE],SUMPRODUCT(--(T_LEAVE[NAME]=$B43),--(T_LEAVE[DATE]&lt;=N$8),--(T_LEAVE[DATE]&gt;=N$8),ROW(T_LEAVE[LEAVE CODE]))-ROW(T_LEAVE[#Headers]))))))),"")</f>
        <v/>
      </c>
      <c r="O43" s="75" t="str">
        <f>IFERROR(IF(O$8="","NA",IF(O$8&lt;INDEX(T_EMP[START DATE],ROW($B43)-ROW($B$8)),"NE",IF(AND(INDEX(T_EMP[TERMINATION DATE],ROW($B43)-ROW($B$8))&gt;0,O$8&gt;INDEX(T_EMP[TERMINATION DATE],ROW($B43)-ROW($B$8))),"NE",IF(NOT(ISERROR(MATCH(O$8,L_HOLS,0))),"H",IF(INDEX(L_WKNDVAL,WEEKDAY(O$8,1))=1,"WKND",INDEX(T_LEAVE[LEAVE CODE],SUMPRODUCT(--(T_LEAVE[NAME]=$B43),--(T_LEAVE[DATE]&lt;=O$8),--(T_LEAVE[DATE]&gt;=O$8),ROW(T_LEAVE[LEAVE CODE]))-ROW(T_LEAVE[#Headers]))))))),"")</f>
        <v/>
      </c>
      <c r="P43" s="75" t="str">
        <f>IFERROR(IF(P$8="","NA",IF(P$8&lt;INDEX(T_EMP[START DATE],ROW($B43)-ROW($B$8)),"NE",IF(AND(INDEX(T_EMP[TERMINATION DATE],ROW($B43)-ROW($B$8))&gt;0,P$8&gt;INDEX(T_EMP[TERMINATION DATE],ROW($B43)-ROW($B$8))),"NE",IF(NOT(ISERROR(MATCH(P$8,L_HOLS,0))),"H",IF(INDEX(L_WKNDVAL,WEEKDAY(P$8,1))=1,"WKND",INDEX(T_LEAVE[LEAVE CODE],SUMPRODUCT(--(T_LEAVE[NAME]=$B43),--(T_LEAVE[DATE]&lt;=P$8),--(T_LEAVE[DATE]&gt;=P$8),ROW(T_LEAVE[LEAVE CODE]))-ROW(T_LEAVE[#Headers]))))))),"")</f>
        <v>H</v>
      </c>
      <c r="Q43" s="75" t="str">
        <f>IFERROR(IF(Q$8="","NA",IF(Q$8&lt;INDEX(T_EMP[START DATE],ROW($B43)-ROW($B$8)),"NE",IF(AND(INDEX(T_EMP[TERMINATION DATE],ROW($B43)-ROW($B$8))&gt;0,Q$8&gt;INDEX(T_EMP[TERMINATION DATE],ROW($B43)-ROW($B$8))),"NE",IF(NOT(ISERROR(MATCH(Q$8,L_HOLS,0))),"H",IF(INDEX(L_WKNDVAL,WEEKDAY(Q$8,1))=1,"WKND",INDEX(T_LEAVE[LEAVE CODE],SUMPRODUCT(--(T_LEAVE[NAME]=$B43),--(T_LEAVE[DATE]&lt;=Q$8),--(T_LEAVE[DATE]&gt;=Q$8),ROW(T_LEAVE[LEAVE CODE]))-ROW(T_LEAVE[#Headers]))))))),"")</f>
        <v/>
      </c>
      <c r="R43" s="75" t="str">
        <f>IFERROR(IF(R$8="","NA",IF(R$8&lt;INDEX(T_EMP[START DATE],ROW($B43)-ROW($B$8)),"NE",IF(AND(INDEX(T_EMP[TERMINATION DATE],ROW($B43)-ROW($B$8))&gt;0,R$8&gt;INDEX(T_EMP[TERMINATION DATE],ROW($B43)-ROW($B$8))),"NE",IF(NOT(ISERROR(MATCH(R$8,L_HOLS,0))),"H",IF(INDEX(L_WKNDVAL,WEEKDAY(R$8,1))=1,"WKND",INDEX(T_LEAVE[LEAVE CODE],SUMPRODUCT(--(T_LEAVE[NAME]=$B43),--(T_LEAVE[DATE]&lt;=R$8),--(T_LEAVE[DATE]&gt;=R$8),ROW(T_LEAVE[LEAVE CODE]))-ROW(T_LEAVE[#Headers]))))))),"")</f>
        <v/>
      </c>
      <c r="S43" s="75" t="str">
        <f>IFERROR(IF(S$8="","NA",IF(S$8&lt;INDEX(T_EMP[START DATE],ROW($B43)-ROW($B$8)),"NE",IF(AND(INDEX(T_EMP[TERMINATION DATE],ROW($B43)-ROW($B$8))&gt;0,S$8&gt;INDEX(T_EMP[TERMINATION DATE],ROW($B43)-ROW($B$8))),"NE",IF(NOT(ISERROR(MATCH(S$8,L_HOLS,0))),"H",IF(INDEX(L_WKNDVAL,WEEKDAY(S$8,1))=1,"WKND",INDEX(T_LEAVE[LEAVE CODE],SUMPRODUCT(--(T_LEAVE[NAME]=$B43),--(T_LEAVE[DATE]&lt;=S$8),--(T_LEAVE[DATE]&gt;=S$8),ROW(T_LEAVE[LEAVE CODE]))-ROW(T_LEAVE[#Headers]))))))),"")</f>
        <v/>
      </c>
      <c r="T43" s="75" t="str">
        <f>IFERROR(IF(T$8="","NA",IF(T$8&lt;INDEX(T_EMP[START DATE],ROW($B43)-ROW($B$8)),"NE",IF(AND(INDEX(T_EMP[TERMINATION DATE],ROW($B43)-ROW($B$8))&gt;0,T$8&gt;INDEX(T_EMP[TERMINATION DATE],ROW($B43)-ROW($B$8))),"NE",IF(NOT(ISERROR(MATCH(T$8,L_HOLS,0))),"H",IF(INDEX(L_WKNDVAL,WEEKDAY(T$8,1))=1,"WKND",INDEX(T_LEAVE[LEAVE CODE],SUMPRODUCT(--(T_LEAVE[NAME]=$B43),--(T_LEAVE[DATE]&lt;=T$8),--(T_LEAVE[DATE]&gt;=T$8),ROW(T_LEAVE[LEAVE CODE]))-ROW(T_LEAVE[#Headers]))))))),"")</f>
        <v/>
      </c>
      <c r="U43" s="75" t="str">
        <f>IFERROR(IF(U$8="","NA",IF(U$8&lt;INDEX(T_EMP[START DATE],ROW($B43)-ROW($B$8)),"NE",IF(AND(INDEX(T_EMP[TERMINATION DATE],ROW($B43)-ROW($B$8))&gt;0,U$8&gt;INDEX(T_EMP[TERMINATION DATE],ROW($B43)-ROW($B$8))),"NE",IF(NOT(ISERROR(MATCH(U$8,L_HOLS,0))),"H",IF(INDEX(L_WKNDVAL,WEEKDAY(U$8,1))=1,"WKND",INDEX(T_LEAVE[LEAVE CODE],SUMPRODUCT(--(T_LEAVE[NAME]=$B43),--(T_LEAVE[DATE]&lt;=U$8),--(T_LEAVE[DATE]&gt;=U$8),ROW(T_LEAVE[LEAVE CODE]))-ROW(T_LEAVE[#Headers]))))))),"")</f>
        <v/>
      </c>
      <c r="V43" s="75" t="str">
        <f>IFERROR(IF(V$8="","NA",IF(V$8&lt;INDEX(T_EMP[START DATE],ROW($B43)-ROW($B$8)),"NE",IF(AND(INDEX(T_EMP[TERMINATION DATE],ROW($B43)-ROW($B$8))&gt;0,V$8&gt;INDEX(T_EMP[TERMINATION DATE],ROW($B43)-ROW($B$8))),"NE",IF(NOT(ISERROR(MATCH(V$8,L_HOLS,0))),"H",IF(INDEX(L_WKNDVAL,WEEKDAY(V$8,1))=1,"WKND",INDEX(T_LEAVE[LEAVE CODE],SUMPRODUCT(--(T_LEAVE[NAME]=$B43),--(T_LEAVE[DATE]&lt;=V$8),--(T_LEAVE[DATE]&gt;=V$8),ROW(T_LEAVE[LEAVE CODE]))-ROW(T_LEAVE[#Headers]))))))),"")</f>
        <v/>
      </c>
      <c r="W43" s="75" t="str">
        <f>IFERROR(IF(W$8="","NA",IF(W$8&lt;INDEX(T_EMP[START DATE],ROW($B43)-ROW($B$8)),"NE",IF(AND(INDEX(T_EMP[TERMINATION DATE],ROW($B43)-ROW($B$8))&gt;0,W$8&gt;INDEX(T_EMP[TERMINATION DATE],ROW($B43)-ROW($B$8))),"NE",IF(NOT(ISERROR(MATCH(W$8,L_HOLS,0))),"H",IF(INDEX(L_WKNDVAL,WEEKDAY(W$8,1))=1,"WKND",INDEX(T_LEAVE[LEAVE CODE],SUMPRODUCT(--(T_LEAVE[NAME]=$B43),--(T_LEAVE[DATE]&lt;=W$8),--(T_LEAVE[DATE]&gt;=W$8),ROW(T_LEAVE[LEAVE CODE]))-ROW(T_LEAVE[#Headers]))))))),"")</f>
        <v/>
      </c>
      <c r="X43" s="75" t="str">
        <f>IFERROR(IF(X$8="","NA",IF(X$8&lt;INDEX(T_EMP[START DATE],ROW($B43)-ROW($B$8)),"NE",IF(AND(INDEX(T_EMP[TERMINATION DATE],ROW($B43)-ROW($B$8))&gt;0,X$8&gt;INDEX(T_EMP[TERMINATION DATE],ROW($B43)-ROW($B$8))),"NE",IF(NOT(ISERROR(MATCH(X$8,L_HOLS,0))),"H",IF(INDEX(L_WKNDVAL,WEEKDAY(X$8,1))=1,"WKND",INDEX(T_LEAVE[LEAVE CODE],SUMPRODUCT(--(T_LEAVE[NAME]=$B43),--(T_LEAVE[DATE]&lt;=X$8),--(T_LEAVE[DATE]&gt;=X$8),ROW(T_LEAVE[LEAVE CODE]))-ROW(T_LEAVE[#Headers]))))))),"")</f>
        <v/>
      </c>
      <c r="Y43" s="75" t="str">
        <f>IFERROR(IF(Y$8="","NA",IF(Y$8&lt;INDEX(T_EMP[START DATE],ROW($B43)-ROW($B$8)),"NE",IF(AND(INDEX(T_EMP[TERMINATION DATE],ROW($B43)-ROW($B$8))&gt;0,Y$8&gt;INDEX(T_EMP[TERMINATION DATE],ROW($B43)-ROW($B$8))),"NE",IF(NOT(ISERROR(MATCH(Y$8,L_HOLS,0))),"H",IF(INDEX(L_WKNDVAL,WEEKDAY(Y$8,1))=1,"WKND",INDEX(T_LEAVE[LEAVE CODE],SUMPRODUCT(--(T_LEAVE[NAME]=$B43),--(T_LEAVE[DATE]&lt;=Y$8),--(T_LEAVE[DATE]&gt;=Y$8),ROW(T_LEAVE[LEAVE CODE]))-ROW(T_LEAVE[#Headers]))))))),"")</f>
        <v/>
      </c>
      <c r="Z43" s="75" t="str">
        <f>IFERROR(IF(Z$8="","NA",IF(Z$8&lt;INDEX(T_EMP[START DATE],ROW($B43)-ROW($B$8)),"NE",IF(AND(INDEX(T_EMP[TERMINATION DATE],ROW($B43)-ROW($B$8))&gt;0,Z$8&gt;INDEX(T_EMP[TERMINATION DATE],ROW($B43)-ROW($B$8))),"NE",IF(NOT(ISERROR(MATCH(Z$8,L_HOLS,0))),"H",IF(INDEX(L_WKNDVAL,WEEKDAY(Z$8,1))=1,"WKND",INDEX(T_LEAVE[LEAVE CODE],SUMPRODUCT(--(T_LEAVE[NAME]=$B43),--(T_LEAVE[DATE]&lt;=Z$8),--(T_LEAVE[DATE]&gt;=Z$8),ROW(T_LEAVE[LEAVE CODE]))-ROW(T_LEAVE[#Headers]))))))),"")</f>
        <v/>
      </c>
      <c r="AA43" s="75" t="str">
        <f>IFERROR(IF(AA$8="","NA",IF(AA$8&lt;INDEX(T_EMP[START DATE],ROW($B43)-ROW($B$8)),"NE",IF(AND(INDEX(T_EMP[TERMINATION DATE],ROW($B43)-ROW($B$8))&gt;0,AA$8&gt;INDEX(T_EMP[TERMINATION DATE],ROW($B43)-ROW($B$8))),"NE",IF(NOT(ISERROR(MATCH(AA$8,L_HOLS,0))),"H",IF(INDEX(L_WKNDVAL,WEEKDAY(AA$8,1))=1,"WKND",INDEX(T_LEAVE[LEAVE CODE],SUMPRODUCT(--(T_LEAVE[NAME]=$B43),--(T_LEAVE[DATE]&lt;=AA$8),--(T_LEAVE[DATE]&gt;=AA$8),ROW(T_LEAVE[LEAVE CODE]))-ROW(T_LEAVE[#Headers]))))))),"")</f>
        <v/>
      </c>
      <c r="AB43" s="75" t="str">
        <f>IFERROR(IF(AB$8="","NA",IF(AB$8&lt;INDEX(T_EMP[START DATE],ROW($B43)-ROW($B$8)),"NE",IF(AND(INDEX(T_EMP[TERMINATION DATE],ROW($B43)-ROW($B$8))&gt;0,AB$8&gt;INDEX(T_EMP[TERMINATION DATE],ROW($B43)-ROW($B$8))),"NE",IF(NOT(ISERROR(MATCH(AB$8,L_HOLS,0))),"H",IF(INDEX(L_WKNDVAL,WEEKDAY(AB$8,1))=1,"WKND",INDEX(T_LEAVE[LEAVE CODE],SUMPRODUCT(--(T_LEAVE[NAME]=$B43),--(T_LEAVE[DATE]&lt;=AB$8),--(T_LEAVE[DATE]&gt;=AB$8),ROW(T_LEAVE[LEAVE CODE]))-ROW(T_LEAVE[#Headers]))))))),"")</f>
        <v/>
      </c>
      <c r="AC43" s="75" t="str">
        <f>IFERROR(IF(AC$8="","NA",IF(AC$8&lt;INDEX(T_EMP[START DATE],ROW($B43)-ROW($B$8)),"NE",IF(AND(INDEX(T_EMP[TERMINATION DATE],ROW($B43)-ROW($B$8))&gt;0,AC$8&gt;INDEX(T_EMP[TERMINATION DATE],ROW($B43)-ROW($B$8))),"NE",IF(NOT(ISERROR(MATCH(AC$8,L_HOLS,0))),"H",IF(INDEX(L_WKNDVAL,WEEKDAY(AC$8,1))=1,"WKND",INDEX(T_LEAVE[LEAVE CODE],SUMPRODUCT(--(T_LEAVE[NAME]=$B43),--(T_LEAVE[DATE]&lt;=AC$8),--(T_LEAVE[DATE]&gt;=AC$8),ROW(T_LEAVE[LEAVE CODE]))-ROW(T_LEAVE[#Headers]))))))),"")</f>
        <v/>
      </c>
      <c r="AD43" s="75" t="str">
        <f>IFERROR(IF(AD$8="","NA",IF(AD$8&lt;INDEX(T_EMP[START DATE],ROW($B43)-ROW($B$8)),"NE",IF(AND(INDEX(T_EMP[TERMINATION DATE],ROW($B43)-ROW($B$8))&gt;0,AD$8&gt;INDEX(T_EMP[TERMINATION DATE],ROW($B43)-ROW($B$8))),"NE",IF(NOT(ISERROR(MATCH(AD$8,L_HOLS,0))),"H",IF(INDEX(L_WKNDVAL,WEEKDAY(AD$8,1))=1,"WKND",INDEX(T_LEAVE[LEAVE CODE],SUMPRODUCT(--(T_LEAVE[NAME]=$B43),--(T_LEAVE[DATE]&lt;=AD$8),--(T_LEAVE[DATE]&gt;=AD$8),ROW(T_LEAVE[LEAVE CODE]))-ROW(T_LEAVE[#Headers]))))))),"")</f>
        <v/>
      </c>
      <c r="AE43" s="75" t="str">
        <f>IFERROR(IF(AE$8="","NA",IF(AE$8&lt;INDEX(T_EMP[START DATE],ROW($B43)-ROW($B$8)),"NE",IF(AND(INDEX(T_EMP[TERMINATION DATE],ROW($B43)-ROW($B$8))&gt;0,AE$8&gt;INDEX(T_EMP[TERMINATION DATE],ROW($B43)-ROW($B$8))),"NE",IF(NOT(ISERROR(MATCH(AE$8,L_HOLS,0))),"H",IF(INDEX(L_WKNDVAL,WEEKDAY(AE$8,1))=1,"WKND",INDEX(T_LEAVE[LEAVE CODE],SUMPRODUCT(--(T_LEAVE[NAME]=$B43),--(T_LEAVE[DATE]&lt;=AE$8),--(T_LEAVE[DATE]&gt;=AE$8),ROW(T_LEAVE[LEAVE CODE]))-ROW(T_LEAVE[#Headers]))))))),"")</f>
        <v/>
      </c>
      <c r="AF43" s="75" t="str">
        <f>IFERROR(IF(AF$8="","NA",IF(AF$8&lt;INDEX(T_EMP[START DATE],ROW($B43)-ROW($B$8)),"NE",IF(AND(INDEX(T_EMP[TERMINATION DATE],ROW($B43)-ROW($B$8))&gt;0,AF$8&gt;INDEX(T_EMP[TERMINATION DATE],ROW($B43)-ROW($B$8))),"NE",IF(NOT(ISERROR(MATCH(AF$8,L_HOLS,0))),"H",IF(INDEX(L_WKNDVAL,WEEKDAY(AF$8,1))=1,"WKND",INDEX(T_LEAVE[LEAVE CODE],SUMPRODUCT(--(T_LEAVE[NAME]=$B43),--(T_LEAVE[DATE]&lt;=AF$8),--(T_LEAVE[DATE]&gt;=AF$8),ROW(T_LEAVE[LEAVE CODE]))-ROW(T_LEAVE[#Headers]))))))),"")</f>
        <v/>
      </c>
      <c r="AG43" s="75" t="str">
        <f>IFERROR(IF(AG$8="","NA",IF(AG$8&lt;INDEX(T_EMP[START DATE],ROW($B43)-ROW($B$8)),"NE",IF(AND(INDEX(T_EMP[TERMINATION DATE],ROW($B43)-ROW($B$8))&gt;0,AG$8&gt;INDEX(T_EMP[TERMINATION DATE],ROW($B43)-ROW($B$8))),"NE",IF(NOT(ISERROR(MATCH(AG$8,L_HOLS,0))),"H",IF(INDEX(L_WKNDVAL,WEEKDAY(AG$8,1))=1,"WKND",INDEX(T_LEAVE[LEAVE CODE],SUMPRODUCT(--(T_LEAVE[NAME]=$B43),--(T_LEAVE[DATE]&lt;=AG$8),--(T_LEAVE[DATE]&gt;=AG$8),ROW(T_LEAVE[LEAVE CODE]))-ROW(T_LEAVE[#Headers]))))))),"")</f>
        <v/>
      </c>
      <c r="AH43" s="75" t="str">
        <f>IFERROR(IF(AH$8="","NA",IF(AH$8&lt;INDEX(T_EMP[START DATE],ROW($B43)-ROW($B$8)),"NE",IF(AND(INDEX(T_EMP[TERMINATION DATE],ROW($B43)-ROW($B$8))&gt;0,AH$8&gt;INDEX(T_EMP[TERMINATION DATE],ROW($B43)-ROW($B$8))),"NE",IF(NOT(ISERROR(MATCH(AH$8,L_HOLS,0))),"H",IF(INDEX(L_WKNDVAL,WEEKDAY(AH$8,1))=1,"WKND",INDEX(T_LEAVE[LEAVE CODE],SUMPRODUCT(--(T_LEAVE[NAME]=$B43),--(T_LEAVE[DATE]&lt;=AH$8),--(T_LEAVE[DATE]&gt;=AH$8),ROW(T_LEAVE[LEAVE CODE]))-ROW(T_LEAVE[#Headers]))))))),"")</f>
        <v/>
      </c>
      <c r="AJ43" s="88">
        <f>IF(OR($B43="",AJ$8=""),"",COUNTIFS($D43:$AH43,AJ$8)*INDEX(T_LEAVETYPE[DAY VALUE],1))</f>
        <v>0</v>
      </c>
      <c r="AK43" s="88">
        <f>IF(OR($B43="",AK$8=""),"",COUNTIFS($D43:$AH43,AK$8)*INDEX(T_LEAVETYPE[DAY VALUE],1))</f>
        <v>0</v>
      </c>
      <c r="AL43" s="88">
        <f>IF(OR($B43="",AL$8=""),"",COUNTIFS($D43:$AH43,AL$8)*INDEX(T_LEAVETYPE[DAY VALUE],1))</f>
        <v>0</v>
      </c>
      <c r="AM43" s="88">
        <f>IF(OR($B43="",AM$8=""),"",COUNTIFS($D43:$AH43,AM$8)*INDEX(T_LEAVETYPE[DAY VALUE],1))</f>
        <v>0</v>
      </c>
      <c r="AN43" s="88">
        <f>IF(OR($B43="",AN$8=""),"",COUNTIFS($D43:$AH43,AN$8)*INDEX(T_LEAVETYPE[DAY VALUE],1))</f>
        <v>0</v>
      </c>
      <c r="AO43" s="88">
        <f>IF(OR($B43="",AO$8=""),"",COUNTIFS($D43:$AH43,AO$8)*INDEX(T_LEAVETYPE[DAY VALUE],6))</f>
        <v>0</v>
      </c>
      <c r="AP43" s="88">
        <f>IF(OR($B43="",AP$8=""),"",COUNTIFS($D43:$AH43,AP$8)*INDEX(T_LEAVETYPE[DAY VALUE],7))</f>
        <v>0</v>
      </c>
      <c r="AQ43" s="88">
        <f>IF(OR($B43="",AQ$8=""),"",COUNTIFS($D43:$AH43,AQ$8)*INDEX(T_LEAVETYPE[DAY VALUE],8))</f>
        <v>0</v>
      </c>
      <c r="AR43" s="89">
        <f t="shared" si="3"/>
        <v>0</v>
      </c>
    </row>
    <row r="44" spans="1:44" x14ac:dyDescent="0.25">
      <c r="A44" s="90">
        <f t="shared" si="4"/>
        <v>36</v>
      </c>
      <c r="B44" s="74" t="str">
        <f>IFERROR(INDEX(T_EMP[NAME],ROW(B44)-ROW($B$8)),"")</f>
        <v>FACTO, SHANICE</v>
      </c>
      <c r="C44" s="91" t="str">
        <f>IFERROR(INDEX(T_EMP[DEPARTMENT],ROW(B44)-ROW($C$8)),"")</f>
        <v>IB SUPPORT</v>
      </c>
      <c r="D44" s="75" t="str">
        <f>IFERROR(IF(D$8="","NA",IF(D$8&lt;INDEX(T_EMP[START DATE],ROW($B44)-ROW($B$8)),"NE",IF(AND(INDEX(T_EMP[TERMINATION DATE],ROW($B44)-ROW($B$8))&gt;0,D$8&gt;INDEX(T_EMP[TERMINATION DATE],ROW($B44)-ROW($B$8))),"NE",IF(NOT(ISERROR(MATCH(D$8,L_HOLS,0))),"H",IF(INDEX(L_WKNDVAL,WEEKDAY(D$8,1))=1,"WKND",INDEX(T_LEAVE[LEAVE CODE],SUMPRODUCT(--(T_LEAVE[NAME]=$B44),--(T_LEAVE[DATE]&lt;=D$8),--(T_LEAVE[DATE]&gt;=D$8),ROW(T_LEAVE[LEAVE CODE]))-ROW(T_LEAVE[#Headers]))))))),"")</f>
        <v>H</v>
      </c>
      <c r="E44" s="75" t="str">
        <f>IFERROR(IF(E$8="","NA",IF(E$8&lt;INDEX(T_EMP[START DATE],ROW($B44)-ROW($B$8)),"NE",IF(AND(INDEX(T_EMP[TERMINATION DATE],ROW($B44)-ROW($B$8))&gt;0,E$8&gt;INDEX(T_EMP[TERMINATION DATE],ROW($B44)-ROW($B$8))),"NE",IF(NOT(ISERROR(MATCH(E$8,L_HOLS,0))),"H",IF(INDEX(L_WKNDVAL,WEEKDAY(E$8,1))=1,"WKND",INDEX(T_LEAVE[LEAVE CODE],SUMPRODUCT(--(T_LEAVE[NAME]=$B44),--(T_LEAVE[DATE]&lt;=E$8),--(T_LEAVE[DATE]&gt;=E$8),ROW(T_LEAVE[LEAVE CODE]))-ROW(T_LEAVE[#Headers]))))))),"")</f>
        <v/>
      </c>
      <c r="F44" s="75" t="str">
        <f>IFERROR(IF(F$8="","NA",IF(F$8&lt;INDEX(T_EMP[START DATE],ROW($B44)-ROW($B$8)),"NE",IF(AND(INDEX(T_EMP[TERMINATION DATE],ROW($B44)-ROW($B$8))&gt;0,F$8&gt;INDEX(T_EMP[TERMINATION DATE],ROW($B44)-ROW($B$8))),"NE",IF(NOT(ISERROR(MATCH(F$8,L_HOLS,0))),"H",IF(INDEX(L_WKNDVAL,WEEKDAY(F$8,1))=1,"WKND",INDEX(T_LEAVE[LEAVE CODE],SUMPRODUCT(--(T_LEAVE[NAME]=$B44),--(T_LEAVE[DATE]&lt;=F$8),--(T_LEAVE[DATE]&gt;=F$8),ROW(T_LEAVE[LEAVE CODE]))-ROW(T_LEAVE[#Headers]))))))),"")</f>
        <v/>
      </c>
      <c r="G44" s="75" t="str">
        <f>IFERROR(IF(G$8="","NA",IF(G$8&lt;INDEX(T_EMP[START DATE],ROW($B44)-ROW($B$8)),"NE",IF(AND(INDEX(T_EMP[TERMINATION DATE],ROW($B44)-ROW($B$8))&gt;0,G$8&gt;INDEX(T_EMP[TERMINATION DATE],ROW($B44)-ROW($B$8))),"NE",IF(NOT(ISERROR(MATCH(G$8,L_HOLS,0))),"H",IF(INDEX(L_WKNDVAL,WEEKDAY(G$8,1))=1,"WKND",INDEX(T_LEAVE[LEAVE CODE],SUMPRODUCT(--(T_LEAVE[NAME]=$B44),--(T_LEAVE[DATE]&lt;=G$8),--(T_LEAVE[DATE]&gt;=G$8),ROW(T_LEAVE[LEAVE CODE]))-ROW(T_LEAVE[#Headers]))))))),"")</f>
        <v/>
      </c>
      <c r="H44" s="75" t="str">
        <f>IFERROR(IF(H$8="","NA",IF(H$8&lt;INDEX(T_EMP[START DATE],ROW($B44)-ROW($B$8)),"NE",IF(AND(INDEX(T_EMP[TERMINATION DATE],ROW($B44)-ROW($B$8))&gt;0,H$8&gt;INDEX(T_EMP[TERMINATION DATE],ROW($B44)-ROW($B$8))),"NE",IF(NOT(ISERROR(MATCH(H$8,L_HOLS,0))),"H",IF(INDEX(L_WKNDVAL,WEEKDAY(H$8,1))=1,"WKND",INDEX(T_LEAVE[LEAVE CODE],SUMPRODUCT(--(T_LEAVE[NAME]=$B44),--(T_LEAVE[DATE]&lt;=H$8),--(T_LEAVE[DATE]&gt;=H$8),ROW(T_LEAVE[LEAVE CODE]))-ROW(T_LEAVE[#Headers]))))))),"")</f>
        <v/>
      </c>
      <c r="I44" s="75" t="str">
        <f>IFERROR(IF(I$8="","NA",IF(I$8&lt;INDEX(T_EMP[START DATE],ROW($B44)-ROW($B$8)),"NE",IF(AND(INDEX(T_EMP[TERMINATION DATE],ROW($B44)-ROW($B$8))&gt;0,I$8&gt;INDEX(T_EMP[TERMINATION DATE],ROW($B44)-ROW($B$8))),"NE",IF(NOT(ISERROR(MATCH(I$8,L_HOLS,0))),"H",IF(INDEX(L_WKNDVAL,WEEKDAY(I$8,1))=1,"WKND",INDEX(T_LEAVE[LEAVE CODE],SUMPRODUCT(--(T_LEAVE[NAME]=$B44),--(T_LEAVE[DATE]&lt;=I$8),--(T_LEAVE[DATE]&gt;=I$8),ROW(T_LEAVE[LEAVE CODE]))-ROW(T_LEAVE[#Headers]))))))),"")</f>
        <v/>
      </c>
      <c r="J44" s="75" t="str">
        <f>IFERROR(IF(J$8="","NA",IF(J$8&lt;INDEX(T_EMP[START DATE],ROW($B44)-ROW($B$8)),"NE",IF(AND(INDEX(T_EMP[TERMINATION DATE],ROW($B44)-ROW($B$8))&gt;0,J$8&gt;INDEX(T_EMP[TERMINATION DATE],ROW($B44)-ROW($B$8))),"NE",IF(NOT(ISERROR(MATCH(J$8,L_HOLS,0))),"H",IF(INDEX(L_WKNDVAL,WEEKDAY(J$8,1))=1,"WKND",INDEX(T_LEAVE[LEAVE CODE],SUMPRODUCT(--(T_LEAVE[NAME]=$B44),--(T_LEAVE[DATE]&lt;=J$8),--(T_LEAVE[DATE]&gt;=J$8),ROW(T_LEAVE[LEAVE CODE]))-ROW(T_LEAVE[#Headers]))))))),"")</f>
        <v/>
      </c>
      <c r="K44" s="75" t="str">
        <f>IFERROR(IF(K$8="","NA",IF(K$8&lt;INDEX(T_EMP[START DATE],ROW($B44)-ROW($B$8)),"NE",IF(AND(INDEX(T_EMP[TERMINATION DATE],ROW($B44)-ROW($B$8))&gt;0,K$8&gt;INDEX(T_EMP[TERMINATION DATE],ROW($B44)-ROW($B$8))),"NE",IF(NOT(ISERROR(MATCH(K$8,L_HOLS,0))),"H",IF(INDEX(L_WKNDVAL,WEEKDAY(K$8,1))=1,"WKND",INDEX(T_LEAVE[LEAVE CODE],SUMPRODUCT(--(T_LEAVE[NAME]=$B44),--(T_LEAVE[DATE]&lt;=K$8),--(T_LEAVE[DATE]&gt;=K$8),ROW(T_LEAVE[LEAVE CODE]))-ROW(T_LEAVE[#Headers]))))))),"")</f>
        <v/>
      </c>
      <c r="L44" s="75" t="str">
        <f>IFERROR(IF(L$8="","NA",IF(L$8&lt;INDEX(T_EMP[START DATE],ROW($B44)-ROW($B$8)),"NE",IF(AND(INDEX(T_EMP[TERMINATION DATE],ROW($B44)-ROW($B$8))&gt;0,L$8&gt;INDEX(T_EMP[TERMINATION DATE],ROW($B44)-ROW($B$8))),"NE",IF(NOT(ISERROR(MATCH(L$8,L_HOLS,0))),"H",IF(INDEX(L_WKNDVAL,WEEKDAY(L$8,1))=1,"WKND",INDEX(T_LEAVE[LEAVE CODE],SUMPRODUCT(--(T_LEAVE[NAME]=$B44),--(T_LEAVE[DATE]&lt;=L$8),--(T_LEAVE[DATE]&gt;=L$8),ROW(T_LEAVE[LEAVE CODE]))-ROW(T_LEAVE[#Headers]))))))),"")</f>
        <v/>
      </c>
      <c r="M44" s="75" t="str">
        <f>IFERROR(IF(M$8="","NA",IF(M$8&lt;INDEX(T_EMP[START DATE],ROW($B44)-ROW($B$8)),"NE",IF(AND(INDEX(T_EMP[TERMINATION DATE],ROW($B44)-ROW($B$8))&gt;0,M$8&gt;INDEX(T_EMP[TERMINATION DATE],ROW($B44)-ROW($B$8))),"NE",IF(NOT(ISERROR(MATCH(M$8,L_HOLS,0))),"H",IF(INDEX(L_WKNDVAL,WEEKDAY(M$8,1))=1,"WKND",INDEX(T_LEAVE[LEAVE CODE],SUMPRODUCT(--(T_LEAVE[NAME]=$B44),--(T_LEAVE[DATE]&lt;=M$8),--(T_LEAVE[DATE]&gt;=M$8),ROW(T_LEAVE[LEAVE CODE]))-ROW(T_LEAVE[#Headers]))))))),"")</f>
        <v/>
      </c>
      <c r="N44" s="75" t="str">
        <f>IFERROR(IF(N$8="","NA",IF(N$8&lt;INDEX(T_EMP[START DATE],ROW($B44)-ROW($B$8)),"NE",IF(AND(INDEX(T_EMP[TERMINATION DATE],ROW($B44)-ROW($B$8))&gt;0,N$8&gt;INDEX(T_EMP[TERMINATION DATE],ROW($B44)-ROW($B$8))),"NE",IF(NOT(ISERROR(MATCH(N$8,L_HOLS,0))),"H",IF(INDEX(L_WKNDVAL,WEEKDAY(N$8,1))=1,"WKND",INDEX(T_LEAVE[LEAVE CODE],SUMPRODUCT(--(T_LEAVE[NAME]=$B44),--(T_LEAVE[DATE]&lt;=N$8),--(T_LEAVE[DATE]&gt;=N$8),ROW(T_LEAVE[LEAVE CODE]))-ROW(T_LEAVE[#Headers]))))))),"")</f>
        <v/>
      </c>
      <c r="O44" s="75" t="str">
        <f>IFERROR(IF(O$8="","NA",IF(O$8&lt;INDEX(T_EMP[START DATE],ROW($B44)-ROW($B$8)),"NE",IF(AND(INDEX(T_EMP[TERMINATION DATE],ROW($B44)-ROW($B$8))&gt;0,O$8&gt;INDEX(T_EMP[TERMINATION DATE],ROW($B44)-ROW($B$8))),"NE",IF(NOT(ISERROR(MATCH(O$8,L_HOLS,0))),"H",IF(INDEX(L_WKNDVAL,WEEKDAY(O$8,1))=1,"WKND",INDEX(T_LEAVE[LEAVE CODE],SUMPRODUCT(--(T_LEAVE[NAME]=$B44),--(T_LEAVE[DATE]&lt;=O$8),--(T_LEAVE[DATE]&gt;=O$8),ROW(T_LEAVE[LEAVE CODE]))-ROW(T_LEAVE[#Headers]))))))),"")</f>
        <v/>
      </c>
      <c r="P44" s="75" t="str">
        <f>IFERROR(IF(P$8="","NA",IF(P$8&lt;INDEX(T_EMP[START DATE],ROW($B44)-ROW($B$8)),"NE",IF(AND(INDEX(T_EMP[TERMINATION DATE],ROW($B44)-ROW($B$8))&gt;0,P$8&gt;INDEX(T_EMP[TERMINATION DATE],ROW($B44)-ROW($B$8))),"NE",IF(NOT(ISERROR(MATCH(P$8,L_HOLS,0))),"H",IF(INDEX(L_WKNDVAL,WEEKDAY(P$8,1))=1,"WKND",INDEX(T_LEAVE[LEAVE CODE],SUMPRODUCT(--(T_LEAVE[NAME]=$B44),--(T_LEAVE[DATE]&lt;=P$8),--(T_LEAVE[DATE]&gt;=P$8),ROW(T_LEAVE[LEAVE CODE]))-ROW(T_LEAVE[#Headers]))))))),"")</f>
        <v>H</v>
      </c>
      <c r="Q44" s="75" t="str">
        <f>IFERROR(IF(Q$8="","NA",IF(Q$8&lt;INDEX(T_EMP[START DATE],ROW($B44)-ROW($B$8)),"NE",IF(AND(INDEX(T_EMP[TERMINATION DATE],ROW($B44)-ROW($B$8))&gt;0,Q$8&gt;INDEX(T_EMP[TERMINATION DATE],ROW($B44)-ROW($B$8))),"NE",IF(NOT(ISERROR(MATCH(Q$8,L_HOLS,0))),"H",IF(INDEX(L_WKNDVAL,WEEKDAY(Q$8,1))=1,"WKND",INDEX(T_LEAVE[LEAVE CODE],SUMPRODUCT(--(T_LEAVE[NAME]=$B44),--(T_LEAVE[DATE]&lt;=Q$8),--(T_LEAVE[DATE]&gt;=Q$8),ROW(T_LEAVE[LEAVE CODE]))-ROW(T_LEAVE[#Headers]))))))),"")</f>
        <v/>
      </c>
      <c r="R44" s="75" t="str">
        <f>IFERROR(IF(R$8="","NA",IF(R$8&lt;INDEX(T_EMP[START DATE],ROW($B44)-ROW($B$8)),"NE",IF(AND(INDEX(T_EMP[TERMINATION DATE],ROW($B44)-ROW($B$8))&gt;0,R$8&gt;INDEX(T_EMP[TERMINATION DATE],ROW($B44)-ROW($B$8))),"NE",IF(NOT(ISERROR(MATCH(R$8,L_HOLS,0))),"H",IF(INDEX(L_WKNDVAL,WEEKDAY(R$8,1))=1,"WKND",INDEX(T_LEAVE[LEAVE CODE],SUMPRODUCT(--(T_LEAVE[NAME]=$B44),--(T_LEAVE[DATE]&lt;=R$8),--(T_LEAVE[DATE]&gt;=R$8),ROW(T_LEAVE[LEAVE CODE]))-ROW(T_LEAVE[#Headers]))))))),"")</f>
        <v/>
      </c>
      <c r="S44" s="75" t="str">
        <f>IFERROR(IF(S$8="","NA",IF(S$8&lt;INDEX(T_EMP[START DATE],ROW($B44)-ROW($B$8)),"NE",IF(AND(INDEX(T_EMP[TERMINATION DATE],ROW($B44)-ROW($B$8))&gt;0,S$8&gt;INDEX(T_EMP[TERMINATION DATE],ROW($B44)-ROW($B$8))),"NE",IF(NOT(ISERROR(MATCH(S$8,L_HOLS,0))),"H",IF(INDEX(L_WKNDVAL,WEEKDAY(S$8,1))=1,"WKND",INDEX(T_LEAVE[LEAVE CODE],SUMPRODUCT(--(T_LEAVE[NAME]=$B44),--(T_LEAVE[DATE]&lt;=S$8),--(T_LEAVE[DATE]&gt;=S$8),ROW(T_LEAVE[LEAVE CODE]))-ROW(T_LEAVE[#Headers]))))))),"")</f>
        <v/>
      </c>
      <c r="T44" s="75" t="str">
        <f>IFERROR(IF(T$8="","NA",IF(T$8&lt;INDEX(T_EMP[START DATE],ROW($B44)-ROW($B$8)),"NE",IF(AND(INDEX(T_EMP[TERMINATION DATE],ROW($B44)-ROW($B$8))&gt;0,T$8&gt;INDEX(T_EMP[TERMINATION DATE],ROW($B44)-ROW($B$8))),"NE",IF(NOT(ISERROR(MATCH(T$8,L_HOLS,0))),"H",IF(INDEX(L_WKNDVAL,WEEKDAY(T$8,1))=1,"WKND",INDEX(T_LEAVE[LEAVE CODE],SUMPRODUCT(--(T_LEAVE[NAME]=$B44),--(T_LEAVE[DATE]&lt;=T$8),--(T_LEAVE[DATE]&gt;=T$8),ROW(T_LEAVE[LEAVE CODE]))-ROW(T_LEAVE[#Headers]))))))),"")</f>
        <v/>
      </c>
      <c r="U44" s="75" t="str">
        <f>IFERROR(IF(U$8="","NA",IF(U$8&lt;INDEX(T_EMP[START DATE],ROW($B44)-ROW($B$8)),"NE",IF(AND(INDEX(T_EMP[TERMINATION DATE],ROW($B44)-ROW($B$8))&gt;0,U$8&gt;INDEX(T_EMP[TERMINATION DATE],ROW($B44)-ROW($B$8))),"NE",IF(NOT(ISERROR(MATCH(U$8,L_HOLS,0))),"H",IF(INDEX(L_WKNDVAL,WEEKDAY(U$8,1))=1,"WKND",INDEX(T_LEAVE[LEAVE CODE],SUMPRODUCT(--(T_LEAVE[NAME]=$B44),--(T_LEAVE[DATE]&lt;=U$8),--(T_LEAVE[DATE]&gt;=U$8),ROW(T_LEAVE[LEAVE CODE]))-ROW(T_LEAVE[#Headers]))))))),"")</f>
        <v/>
      </c>
      <c r="V44" s="75" t="str">
        <f>IFERROR(IF(V$8="","NA",IF(V$8&lt;INDEX(T_EMP[START DATE],ROW($B44)-ROW($B$8)),"NE",IF(AND(INDEX(T_EMP[TERMINATION DATE],ROW($B44)-ROW($B$8))&gt;0,V$8&gt;INDEX(T_EMP[TERMINATION DATE],ROW($B44)-ROW($B$8))),"NE",IF(NOT(ISERROR(MATCH(V$8,L_HOLS,0))),"H",IF(INDEX(L_WKNDVAL,WEEKDAY(V$8,1))=1,"WKND",INDEX(T_LEAVE[LEAVE CODE],SUMPRODUCT(--(T_LEAVE[NAME]=$B44),--(T_LEAVE[DATE]&lt;=V$8),--(T_LEAVE[DATE]&gt;=V$8),ROW(T_LEAVE[LEAVE CODE]))-ROW(T_LEAVE[#Headers]))))))),"")</f>
        <v/>
      </c>
      <c r="W44" s="75" t="str">
        <f>IFERROR(IF(W$8="","NA",IF(W$8&lt;INDEX(T_EMP[START DATE],ROW($B44)-ROW($B$8)),"NE",IF(AND(INDEX(T_EMP[TERMINATION DATE],ROW($B44)-ROW($B$8))&gt;0,W$8&gt;INDEX(T_EMP[TERMINATION DATE],ROW($B44)-ROW($B$8))),"NE",IF(NOT(ISERROR(MATCH(W$8,L_HOLS,0))),"H",IF(INDEX(L_WKNDVAL,WEEKDAY(W$8,1))=1,"WKND",INDEX(T_LEAVE[LEAVE CODE],SUMPRODUCT(--(T_LEAVE[NAME]=$B44),--(T_LEAVE[DATE]&lt;=W$8),--(T_LEAVE[DATE]&gt;=W$8),ROW(T_LEAVE[LEAVE CODE]))-ROW(T_LEAVE[#Headers]))))))),"")</f>
        <v/>
      </c>
      <c r="X44" s="75" t="str">
        <f>IFERROR(IF(X$8="","NA",IF(X$8&lt;INDEX(T_EMP[START DATE],ROW($B44)-ROW($B$8)),"NE",IF(AND(INDEX(T_EMP[TERMINATION DATE],ROW($B44)-ROW($B$8))&gt;0,X$8&gt;INDEX(T_EMP[TERMINATION DATE],ROW($B44)-ROW($B$8))),"NE",IF(NOT(ISERROR(MATCH(X$8,L_HOLS,0))),"H",IF(INDEX(L_WKNDVAL,WEEKDAY(X$8,1))=1,"WKND",INDEX(T_LEAVE[LEAVE CODE],SUMPRODUCT(--(T_LEAVE[NAME]=$B44),--(T_LEAVE[DATE]&lt;=X$8),--(T_LEAVE[DATE]&gt;=X$8),ROW(T_LEAVE[LEAVE CODE]))-ROW(T_LEAVE[#Headers]))))))),"")</f>
        <v/>
      </c>
      <c r="Y44" s="75" t="str">
        <f>IFERROR(IF(Y$8="","NA",IF(Y$8&lt;INDEX(T_EMP[START DATE],ROW($B44)-ROW($B$8)),"NE",IF(AND(INDEX(T_EMP[TERMINATION DATE],ROW($B44)-ROW($B$8))&gt;0,Y$8&gt;INDEX(T_EMP[TERMINATION DATE],ROW($B44)-ROW($B$8))),"NE",IF(NOT(ISERROR(MATCH(Y$8,L_HOLS,0))),"H",IF(INDEX(L_WKNDVAL,WEEKDAY(Y$8,1))=1,"WKND",INDEX(T_LEAVE[LEAVE CODE],SUMPRODUCT(--(T_LEAVE[NAME]=$B44),--(T_LEAVE[DATE]&lt;=Y$8),--(T_LEAVE[DATE]&gt;=Y$8),ROW(T_LEAVE[LEAVE CODE]))-ROW(T_LEAVE[#Headers]))))))),"")</f>
        <v/>
      </c>
      <c r="Z44" s="75" t="str">
        <f>IFERROR(IF(Z$8="","NA",IF(Z$8&lt;INDEX(T_EMP[START DATE],ROW($B44)-ROW($B$8)),"NE",IF(AND(INDEX(T_EMP[TERMINATION DATE],ROW($B44)-ROW($B$8))&gt;0,Z$8&gt;INDEX(T_EMP[TERMINATION DATE],ROW($B44)-ROW($B$8))),"NE",IF(NOT(ISERROR(MATCH(Z$8,L_HOLS,0))),"H",IF(INDEX(L_WKNDVAL,WEEKDAY(Z$8,1))=1,"WKND",INDEX(T_LEAVE[LEAVE CODE],SUMPRODUCT(--(T_LEAVE[NAME]=$B44),--(T_LEAVE[DATE]&lt;=Z$8),--(T_LEAVE[DATE]&gt;=Z$8),ROW(T_LEAVE[LEAVE CODE]))-ROW(T_LEAVE[#Headers]))))))),"")</f>
        <v/>
      </c>
      <c r="AA44" s="75" t="str">
        <f>IFERROR(IF(AA$8="","NA",IF(AA$8&lt;INDEX(T_EMP[START DATE],ROW($B44)-ROW($B$8)),"NE",IF(AND(INDEX(T_EMP[TERMINATION DATE],ROW($B44)-ROW($B$8))&gt;0,AA$8&gt;INDEX(T_EMP[TERMINATION DATE],ROW($B44)-ROW($B$8))),"NE",IF(NOT(ISERROR(MATCH(AA$8,L_HOLS,0))),"H",IF(INDEX(L_WKNDVAL,WEEKDAY(AA$8,1))=1,"WKND",INDEX(T_LEAVE[LEAVE CODE],SUMPRODUCT(--(T_LEAVE[NAME]=$B44),--(T_LEAVE[DATE]&lt;=AA$8),--(T_LEAVE[DATE]&gt;=AA$8),ROW(T_LEAVE[LEAVE CODE]))-ROW(T_LEAVE[#Headers]))))))),"")</f>
        <v/>
      </c>
      <c r="AB44" s="75" t="str">
        <f>IFERROR(IF(AB$8="","NA",IF(AB$8&lt;INDEX(T_EMP[START DATE],ROW($B44)-ROW($B$8)),"NE",IF(AND(INDEX(T_EMP[TERMINATION DATE],ROW($B44)-ROW($B$8))&gt;0,AB$8&gt;INDEX(T_EMP[TERMINATION DATE],ROW($B44)-ROW($B$8))),"NE",IF(NOT(ISERROR(MATCH(AB$8,L_HOLS,0))),"H",IF(INDEX(L_WKNDVAL,WEEKDAY(AB$8,1))=1,"WKND",INDEX(T_LEAVE[LEAVE CODE],SUMPRODUCT(--(T_LEAVE[NAME]=$B44),--(T_LEAVE[DATE]&lt;=AB$8),--(T_LEAVE[DATE]&gt;=AB$8),ROW(T_LEAVE[LEAVE CODE]))-ROW(T_LEAVE[#Headers]))))))),"")</f>
        <v/>
      </c>
      <c r="AC44" s="75" t="str">
        <f>IFERROR(IF(AC$8="","NA",IF(AC$8&lt;INDEX(T_EMP[START DATE],ROW($B44)-ROW($B$8)),"NE",IF(AND(INDEX(T_EMP[TERMINATION DATE],ROW($B44)-ROW($B$8))&gt;0,AC$8&gt;INDEX(T_EMP[TERMINATION DATE],ROW($B44)-ROW($B$8))),"NE",IF(NOT(ISERROR(MATCH(AC$8,L_HOLS,0))),"H",IF(INDEX(L_WKNDVAL,WEEKDAY(AC$8,1))=1,"WKND",INDEX(T_LEAVE[LEAVE CODE],SUMPRODUCT(--(T_LEAVE[NAME]=$B44),--(T_LEAVE[DATE]&lt;=AC$8),--(T_LEAVE[DATE]&gt;=AC$8),ROW(T_LEAVE[LEAVE CODE]))-ROW(T_LEAVE[#Headers]))))))),"")</f>
        <v/>
      </c>
      <c r="AD44" s="75" t="str">
        <f>IFERROR(IF(AD$8="","NA",IF(AD$8&lt;INDEX(T_EMP[START DATE],ROW($B44)-ROW($B$8)),"NE",IF(AND(INDEX(T_EMP[TERMINATION DATE],ROW($B44)-ROW($B$8))&gt;0,AD$8&gt;INDEX(T_EMP[TERMINATION DATE],ROW($B44)-ROW($B$8))),"NE",IF(NOT(ISERROR(MATCH(AD$8,L_HOLS,0))),"H",IF(INDEX(L_WKNDVAL,WEEKDAY(AD$8,1))=1,"WKND",INDEX(T_LEAVE[LEAVE CODE],SUMPRODUCT(--(T_LEAVE[NAME]=$B44),--(T_LEAVE[DATE]&lt;=AD$8),--(T_LEAVE[DATE]&gt;=AD$8),ROW(T_LEAVE[LEAVE CODE]))-ROW(T_LEAVE[#Headers]))))))),"")</f>
        <v/>
      </c>
      <c r="AE44" s="75" t="str">
        <f>IFERROR(IF(AE$8="","NA",IF(AE$8&lt;INDEX(T_EMP[START DATE],ROW($B44)-ROW($B$8)),"NE",IF(AND(INDEX(T_EMP[TERMINATION DATE],ROW($B44)-ROW($B$8))&gt;0,AE$8&gt;INDEX(T_EMP[TERMINATION DATE],ROW($B44)-ROW($B$8))),"NE",IF(NOT(ISERROR(MATCH(AE$8,L_HOLS,0))),"H",IF(INDEX(L_WKNDVAL,WEEKDAY(AE$8,1))=1,"WKND",INDEX(T_LEAVE[LEAVE CODE],SUMPRODUCT(--(T_LEAVE[NAME]=$B44),--(T_LEAVE[DATE]&lt;=AE$8),--(T_LEAVE[DATE]&gt;=AE$8),ROW(T_LEAVE[LEAVE CODE]))-ROW(T_LEAVE[#Headers]))))))),"")</f>
        <v/>
      </c>
      <c r="AF44" s="75" t="str">
        <f>IFERROR(IF(AF$8="","NA",IF(AF$8&lt;INDEX(T_EMP[START DATE],ROW($B44)-ROW($B$8)),"NE",IF(AND(INDEX(T_EMP[TERMINATION DATE],ROW($B44)-ROW($B$8))&gt;0,AF$8&gt;INDEX(T_EMP[TERMINATION DATE],ROW($B44)-ROW($B$8))),"NE",IF(NOT(ISERROR(MATCH(AF$8,L_HOLS,0))),"H",IF(INDEX(L_WKNDVAL,WEEKDAY(AF$8,1))=1,"WKND",INDEX(T_LEAVE[LEAVE CODE],SUMPRODUCT(--(T_LEAVE[NAME]=$B44),--(T_LEAVE[DATE]&lt;=AF$8),--(T_LEAVE[DATE]&gt;=AF$8),ROW(T_LEAVE[LEAVE CODE]))-ROW(T_LEAVE[#Headers]))))))),"")</f>
        <v/>
      </c>
      <c r="AG44" s="75" t="str">
        <f>IFERROR(IF(AG$8="","NA",IF(AG$8&lt;INDEX(T_EMP[START DATE],ROW($B44)-ROW($B$8)),"NE",IF(AND(INDEX(T_EMP[TERMINATION DATE],ROW($B44)-ROW($B$8))&gt;0,AG$8&gt;INDEX(T_EMP[TERMINATION DATE],ROW($B44)-ROW($B$8))),"NE",IF(NOT(ISERROR(MATCH(AG$8,L_HOLS,0))),"H",IF(INDEX(L_WKNDVAL,WEEKDAY(AG$8,1))=1,"WKND",INDEX(T_LEAVE[LEAVE CODE],SUMPRODUCT(--(T_LEAVE[NAME]=$B44),--(T_LEAVE[DATE]&lt;=AG$8),--(T_LEAVE[DATE]&gt;=AG$8),ROW(T_LEAVE[LEAVE CODE]))-ROW(T_LEAVE[#Headers]))))))),"")</f>
        <v/>
      </c>
      <c r="AH44" s="75" t="str">
        <f>IFERROR(IF(AH$8="","NA",IF(AH$8&lt;INDEX(T_EMP[START DATE],ROW($B44)-ROW($B$8)),"NE",IF(AND(INDEX(T_EMP[TERMINATION DATE],ROW($B44)-ROW($B$8))&gt;0,AH$8&gt;INDEX(T_EMP[TERMINATION DATE],ROW($B44)-ROW($B$8))),"NE",IF(NOT(ISERROR(MATCH(AH$8,L_HOLS,0))),"H",IF(INDEX(L_WKNDVAL,WEEKDAY(AH$8,1))=1,"WKND",INDEX(T_LEAVE[LEAVE CODE],SUMPRODUCT(--(T_LEAVE[NAME]=$B44),--(T_LEAVE[DATE]&lt;=AH$8),--(T_LEAVE[DATE]&gt;=AH$8),ROW(T_LEAVE[LEAVE CODE]))-ROW(T_LEAVE[#Headers]))))))),"")</f>
        <v/>
      </c>
      <c r="AJ44" s="88">
        <f>IF(OR($B44="",AJ$8=""),"",COUNTIFS($D44:$AH44,AJ$8)*INDEX(T_LEAVETYPE[DAY VALUE],1))</f>
        <v>0</v>
      </c>
      <c r="AK44" s="88">
        <f>IF(OR($B44="",AK$8=""),"",COUNTIFS($D44:$AH44,AK$8)*INDEX(T_LEAVETYPE[DAY VALUE],1))</f>
        <v>0</v>
      </c>
      <c r="AL44" s="88">
        <f>IF(OR($B44="",AL$8=""),"",COUNTIFS($D44:$AH44,AL$8)*INDEX(T_LEAVETYPE[DAY VALUE],1))</f>
        <v>0</v>
      </c>
      <c r="AM44" s="88">
        <f>IF(OR($B44="",AM$8=""),"",COUNTIFS($D44:$AH44,AM$8)*INDEX(T_LEAVETYPE[DAY VALUE],1))</f>
        <v>0</v>
      </c>
      <c r="AN44" s="88">
        <f>IF(OR($B44="",AN$8=""),"",COUNTIFS($D44:$AH44,AN$8)*INDEX(T_LEAVETYPE[DAY VALUE],1))</f>
        <v>0</v>
      </c>
      <c r="AO44" s="88">
        <f>IF(OR($B44="",AO$8=""),"",COUNTIFS($D44:$AH44,AO$8)*INDEX(T_LEAVETYPE[DAY VALUE],6))</f>
        <v>0</v>
      </c>
      <c r="AP44" s="88">
        <f>IF(OR($B44="",AP$8=""),"",COUNTIFS($D44:$AH44,AP$8)*INDEX(T_LEAVETYPE[DAY VALUE],7))</f>
        <v>0</v>
      </c>
      <c r="AQ44" s="88">
        <f>IF(OR($B44="",AQ$8=""),"",COUNTIFS($D44:$AH44,AQ$8)*INDEX(T_LEAVETYPE[DAY VALUE],8))</f>
        <v>0</v>
      </c>
      <c r="AR44" s="89">
        <f t="shared" ref="AR44:AR97" si="5">IF(B44="","",SUM(AJ44:AQ44))</f>
        <v>0</v>
      </c>
    </row>
    <row r="45" spans="1:44" x14ac:dyDescent="0.25">
      <c r="A45" s="90">
        <f t="shared" si="4"/>
        <v>37</v>
      </c>
      <c r="B45" s="74" t="str">
        <f>IFERROR(INDEX(T_EMP[NAME],ROW(B45)-ROW($B$8)),"")</f>
        <v>GARCINES, SHENALD</v>
      </c>
      <c r="C45" s="91" t="str">
        <f>IFERROR(INDEX(T_EMP[DEPARTMENT],ROW(B45)-ROW($C$8)),"")</f>
        <v>IB SUPPORT</v>
      </c>
      <c r="D45" s="75" t="str">
        <f>IFERROR(IF(D$8="","NA",IF(D$8&lt;INDEX(T_EMP[START DATE],ROW($B45)-ROW($B$8)),"NE",IF(AND(INDEX(T_EMP[TERMINATION DATE],ROW($B45)-ROW($B$8))&gt;0,D$8&gt;INDEX(T_EMP[TERMINATION DATE],ROW($B45)-ROW($B$8))),"NE",IF(NOT(ISERROR(MATCH(D$8,L_HOLS,0))),"H",IF(INDEX(L_WKNDVAL,WEEKDAY(D$8,1))=1,"WKND",INDEX(T_LEAVE[LEAVE CODE],SUMPRODUCT(--(T_LEAVE[NAME]=$B45),--(T_LEAVE[DATE]&lt;=D$8),--(T_LEAVE[DATE]&gt;=D$8),ROW(T_LEAVE[LEAVE CODE]))-ROW(T_LEAVE[#Headers]))))))),"")</f>
        <v>H</v>
      </c>
      <c r="E45" s="75" t="str">
        <f>IFERROR(IF(E$8="","NA",IF(E$8&lt;INDEX(T_EMP[START DATE],ROW($B45)-ROW($B$8)),"NE",IF(AND(INDEX(T_EMP[TERMINATION DATE],ROW($B45)-ROW($B$8))&gt;0,E$8&gt;INDEX(T_EMP[TERMINATION DATE],ROW($B45)-ROW($B$8))),"NE",IF(NOT(ISERROR(MATCH(E$8,L_HOLS,0))),"H",IF(INDEX(L_WKNDVAL,WEEKDAY(E$8,1))=1,"WKND",INDEX(T_LEAVE[LEAVE CODE],SUMPRODUCT(--(T_LEAVE[NAME]=$B45),--(T_LEAVE[DATE]&lt;=E$8),--(T_LEAVE[DATE]&gt;=E$8),ROW(T_LEAVE[LEAVE CODE]))-ROW(T_LEAVE[#Headers]))))))),"")</f>
        <v/>
      </c>
      <c r="F45" s="75" t="str">
        <f>IFERROR(IF(F$8="","NA",IF(F$8&lt;INDEX(T_EMP[START DATE],ROW($B45)-ROW($B$8)),"NE",IF(AND(INDEX(T_EMP[TERMINATION DATE],ROW($B45)-ROW($B$8))&gt;0,F$8&gt;INDEX(T_EMP[TERMINATION DATE],ROW($B45)-ROW($B$8))),"NE",IF(NOT(ISERROR(MATCH(F$8,L_HOLS,0))),"H",IF(INDEX(L_WKNDVAL,WEEKDAY(F$8,1))=1,"WKND",INDEX(T_LEAVE[LEAVE CODE],SUMPRODUCT(--(T_LEAVE[NAME]=$B45),--(T_LEAVE[DATE]&lt;=F$8),--(T_LEAVE[DATE]&gt;=F$8),ROW(T_LEAVE[LEAVE CODE]))-ROW(T_LEAVE[#Headers]))))))),"")</f>
        <v/>
      </c>
      <c r="G45" s="75" t="str">
        <f>IFERROR(IF(G$8="","NA",IF(G$8&lt;INDEX(T_EMP[START DATE],ROW($B45)-ROW($B$8)),"NE",IF(AND(INDEX(T_EMP[TERMINATION DATE],ROW($B45)-ROW($B$8))&gt;0,G$8&gt;INDEX(T_EMP[TERMINATION DATE],ROW($B45)-ROW($B$8))),"NE",IF(NOT(ISERROR(MATCH(G$8,L_HOLS,0))),"H",IF(INDEX(L_WKNDVAL,WEEKDAY(G$8,1))=1,"WKND",INDEX(T_LEAVE[LEAVE CODE],SUMPRODUCT(--(T_LEAVE[NAME]=$B45),--(T_LEAVE[DATE]&lt;=G$8),--(T_LEAVE[DATE]&gt;=G$8),ROW(T_LEAVE[LEAVE CODE]))-ROW(T_LEAVE[#Headers]))))))),"")</f>
        <v/>
      </c>
      <c r="H45" s="75" t="str">
        <f>IFERROR(IF(H$8="","NA",IF(H$8&lt;INDEX(T_EMP[START DATE],ROW($B45)-ROW($B$8)),"NE",IF(AND(INDEX(T_EMP[TERMINATION DATE],ROW($B45)-ROW($B$8))&gt;0,H$8&gt;INDEX(T_EMP[TERMINATION DATE],ROW($B45)-ROW($B$8))),"NE",IF(NOT(ISERROR(MATCH(H$8,L_HOLS,0))),"H",IF(INDEX(L_WKNDVAL,WEEKDAY(H$8,1))=1,"WKND",INDEX(T_LEAVE[LEAVE CODE],SUMPRODUCT(--(T_LEAVE[NAME]=$B45),--(T_LEAVE[DATE]&lt;=H$8),--(T_LEAVE[DATE]&gt;=H$8),ROW(T_LEAVE[LEAVE CODE]))-ROW(T_LEAVE[#Headers]))))))),"")</f>
        <v/>
      </c>
      <c r="I45" s="75" t="str">
        <f>IFERROR(IF(I$8="","NA",IF(I$8&lt;INDEX(T_EMP[START DATE],ROW($B45)-ROW($B$8)),"NE",IF(AND(INDEX(T_EMP[TERMINATION DATE],ROW($B45)-ROW($B$8))&gt;0,I$8&gt;INDEX(T_EMP[TERMINATION DATE],ROW($B45)-ROW($B$8))),"NE",IF(NOT(ISERROR(MATCH(I$8,L_HOLS,0))),"H",IF(INDEX(L_WKNDVAL,WEEKDAY(I$8,1))=1,"WKND",INDEX(T_LEAVE[LEAVE CODE],SUMPRODUCT(--(T_LEAVE[NAME]=$B45),--(T_LEAVE[DATE]&lt;=I$8),--(T_LEAVE[DATE]&gt;=I$8),ROW(T_LEAVE[LEAVE CODE]))-ROW(T_LEAVE[#Headers]))))))),"")</f>
        <v/>
      </c>
      <c r="J45" s="75" t="str">
        <f>IFERROR(IF(J$8="","NA",IF(J$8&lt;INDEX(T_EMP[START DATE],ROW($B45)-ROW($B$8)),"NE",IF(AND(INDEX(T_EMP[TERMINATION DATE],ROW($B45)-ROW($B$8))&gt;0,J$8&gt;INDEX(T_EMP[TERMINATION DATE],ROW($B45)-ROW($B$8))),"NE",IF(NOT(ISERROR(MATCH(J$8,L_HOLS,0))),"H",IF(INDEX(L_WKNDVAL,WEEKDAY(J$8,1))=1,"WKND",INDEX(T_LEAVE[LEAVE CODE],SUMPRODUCT(--(T_LEAVE[NAME]=$B45),--(T_LEAVE[DATE]&lt;=J$8),--(T_LEAVE[DATE]&gt;=J$8),ROW(T_LEAVE[LEAVE CODE]))-ROW(T_LEAVE[#Headers]))))))),"")</f>
        <v/>
      </c>
      <c r="K45" s="75" t="str">
        <f>IFERROR(IF(K$8="","NA",IF(K$8&lt;INDEX(T_EMP[START DATE],ROW($B45)-ROW($B$8)),"NE",IF(AND(INDEX(T_EMP[TERMINATION DATE],ROW($B45)-ROW($B$8))&gt;0,K$8&gt;INDEX(T_EMP[TERMINATION DATE],ROW($B45)-ROW($B$8))),"NE",IF(NOT(ISERROR(MATCH(K$8,L_HOLS,0))),"H",IF(INDEX(L_WKNDVAL,WEEKDAY(K$8,1))=1,"WKND",INDEX(T_LEAVE[LEAVE CODE],SUMPRODUCT(--(T_LEAVE[NAME]=$B45),--(T_LEAVE[DATE]&lt;=K$8),--(T_LEAVE[DATE]&gt;=K$8),ROW(T_LEAVE[LEAVE CODE]))-ROW(T_LEAVE[#Headers]))))))),"")</f>
        <v/>
      </c>
      <c r="L45" s="75" t="str">
        <f>IFERROR(IF(L$8="","NA",IF(L$8&lt;INDEX(T_EMP[START DATE],ROW($B45)-ROW($B$8)),"NE",IF(AND(INDEX(T_EMP[TERMINATION DATE],ROW($B45)-ROW($B$8))&gt;0,L$8&gt;INDEX(T_EMP[TERMINATION DATE],ROW($B45)-ROW($B$8))),"NE",IF(NOT(ISERROR(MATCH(L$8,L_HOLS,0))),"H",IF(INDEX(L_WKNDVAL,WEEKDAY(L$8,1))=1,"WKND",INDEX(T_LEAVE[LEAVE CODE],SUMPRODUCT(--(T_LEAVE[NAME]=$B45),--(T_LEAVE[DATE]&lt;=L$8),--(T_LEAVE[DATE]&gt;=L$8),ROW(T_LEAVE[LEAVE CODE]))-ROW(T_LEAVE[#Headers]))))))),"")</f>
        <v/>
      </c>
      <c r="M45" s="75" t="str">
        <f>IFERROR(IF(M$8="","NA",IF(M$8&lt;INDEX(T_EMP[START DATE],ROW($B45)-ROW($B$8)),"NE",IF(AND(INDEX(T_EMP[TERMINATION DATE],ROW($B45)-ROW($B$8))&gt;0,M$8&gt;INDEX(T_EMP[TERMINATION DATE],ROW($B45)-ROW($B$8))),"NE",IF(NOT(ISERROR(MATCH(M$8,L_HOLS,0))),"H",IF(INDEX(L_WKNDVAL,WEEKDAY(M$8,1))=1,"WKND",INDEX(T_LEAVE[LEAVE CODE],SUMPRODUCT(--(T_LEAVE[NAME]=$B45),--(T_LEAVE[DATE]&lt;=M$8),--(T_LEAVE[DATE]&gt;=M$8),ROW(T_LEAVE[LEAVE CODE]))-ROW(T_LEAVE[#Headers]))))))),"")</f>
        <v/>
      </c>
      <c r="N45" s="75" t="str">
        <f>IFERROR(IF(N$8="","NA",IF(N$8&lt;INDEX(T_EMP[START DATE],ROW($B45)-ROW($B$8)),"NE",IF(AND(INDEX(T_EMP[TERMINATION DATE],ROW($B45)-ROW($B$8))&gt;0,N$8&gt;INDEX(T_EMP[TERMINATION DATE],ROW($B45)-ROW($B$8))),"NE",IF(NOT(ISERROR(MATCH(N$8,L_HOLS,0))),"H",IF(INDEX(L_WKNDVAL,WEEKDAY(N$8,1))=1,"WKND",INDEX(T_LEAVE[LEAVE CODE],SUMPRODUCT(--(T_LEAVE[NAME]=$B45),--(T_LEAVE[DATE]&lt;=N$8),--(T_LEAVE[DATE]&gt;=N$8),ROW(T_LEAVE[LEAVE CODE]))-ROW(T_LEAVE[#Headers]))))))),"")</f>
        <v/>
      </c>
      <c r="O45" s="75" t="str">
        <f>IFERROR(IF(O$8="","NA",IF(O$8&lt;INDEX(T_EMP[START DATE],ROW($B45)-ROW($B$8)),"NE",IF(AND(INDEX(T_EMP[TERMINATION DATE],ROW($B45)-ROW($B$8))&gt;0,O$8&gt;INDEX(T_EMP[TERMINATION DATE],ROW($B45)-ROW($B$8))),"NE",IF(NOT(ISERROR(MATCH(O$8,L_HOLS,0))),"H",IF(INDEX(L_WKNDVAL,WEEKDAY(O$8,1))=1,"WKND",INDEX(T_LEAVE[LEAVE CODE],SUMPRODUCT(--(T_LEAVE[NAME]=$B45),--(T_LEAVE[DATE]&lt;=O$8),--(T_LEAVE[DATE]&gt;=O$8),ROW(T_LEAVE[LEAVE CODE]))-ROW(T_LEAVE[#Headers]))))))),"")</f>
        <v/>
      </c>
      <c r="P45" s="75" t="str">
        <f>IFERROR(IF(P$8="","NA",IF(P$8&lt;INDEX(T_EMP[START DATE],ROW($B45)-ROW($B$8)),"NE",IF(AND(INDEX(T_EMP[TERMINATION DATE],ROW($B45)-ROW($B$8))&gt;0,P$8&gt;INDEX(T_EMP[TERMINATION DATE],ROW($B45)-ROW($B$8))),"NE",IF(NOT(ISERROR(MATCH(P$8,L_HOLS,0))),"H",IF(INDEX(L_WKNDVAL,WEEKDAY(P$8,1))=1,"WKND",INDEX(T_LEAVE[LEAVE CODE],SUMPRODUCT(--(T_LEAVE[NAME]=$B45),--(T_LEAVE[DATE]&lt;=P$8),--(T_LEAVE[DATE]&gt;=P$8),ROW(T_LEAVE[LEAVE CODE]))-ROW(T_LEAVE[#Headers]))))))),"")</f>
        <v>H</v>
      </c>
      <c r="Q45" s="75" t="str">
        <f>IFERROR(IF(Q$8="","NA",IF(Q$8&lt;INDEX(T_EMP[START DATE],ROW($B45)-ROW($B$8)),"NE",IF(AND(INDEX(T_EMP[TERMINATION DATE],ROW($B45)-ROW($B$8))&gt;0,Q$8&gt;INDEX(T_EMP[TERMINATION DATE],ROW($B45)-ROW($B$8))),"NE",IF(NOT(ISERROR(MATCH(Q$8,L_HOLS,0))),"H",IF(INDEX(L_WKNDVAL,WEEKDAY(Q$8,1))=1,"WKND",INDEX(T_LEAVE[LEAVE CODE],SUMPRODUCT(--(T_LEAVE[NAME]=$B45),--(T_LEAVE[DATE]&lt;=Q$8),--(T_LEAVE[DATE]&gt;=Q$8),ROW(T_LEAVE[LEAVE CODE]))-ROW(T_LEAVE[#Headers]))))))),"")</f>
        <v/>
      </c>
      <c r="R45" s="75" t="str">
        <f>IFERROR(IF(R$8="","NA",IF(R$8&lt;INDEX(T_EMP[START DATE],ROW($B45)-ROW($B$8)),"NE",IF(AND(INDEX(T_EMP[TERMINATION DATE],ROW($B45)-ROW($B$8))&gt;0,R$8&gt;INDEX(T_EMP[TERMINATION DATE],ROW($B45)-ROW($B$8))),"NE",IF(NOT(ISERROR(MATCH(R$8,L_HOLS,0))),"H",IF(INDEX(L_WKNDVAL,WEEKDAY(R$8,1))=1,"WKND",INDEX(T_LEAVE[LEAVE CODE],SUMPRODUCT(--(T_LEAVE[NAME]=$B45),--(T_LEAVE[DATE]&lt;=R$8),--(T_LEAVE[DATE]&gt;=R$8),ROW(T_LEAVE[LEAVE CODE]))-ROW(T_LEAVE[#Headers]))))))),"")</f>
        <v/>
      </c>
      <c r="S45" s="75" t="str">
        <f>IFERROR(IF(S$8="","NA",IF(S$8&lt;INDEX(T_EMP[START DATE],ROW($B45)-ROW($B$8)),"NE",IF(AND(INDEX(T_EMP[TERMINATION DATE],ROW($B45)-ROW($B$8))&gt;0,S$8&gt;INDEX(T_EMP[TERMINATION DATE],ROW($B45)-ROW($B$8))),"NE",IF(NOT(ISERROR(MATCH(S$8,L_HOLS,0))),"H",IF(INDEX(L_WKNDVAL,WEEKDAY(S$8,1))=1,"WKND",INDEX(T_LEAVE[LEAVE CODE],SUMPRODUCT(--(T_LEAVE[NAME]=$B45),--(T_LEAVE[DATE]&lt;=S$8),--(T_LEAVE[DATE]&gt;=S$8),ROW(T_LEAVE[LEAVE CODE]))-ROW(T_LEAVE[#Headers]))))))),"")</f>
        <v/>
      </c>
      <c r="T45" s="75" t="str">
        <f>IFERROR(IF(T$8="","NA",IF(T$8&lt;INDEX(T_EMP[START DATE],ROW($B45)-ROW($B$8)),"NE",IF(AND(INDEX(T_EMP[TERMINATION DATE],ROW($B45)-ROW($B$8))&gt;0,T$8&gt;INDEX(T_EMP[TERMINATION DATE],ROW($B45)-ROW($B$8))),"NE",IF(NOT(ISERROR(MATCH(T$8,L_HOLS,0))),"H",IF(INDEX(L_WKNDVAL,WEEKDAY(T$8,1))=1,"WKND",INDEX(T_LEAVE[LEAVE CODE],SUMPRODUCT(--(T_LEAVE[NAME]=$B45),--(T_LEAVE[DATE]&lt;=T$8),--(T_LEAVE[DATE]&gt;=T$8),ROW(T_LEAVE[LEAVE CODE]))-ROW(T_LEAVE[#Headers]))))))),"")</f>
        <v/>
      </c>
      <c r="U45" s="75" t="str">
        <f>IFERROR(IF(U$8="","NA",IF(U$8&lt;INDEX(T_EMP[START DATE],ROW($B45)-ROW($B$8)),"NE",IF(AND(INDEX(T_EMP[TERMINATION DATE],ROW($B45)-ROW($B$8))&gt;0,U$8&gt;INDEX(T_EMP[TERMINATION DATE],ROW($B45)-ROW($B$8))),"NE",IF(NOT(ISERROR(MATCH(U$8,L_HOLS,0))),"H",IF(INDEX(L_WKNDVAL,WEEKDAY(U$8,1))=1,"WKND",INDEX(T_LEAVE[LEAVE CODE],SUMPRODUCT(--(T_LEAVE[NAME]=$B45),--(T_LEAVE[DATE]&lt;=U$8),--(T_LEAVE[DATE]&gt;=U$8),ROW(T_LEAVE[LEAVE CODE]))-ROW(T_LEAVE[#Headers]))))))),"")</f>
        <v/>
      </c>
      <c r="V45" s="75" t="str">
        <f>IFERROR(IF(V$8="","NA",IF(V$8&lt;INDEX(T_EMP[START DATE],ROW($B45)-ROW($B$8)),"NE",IF(AND(INDEX(T_EMP[TERMINATION DATE],ROW($B45)-ROW($B$8))&gt;0,V$8&gt;INDEX(T_EMP[TERMINATION DATE],ROW($B45)-ROW($B$8))),"NE",IF(NOT(ISERROR(MATCH(V$8,L_HOLS,0))),"H",IF(INDEX(L_WKNDVAL,WEEKDAY(V$8,1))=1,"WKND",INDEX(T_LEAVE[LEAVE CODE],SUMPRODUCT(--(T_LEAVE[NAME]=$B45),--(T_LEAVE[DATE]&lt;=V$8),--(T_LEAVE[DATE]&gt;=V$8),ROW(T_LEAVE[LEAVE CODE]))-ROW(T_LEAVE[#Headers]))))))),"")</f>
        <v/>
      </c>
      <c r="W45" s="75" t="str">
        <f>IFERROR(IF(W$8="","NA",IF(W$8&lt;INDEX(T_EMP[START DATE],ROW($B45)-ROW($B$8)),"NE",IF(AND(INDEX(T_EMP[TERMINATION DATE],ROW($B45)-ROW($B$8))&gt;0,W$8&gt;INDEX(T_EMP[TERMINATION DATE],ROW($B45)-ROW($B$8))),"NE",IF(NOT(ISERROR(MATCH(W$8,L_HOLS,0))),"H",IF(INDEX(L_WKNDVAL,WEEKDAY(W$8,1))=1,"WKND",INDEX(T_LEAVE[LEAVE CODE],SUMPRODUCT(--(T_LEAVE[NAME]=$B45),--(T_LEAVE[DATE]&lt;=W$8),--(T_LEAVE[DATE]&gt;=W$8),ROW(T_LEAVE[LEAVE CODE]))-ROW(T_LEAVE[#Headers]))))))),"")</f>
        <v/>
      </c>
      <c r="X45" s="75" t="str">
        <f>IFERROR(IF(X$8="","NA",IF(X$8&lt;INDEX(T_EMP[START DATE],ROW($B45)-ROW($B$8)),"NE",IF(AND(INDEX(T_EMP[TERMINATION DATE],ROW($B45)-ROW($B$8))&gt;0,X$8&gt;INDEX(T_EMP[TERMINATION DATE],ROW($B45)-ROW($B$8))),"NE",IF(NOT(ISERROR(MATCH(X$8,L_HOLS,0))),"H",IF(INDEX(L_WKNDVAL,WEEKDAY(X$8,1))=1,"WKND",INDEX(T_LEAVE[LEAVE CODE],SUMPRODUCT(--(T_LEAVE[NAME]=$B45),--(T_LEAVE[DATE]&lt;=X$8),--(T_LEAVE[DATE]&gt;=X$8),ROW(T_LEAVE[LEAVE CODE]))-ROW(T_LEAVE[#Headers]))))))),"")</f>
        <v/>
      </c>
      <c r="Y45" s="75" t="str">
        <f>IFERROR(IF(Y$8="","NA",IF(Y$8&lt;INDEX(T_EMP[START DATE],ROW($B45)-ROW($B$8)),"NE",IF(AND(INDEX(T_EMP[TERMINATION DATE],ROW($B45)-ROW($B$8))&gt;0,Y$8&gt;INDEX(T_EMP[TERMINATION DATE],ROW($B45)-ROW($B$8))),"NE",IF(NOT(ISERROR(MATCH(Y$8,L_HOLS,0))),"H",IF(INDEX(L_WKNDVAL,WEEKDAY(Y$8,1))=1,"WKND",INDEX(T_LEAVE[LEAVE CODE],SUMPRODUCT(--(T_LEAVE[NAME]=$B45),--(T_LEAVE[DATE]&lt;=Y$8),--(T_LEAVE[DATE]&gt;=Y$8),ROW(T_LEAVE[LEAVE CODE]))-ROW(T_LEAVE[#Headers]))))))),"")</f>
        <v/>
      </c>
      <c r="Z45" s="75" t="str">
        <f>IFERROR(IF(Z$8="","NA",IF(Z$8&lt;INDEX(T_EMP[START DATE],ROW($B45)-ROW($B$8)),"NE",IF(AND(INDEX(T_EMP[TERMINATION DATE],ROW($B45)-ROW($B$8))&gt;0,Z$8&gt;INDEX(T_EMP[TERMINATION DATE],ROW($B45)-ROW($B$8))),"NE",IF(NOT(ISERROR(MATCH(Z$8,L_HOLS,0))),"H",IF(INDEX(L_WKNDVAL,WEEKDAY(Z$8,1))=1,"WKND",INDEX(T_LEAVE[LEAVE CODE],SUMPRODUCT(--(T_LEAVE[NAME]=$B45),--(T_LEAVE[DATE]&lt;=Z$8),--(T_LEAVE[DATE]&gt;=Z$8),ROW(T_LEAVE[LEAVE CODE]))-ROW(T_LEAVE[#Headers]))))))),"")</f>
        <v/>
      </c>
      <c r="AA45" s="75" t="str">
        <f>IFERROR(IF(AA$8="","NA",IF(AA$8&lt;INDEX(T_EMP[START DATE],ROW($B45)-ROW($B$8)),"NE",IF(AND(INDEX(T_EMP[TERMINATION DATE],ROW($B45)-ROW($B$8))&gt;0,AA$8&gt;INDEX(T_EMP[TERMINATION DATE],ROW($B45)-ROW($B$8))),"NE",IF(NOT(ISERROR(MATCH(AA$8,L_HOLS,0))),"H",IF(INDEX(L_WKNDVAL,WEEKDAY(AA$8,1))=1,"WKND",INDEX(T_LEAVE[LEAVE CODE],SUMPRODUCT(--(T_LEAVE[NAME]=$B45),--(T_LEAVE[DATE]&lt;=AA$8),--(T_LEAVE[DATE]&gt;=AA$8),ROW(T_LEAVE[LEAVE CODE]))-ROW(T_LEAVE[#Headers]))))))),"")</f>
        <v/>
      </c>
      <c r="AB45" s="75" t="str">
        <f>IFERROR(IF(AB$8="","NA",IF(AB$8&lt;INDEX(T_EMP[START DATE],ROW($B45)-ROW($B$8)),"NE",IF(AND(INDEX(T_EMP[TERMINATION DATE],ROW($B45)-ROW($B$8))&gt;0,AB$8&gt;INDEX(T_EMP[TERMINATION DATE],ROW($B45)-ROW($B$8))),"NE",IF(NOT(ISERROR(MATCH(AB$8,L_HOLS,0))),"H",IF(INDEX(L_WKNDVAL,WEEKDAY(AB$8,1))=1,"WKND",INDEX(T_LEAVE[LEAVE CODE],SUMPRODUCT(--(T_LEAVE[NAME]=$B45),--(T_LEAVE[DATE]&lt;=AB$8),--(T_LEAVE[DATE]&gt;=AB$8),ROW(T_LEAVE[LEAVE CODE]))-ROW(T_LEAVE[#Headers]))))))),"")</f>
        <v/>
      </c>
      <c r="AC45" s="75" t="str">
        <f>IFERROR(IF(AC$8="","NA",IF(AC$8&lt;INDEX(T_EMP[START DATE],ROW($B45)-ROW($B$8)),"NE",IF(AND(INDEX(T_EMP[TERMINATION DATE],ROW($B45)-ROW($B$8))&gt;0,AC$8&gt;INDEX(T_EMP[TERMINATION DATE],ROW($B45)-ROW($B$8))),"NE",IF(NOT(ISERROR(MATCH(AC$8,L_HOLS,0))),"H",IF(INDEX(L_WKNDVAL,WEEKDAY(AC$8,1))=1,"WKND",INDEX(T_LEAVE[LEAVE CODE],SUMPRODUCT(--(T_LEAVE[NAME]=$B45),--(T_LEAVE[DATE]&lt;=AC$8),--(T_LEAVE[DATE]&gt;=AC$8),ROW(T_LEAVE[LEAVE CODE]))-ROW(T_LEAVE[#Headers]))))))),"")</f>
        <v/>
      </c>
      <c r="AD45" s="75" t="str">
        <f>IFERROR(IF(AD$8="","NA",IF(AD$8&lt;INDEX(T_EMP[START DATE],ROW($B45)-ROW($B$8)),"NE",IF(AND(INDEX(T_EMP[TERMINATION DATE],ROW($B45)-ROW($B$8))&gt;0,AD$8&gt;INDEX(T_EMP[TERMINATION DATE],ROW($B45)-ROW($B$8))),"NE",IF(NOT(ISERROR(MATCH(AD$8,L_HOLS,0))),"H",IF(INDEX(L_WKNDVAL,WEEKDAY(AD$8,1))=1,"WKND",INDEX(T_LEAVE[LEAVE CODE],SUMPRODUCT(--(T_LEAVE[NAME]=$B45),--(T_LEAVE[DATE]&lt;=AD$8),--(T_LEAVE[DATE]&gt;=AD$8),ROW(T_LEAVE[LEAVE CODE]))-ROW(T_LEAVE[#Headers]))))))),"")</f>
        <v/>
      </c>
      <c r="AE45" s="75" t="str">
        <f>IFERROR(IF(AE$8="","NA",IF(AE$8&lt;INDEX(T_EMP[START DATE],ROW($B45)-ROW($B$8)),"NE",IF(AND(INDEX(T_EMP[TERMINATION DATE],ROW($B45)-ROW($B$8))&gt;0,AE$8&gt;INDEX(T_EMP[TERMINATION DATE],ROW($B45)-ROW($B$8))),"NE",IF(NOT(ISERROR(MATCH(AE$8,L_HOLS,0))),"H",IF(INDEX(L_WKNDVAL,WEEKDAY(AE$8,1))=1,"WKND",INDEX(T_LEAVE[LEAVE CODE],SUMPRODUCT(--(T_LEAVE[NAME]=$B45),--(T_LEAVE[DATE]&lt;=AE$8),--(T_LEAVE[DATE]&gt;=AE$8),ROW(T_LEAVE[LEAVE CODE]))-ROW(T_LEAVE[#Headers]))))))),"")</f>
        <v/>
      </c>
      <c r="AF45" s="75" t="str">
        <f>IFERROR(IF(AF$8="","NA",IF(AF$8&lt;INDEX(T_EMP[START DATE],ROW($B45)-ROW($B$8)),"NE",IF(AND(INDEX(T_EMP[TERMINATION DATE],ROW($B45)-ROW($B$8))&gt;0,AF$8&gt;INDEX(T_EMP[TERMINATION DATE],ROW($B45)-ROW($B$8))),"NE",IF(NOT(ISERROR(MATCH(AF$8,L_HOLS,0))),"H",IF(INDEX(L_WKNDVAL,WEEKDAY(AF$8,1))=1,"WKND",INDEX(T_LEAVE[LEAVE CODE],SUMPRODUCT(--(T_LEAVE[NAME]=$B45),--(T_LEAVE[DATE]&lt;=AF$8),--(T_LEAVE[DATE]&gt;=AF$8),ROW(T_LEAVE[LEAVE CODE]))-ROW(T_LEAVE[#Headers]))))))),"")</f>
        <v/>
      </c>
      <c r="AG45" s="75" t="str">
        <f>IFERROR(IF(AG$8="","NA",IF(AG$8&lt;INDEX(T_EMP[START DATE],ROW($B45)-ROW($B$8)),"NE",IF(AND(INDEX(T_EMP[TERMINATION DATE],ROW($B45)-ROW($B$8))&gt;0,AG$8&gt;INDEX(T_EMP[TERMINATION DATE],ROW($B45)-ROW($B$8))),"NE",IF(NOT(ISERROR(MATCH(AG$8,L_HOLS,0))),"H",IF(INDEX(L_WKNDVAL,WEEKDAY(AG$8,1))=1,"WKND",INDEX(T_LEAVE[LEAVE CODE],SUMPRODUCT(--(T_LEAVE[NAME]=$B45),--(T_LEAVE[DATE]&lt;=AG$8),--(T_LEAVE[DATE]&gt;=AG$8),ROW(T_LEAVE[LEAVE CODE]))-ROW(T_LEAVE[#Headers]))))))),"")</f>
        <v/>
      </c>
      <c r="AH45" s="75" t="str">
        <f>IFERROR(IF(AH$8="","NA",IF(AH$8&lt;INDEX(T_EMP[START DATE],ROW($B45)-ROW($B$8)),"NE",IF(AND(INDEX(T_EMP[TERMINATION DATE],ROW($B45)-ROW($B$8))&gt;0,AH$8&gt;INDEX(T_EMP[TERMINATION DATE],ROW($B45)-ROW($B$8))),"NE",IF(NOT(ISERROR(MATCH(AH$8,L_HOLS,0))),"H",IF(INDEX(L_WKNDVAL,WEEKDAY(AH$8,1))=1,"WKND",INDEX(T_LEAVE[LEAVE CODE],SUMPRODUCT(--(T_LEAVE[NAME]=$B45),--(T_LEAVE[DATE]&lt;=AH$8),--(T_LEAVE[DATE]&gt;=AH$8),ROW(T_LEAVE[LEAVE CODE]))-ROW(T_LEAVE[#Headers]))))))),"")</f>
        <v/>
      </c>
      <c r="AJ45" s="88">
        <f>IF(OR($B45="",AJ$8=""),"",COUNTIFS($D45:$AH45,AJ$8)*INDEX(T_LEAVETYPE[DAY VALUE],1))</f>
        <v>0</v>
      </c>
      <c r="AK45" s="88">
        <f>IF(OR($B45="",AK$8=""),"",COUNTIFS($D45:$AH45,AK$8)*INDEX(T_LEAVETYPE[DAY VALUE],1))</f>
        <v>0</v>
      </c>
      <c r="AL45" s="88">
        <f>IF(OR($B45="",AL$8=""),"",COUNTIFS($D45:$AH45,AL$8)*INDEX(T_LEAVETYPE[DAY VALUE],1))</f>
        <v>0</v>
      </c>
      <c r="AM45" s="88">
        <f>IF(OR($B45="",AM$8=""),"",COUNTIFS($D45:$AH45,AM$8)*INDEX(T_LEAVETYPE[DAY VALUE],1))</f>
        <v>0</v>
      </c>
      <c r="AN45" s="88">
        <f>IF(OR($B45="",AN$8=""),"",COUNTIFS($D45:$AH45,AN$8)*INDEX(T_LEAVETYPE[DAY VALUE],1))</f>
        <v>0</v>
      </c>
      <c r="AO45" s="88">
        <f>IF(OR($B45="",AO$8=""),"",COUNTIFS($D45:$AH45,AO$8)*INDEX(T_LEAVETYPE[DAY VALUE],6))</f>
        <v>0</v>
      </c>
      <c r="AP45" s="88">
        <f>IF(OR($B45="",AP$8=""),"",COUNTIFS($D45:$AH45,AP$8)*INDEX(T_LEAVETYPE[DAY VALUE],7))</f>
        <v>0</v>
      </c>
      <c r="AQ45" s="88">
        <f>IF(OR($B45="",AQ$8=""),"",COUNTIFS($D45:$AH45,AQ$8)*INDEX(T_LEAVETYPE[DAY VALUE],8))</f>
        <v>0</v>
      </c>
      <c r="AR45" s="89">
        <f t="shared" si="5"/>
        <v>0</v>
      </c>
    </row>
    <row r="46" spans="1:44" x14ac:dyDescent="0.25">
      <c r="A46" s="90">
        <f t="shared" si="4"/>
        <v>38</v>
      </c>
      <c r="B46" s="74" t="str">
        <f>IFERROR(INDEX(T_EMP[NAME],ROW(B46)-ROW($B$8)),"")</f>
        <v>MENDOZA, TRYSTAN JAY</v>
      </c>
      <c r="C46" s="91" t="str">
        <f>IFERROR(INDEX(T_EMP[DEPARTMENT],ROW(B46)-ROW($C$8)),"")</f>
        <v>IB SUPPORT</v>
      </c>
      <c r="D46" s="75" t="str">
        <f>IFERROR(IF(D$8="","NA",IF(D$8&lt;INDEX(T_EMP[START DATE],ROW($B46)-ROW($B$8)),"NE",IF(AND(INDEX(T_EMP[TERMINATION DATE],ROW($B46)-ROW($B$8))&gt;0,D$8&gt;INDEX(T_EMP[TERMINATION DATE],ROW($B46)-ROW($B$8))),"NE",IF(NOT(ISERROR(MATCH(D$8,L_HOLS,0))),"H",IF(INDEX(L_WKNDVAL,WEEKDAY(D$8,1))=1,"WKND",INDEX(T_LEAVE[LEAVE CODE],SUMPRODUCT(--(T_LEAVE[NAME]=$B46),--(T_LEAVE[DATE]&lt;=D$8),--(T_LEAVE[DATE]&gt;=D$8),ROW(T_LEAVE[LEAVE CODE]))-ROW(T_LEAVE[#Headers]))))))),"")</f>
        <v>H</v>
      </c>
      <c r="E46" s="75" t="str">
        <f>IFERROR(IF(E$8="","NA",IF(E$8&lt;INDEX(T_EMP[START DATE],ROW($B46)-ROW($B$8)),"NE",IF(AND(INDEX(T_EMP[TERMINATION DATE],ROW($B46)-ROW($B$8))&gt;0,E$8&gt;INDEX(T_EMP[TERMINATION DATE],ROW($B46)-ROW($B$8))),"NE",IF(NOT(ISERROR(MATCH(E$8,L_HOLS,0))),"H",IF(INDEX(L_WKNDVAL,WEEKDAY(E$8,1))=1,"WKND",INDEX(T_LEAVE[LEAVE CODE],SUMPRODUCT(--(T_LEAVE[NAME]=$B46),--(T_LEAVE[DATE]&lt;=E$8),--(T_LEAVE[DATE]&gt;=E$8),ROW(T_LEAVE[LEAVE CODE]))-ROW(T_LEAVE[#Headers]))))))),"")</f>
        <v/>
      </c>
      <c r="F46" s="75" t="str">
        <f>IFERROR(IF(F$8="","NA",IF(F$8&lt;INDEX(T_EMP[START DATE],ROW($B46)-ROW($B$8)),"NE",IF(AND(INDEX(T_EMP[TERMINATION DATE],ROW($B46)-ROW($B$8))&gt;0,F$8&gt;INDEX(T_EMP[TERMINATION DATE],ROW($B46)-ROW($B$8))),"NE",IF(NOT(ISERROR(MATCH(F$8,L_HOLS,0))),"H",IF(INDEX(L_WKNDVAL,WEEKDAY(F$8,1))=1,"WKND",INDEX(T_LEAVE[LEAVE CODE],SUMPRODUCT(--(T_LEAVE[NAME]=$B46),--(T_LEAVE[DATE]&lt;=F$8),--(T_LEAVE[DATE]&gt;=F$8),ROW(T_LEAVE[LEAVE CODE]))-ROW(T_LEAVE[#Headers]))))))),"")</f>
        <v/>
      </c>
      <c r="G46" s="75" t="str">
        <f>IFERROR(IF(G$8="","NA",IF(G$8&lt;INDEX(T_EMP[START DATE],ROW($B46)-ROW($B$8)),"NE",IF(AND(INDEX(T_EMP[TERMINATION DATE],ROW($B46)-ROW($B$8))&gt;0,G$8&gt;INDEX(T_EMP[TERMINATION DATE],ROW($B46)-ROW($B$8))),"NE",IF(NOT(ISERROR(MATCH(G$8,L_HOLS,0))),"H",IF(INDEX(L_WKNDVAL,WEEKDAY(G$8,1))=1,"WKND",INDEX(T_LEAVE[LEAVE CODE],SUMPRODUCT(--(T_LEAVE[NAME]=$B46),--(T_LEAVE[DATE]&lt;=G$8),--(T_LEAVE[DATE]&gt;=G$8),ROW(T_LEAVE[LEAVE CODE]))-ROW(T_LEAVE[#Headers]))))))),"")</f>
        <v/>
      </c>
      <c r="H46" s="75" t="str">
        <f>IFERROR(IF(H$8="","NA",IF(H$8&lt;INDEX(T_EMP[START DATE],ROW($B46)-ROW($B$8)),"NE",IF(AND(INDEX(T_EMP[TERMINATION DATE],ROW($B46)-ROW($B$8))&gt;0,H$8&gt;INDEX(T_EMP[TERMINATION DATE],ROW($B46)-ROW($B$8))),"NE",IF(NOT(ISERROR(MATCH(H$8,L_HOLS,0))),"H",IF(INDEX(L_WKNDVAL,WEEKDAY(H$8,1))=1,"WKND",INDEX(T_LEAVE[LEAVE CODE],SUMPRODUCT(--(T_LEAVE[NAME]=$B46),--(T_LEAVE[DATE]&lt;=H$8),--(T_LEAVE[DATE]&gt;=H$8),ROW(T_LEAVE[LEAVE CODE]))-ROW(T_LEAVE[#Headers]))))))),"")</f>
        <v/>
      </c>
      <c r="I46" s="75" t="str">
        <f>IFERROR(IF(I$8="","NA",IF(I$8&lt;INDEX(T_EMP[START DATE],ROW($B46)-ROW($B$8)),"NE",IF(AND(INDEX(T_EMP[TERMINATION DATE],ROW($B46)-ROW($B$8))&gt;0,I$8&gt;INDEX(T_EMP[TERMINATION DATE],ROW($B46)-ROW($B$8))),"NE",IF(NOT(ISERROR(MATCH(I$8,L_HOLS,0))),"H",IF(INDEX(L_WKNDVAL,WEEKDAY(I$8,1))=1,"WKND",INDEX(T_LEAVE[LEAVE CODE],SUMPRODUCT(--(T_LEAVE[NAME]=$B46),--(T_LEAVE[DATE]&lt;=I$8),--(T_LEAVE[DATE]&gt;=I$8),ROW(T_LEAVE[LEAVE CODE]))-ROW(T_LEAVE[#Headers]))))))),"")</f>
        <v/>
      </c>
      <c r="J46" s="75" t="str">
        <f>IFERROR(IF(J$8="","NA",IF(J$8&lt;INDEX(T_EMP[START DATE],ROW($B46)-ROW($B$8)),"NE",IF(AND(INDEX(T_EMP[TERMINATION DATE],ROW($B46)-ROW($B$8))&gt;0,J$8&gt;INDEX(T_EMP[TERMINATION DATE],ROW($B46)-ROW($B$8))),"NE",IF(NOT(ISERROR(MATCH(J$8,L_HOLS,0))),"H",IF(INDEX(L_WKNDVAL,WEEKDAY(J$8,1))=1,"WKND",INDEX(T_LEAVE[LEAVE CODE],SUMPRODUCT(--(T_LEAVE[NAME]=$B46),--(T_LEAVE[DATE]&lt;=J$8),--(T_LEAVE[DATE]&gt;=J$8),ROW(T_LEAVE[LEAVE CODE]))-ROW(T_LEAVE[#Headers]))))))),"")</f>
        <v/>
      </c>
      <c r="K46" s="75" t="str">
        <f>IFERROR(IF(K$8="","NA",IF(K$8&lt;INDEX(T_EMP[START DATE],ROW($B46)-ROW($B$8)),"NE",IF(AND(INDEX(T_EMP[TERMINATION DATE],ROW($B46)-ROW($B$8))&gt;0,K$8&gt;INDEX(T_EMP[TERMINATION DATE],ROW($B46)-ROW($B$8))),"NE",IF(NOT(ISERROR(MATCH(K$8,L_HOLS,0))),"H",IF(INDEX(L_WKNDVAL,WEEKDAY(K$8,1))=1,"WKND",INDEX(T_LEAVE[LEAVE CODE],SUMPRODUCT(--(T_LEAVE[NAME]=$B46),--(T_LEAVE[DATE]&lt;=K$8),--(T_LEAVE[DATE]&gt;=K$8),ROW(T_LEAVE[LEAVE CODE]))-ROW(T_LEAVE[#Headers]))))))),"")</f>
        <v/>
      </c>
      <c r="L46" s="75" t="str">
        <f>IFERROR(IF(L$8="","NA",IF(L$8&lt;INDEX(T_EMP[START DATE],ROW($B46)-ROW($B$8)),"NE",IF(AND(INDEX(T_EMP[TERMINATION DATE],ROW($B46)-ROW($B$8))&gt;0,L$8&gt;INDEX(T_EMP[TERMINATION DATE],ROW($B46)-ROW($B$8))),"NE",IF(NOT(ISERROR(MATCH(L$8,L_HOLS,0))),"H",IF(INDEX(L_WKNDVAL,WEEKDAY(L$8,1))=1,"WKND",INDEX(T_LEAVE[LEAVE CODE],SUMPRODUCT(--(T_LEAVE[NAME]=$B46),--(T_LEAVE[DATE]&lt;=L$8),--(T_LEAVE[DATE]&gt;=L$8),ROW(T_LEAVE[LEAVE CODE]))-ROW(T_LEAVE[#Headers]))))))),"")</f>
        <v/>
      </c>
      <c r="M46" s="75" t="str">
        <f>IFERROR(IF(M$8="","NA",IF(M$8&lt;INDEX(T_EMP[START DATE],ROW($B46)-ROW($B$8)),"NE",IF(AND(INDEX(T_EMP[TERMINATION DATE],ROW($B46)-ROW($B$8))&gt;0,M$8&gt;INDEX(T_EMP[TERMINATION DATE],ROW($B46)-ROW($B$8))),"NE",IF(NOT(ISERROR(MATCH(M$8,L_HOLS,0))),"H",IF(INDEX(L_WKNDVAL,WEEKDAY(M$8,1))=1,"WKND",INDEX(T_LEAVE[LEAVE CODE],SUMPRODUCT(--(T_LEAVE[NAME]=$B46),--(T_LEAVE[DATE]&lt;=M$8),--(T_LEAVE[DATE]&gt;=M$8),ROW(T_LEAVE[LEAVE CODE]))-ROW(T_LEAVE[#Headers]))))))),"")</f>
        <v/>
      </c>
      <c r="N46" s="75" t="str">
        <f>IFERROR(IF(N$8="","NA",IF(N$8&lt;INDEX(T_EMP[START DATE],ROW($B46)-ROW($B$8)),"NE",IF(AND(INDEX(T_EMP[TERMINATION DATE],ROW($B46)-ROW($B$8))&gt;0,N$8&gt;INDEX(T_EMP[TERMINATION DATE],ROW($B46)-ROW($B$8))),"NE",IF(NOT(ISERROR(MATCH(N$8,L_HOLS,0))),"H",IF(INDEX(L_WKNDVAL,WEEKDAY(N$8,1))=1,"WKND",INDEX(T_LEAVE[LEAVE CODE],SUMPRODUCT(--(T_LEAVE[NAME]=$B46),--(T_LEAVE[DATE]&lt;=N$8),--(T_LEAVE[DATE]&gt;=N$8),ROW(T_LEAVE[LEAVE CODE]))-ROW(T_LEAVE[#Headers]))))))),"")</f>
        <v/>
      </c>
      <c r="O46" s="75" t="str">
        <f>IFERROR(IF(O$8="","NA",IF(O$8&lt;INDEX(T_EMP[START DATE],ROW($B46)-ROW($B$8)),"NE",IF(AND(INDEX(T_EMP[TERMINATION DATE],ROW($B46)-ROW($B$8))&gt;0,O$8&gt;INDEX(T_EMP[TERMINATION DATE],ROW($B46)-ROW($B$8))),"NE",IF(NOT(ISERROR(MATCH(O$8,L_HOLS,0))),"H",IF(INDEX(L_WKNDVAL,WEEKDAY(O$8,1))=1,"WKND",INDEX(T_LEAVE[LEAVE CODE],SUMPRODUCT(--(T_LEAVE[NAME]=$B46),--(T_LEAVE[DATE]&lt;=O$8),--(T_LEAVE[DATE]&gt;=O$8),ROW(T_LEAVE[LEAVE CODE]))-ROW(T_LEAVE[#Headers]))))))),"")</f>
        <v/>
      </c>
      <c r="P46" s="75" t="str">
        <f>IFERROR(IF(P$8="","NA",IF(P$8&lt;INDEX(T_EMP[START DATE],ROW($B46)-ROW($B$8)),"NE",IF(AND(INDEX(T_EMP[TERMINATION DATE],ROW($B46)-ROW($B$8))&gt;0,P$8&gt;INDEX(T_EMP[TERMINATION DATE],ROW($B46)-ROW($B$8))),"NE",IF(NOT(ISERROR(MATCH(P$8,L_HOLS,0))),"H",IF(INDEX(L_WKNDVAL,WEEKDAY(P$8,1))=1,"WKND",INDEX(T_LEAVE[LEAVE CODE],SUMPRODUCT(--(T_LEAVE[NAME]=$B46),--(T_LEAVE[DATE]&lt;=P$8),--(T_LEAVE[DATE]&gt;=P$8),ROW(T_LEAVE[LEAVE CODE]))-ROW(T_LEAVE[#Headers]))))))),"")</f>
        <v>H</v>
      </c>
      <c r="Q46" s="75" t="str">
        <f>IFERROR(IF(Q$8="","NA",IF(Q$8&lt;INDEX(T_EMP[START DATE],ROW($B46)-ROW($B$8)),"NE",IF(AND(INDEX(T_EMP[TERMINATION DATE],ROW($B46)-ROW($B$8))&gt;0,Q$8&gt;INDEX(T_EMP[TERMINATION DATE],ROW($B46)-ROW($B$8))),"NE",IF(NOT(ISERROR(MATCH(Q$8,L_HOLS,0))),"H",IF(INDEX(L_WKNDVAL,WEEKDAY(Q$8,1))=1,"WKND",INDEX(T_LEAVE[LEAVE CODE],SUMPRODUCT(--(T_LEAVE[NAME]=$B46),--(T_LEAVE[DATE]&lt;=Q$8),--(T_LEAVE[DATE]&gt;=Q$8),ROW(T_LEAVE[LEAVE CODE]))-ROW(T_LEAVE[#Headers]))))))),"")</f>
        <v/>
      </c>
      <c r="R46" s="75" t="str">
        <f>IFERROR(IF(R$8="","NA",IF(R$8&lt;INDEX(T_EMP[START DATE],ROW($B46)-ROW($B$8)),"NE",IF(AND(INDEX(T_EMP[TERMINATION DATE],ROW($B46)-ROW($B$8))&gt;0,R$8&gt;INDEX(T_EMP[TERMINATION DATE],ROW($B46)-ROW($B$8))),"NE",IF(NOT(ISERROR(MATCH(R$8,L_HOLS,0))),"H",IF(INDEX(L_WKNDVAL,WEEKDAY(R$8,1))=1,"WKND",INDEX(T_LEAVE[LEAVE CODE],SUMPRODUCT(--(T_LEAVE[NAME]=$B46),--(T_LEAVE[DATE]&lt;=R$8),--(T_LEAVE[DATE]&gt;=R$8),ROW(T_LEAVE[LEAVE CODE]))-ROW(T_LEAVE[#Headers]))))))),"")</f>
        <v/>
      </c>
      <c r="S46" s="75" t="str">
        <f>IFERROR(IF(S$8="","NA",IF(S$8&lt;INDEX(T_EMP[START DATE],ROW($B46)-ROW($B$8)),"NE",IF(AND(INDEX(T_EMP[TERMINATION DATE],ROW($B46)-ROW($B$8))&gt;0,S$8&gt;INDEX(T_EMP[TERMINATION DATE],ROW($B46)-ROW($B$8))),"NE",IF(NOT(ISERROR(MATCH(S$8,L_HOLS,0))),"H",IF(INDEX(L_WKNDVAL,WEEKDAY(S$8,1))=1,"WKND",INDEX(T_LEAVE[LEAVE CODE],SUMPRODUCT(--(T_LEAVE[NAME]=$B46),--(T_LEAVE[DATE]&lt;=S$8),--(T_LEAVE[DATE]&gt;=S$8),ROW(T_LEAVE[LEAVE CODE]))-ROW(T_LEAVE[#Headers]))))))),"")</f>
        <v/>
      </c>
      <c r="T46" s="75" t="str">
        <f>IFERROR(IF(T$8="","NA",IF(T$8&lt;INDEX(T_EMP[START DATE],ROW($B46)-ROW($B$8)),"NE",IF(AND(INDEX(T_EMP[TERMINATION DATE],ROW($B46)-ROW($B$8))&gt;0,T$8&gt;INDEX(T_EMP[TERMINATION DATE],ROW($B46)-ROW($B$8))),"NE",IF(NOT(ISERROR(MATCH(T$8,L_HOLS,0))),"H",IF(INDEX(L_WKNDVAL,WEEKDAY(T$8,1))=1,"WKND",INDEX(T_LEAVE[LEAVE CODE],SUMPRODUCT(--(T_LEAVE[NAME]=$B46),--(T_LEAVE[DATE]&lt;=T$8),--(T_LEAVE[DATE]&gt;=T$8),ROW(T_LEAVE[LEAVE CODE]))-ROW(T_LEAVE[#Headers]))))))),"")</f>
        <v/>
      </c>
      <c r="U46" s="75" t="str">
        <f>IFERROR(IF(U$8="","NA",IF(U$8&lt;INDEX(T_EMP[START DATE],ROW($B46)-ROW($B$8)),"NE",IF(AND(INDEX(T_EMP[TERMINATION DATE],ROW($B46)-ROW($B$8))&gt;0,U$8&gt;INDEX(T_EMP[TERMINATION DATE],ROW($B46)-ROW($B$8))),"NE",IF(NOT(ISERROR(MATCH(U$8,L_HOLS,0))),"H",IF(INDEX(L_WKNDVAL,WEEKDAY(U$8,1))=1,"WKND",INDEX(T_LEAVE[LEAVE CODE],SUMPRODUCT(--(T_LEAVE[NAME]=$B46),--(T_LEAVE[DATE]&lt;=U$8),--(T_LEAVE[DATE]&gt;=U$8),ROW(T_LEAVE[LEAVE CODE]))-ROW(T_LEAVE[#Headers]))))))),"")</f>
        <v/>
      </c>
      <c r="V46" s="75" t="str">
        <f>IFERROR(IF(V$8="","NA",IF(V$8&lt;INDEX(T_EMP[START DATE],ROW($B46)-ROW($B$8)),"NE",IF(AND(INDEX(T_EMP[TERMINATION DATE],ROW($B46)-ROW($B$8))&gt;0,V$8&gt;INDEX(T_EMP[TERMINATION DATE],ROW($B46)-ROW($B$8))),"NE",IF(NOT(ISERROR(MATCH(V$8,L_HOLS,0))),"H",IF(INDEX(L_WKNDVAL,WEEKDAY(V$8,1))=1,"WKND",INDEX(T_LEAVE[LEAVE CODE],SUMPRODUCT(--(T_LEAVE[NAME]=$B46),--(T_LEAVE[DATE]&lt;=V$8),--(T_LEAVE[DATE]&gt;=V$8),ROW(T_LEAVE[LEAVE CODE]))-ROW(T_LEAVE[#Headers]))))))),"")</f>
        <v/>
      </c>
      <c r="W46" s="75" t="str">
        <f>IFERROR(IF(W$8="","NA",IF(W$8&lt;INDEX(T_EMP[START DATE],ROW($B46)-ROW($B$8)),"NE",IF(AND(INDEX(T_EMP[TERMINATION DATE],ROW($B46)-ROW($B$8))&gt;0,W$8&gt;INDEX(T_EMP[TERMINATION DATE],ROW($B46)-ROW($B$8))),"NE",IF(NOT(ISERROR(MATCH(W$8,L_HOLS,0))),"H",IF(INDEX(L_WKNDVAL,WEEKDAY(W$8,1))=1,"WKND",INDEX(T_LEAVE[LEAVE CODE],SUMPRODUCT(--(T_LEAVE[NAME]=$B46),--(T_LEAVE[DATE]&lt;=W$8),--(T_LEAVE[DATE]&gt;=W$8),ROW(T_LEAVE[LEAVE CODE]))-ROW(T_LEAVE[#Headers]))))))),"")</f>
        <v/>
      </c>
      <c r="X46" s="75" t="str">
        <f>IFERROR(IF(X$8="","NA",IF(X$8&lt;INDEX(T_EMP[START DATE],ROW($B46)-ROW($B$8)),"NE",IF(AND(INDEX(T_EMP[TERMINATION DATE],ROW($B46)-ROW($B$8))&gt;0,X$8&gt;INDEX(T_EMP[TERMINATION DATE],ROW($B46)-ROW($B$8))),"NE",IF(NOT(ISERROR(MATCH(X$8,L_HOLS,0))),"H",IF(INDEX(L_WKNDVAL,WEEKDAY(X$8,1))=1,"WKND",INDEX(T_LEAVE[LEAVE CODE],SUMPRODUCT(--(T_LEAVE[NAME]=$B46),--(T_LEAVE[DATE]&lt;=X$8),--(T_LEAVE[DATE]&gt;=X$8),ROW(T_LEAVE[LEAVE CODE]))-ROW(T_LEAVE[#Headers]))))))),"")</f>
        <v/>
      </c>
      <c r="Y46" s="75" t="str">
        <f>IFERROR(IF(Y$8="","NA",IF(Y$8&lt;INDEX(T_EMP[START DATE],ROW($B46)-ROW($B$8)),"NE",IF(AND(INDEX(T_EMP[TERMINATION DATE],ROW($B46)-ROW($B$8))&gt;0,Y$8&gt;INDEX(T_EMP[TERMINATION DATE],ROW($B46)-ROW($B$8))),"NE",IF(NOT(ISERROR(MATCH(Y$8,L_HOLS,0))),"H",IF(INDEX(L_WKNDVAL,WEEKDAY(Y$8,1))=1,"WKND",INDEX(T_LEAVE[LEAVE CODE],SUMPRODUCT(--(T_LEAVE[NAME]=$B46),--(T_LEAVE[DATE]&lt;=Y$8),--(T_LEAVE[DATE]&gt;=Y$8),ROW(T_LEAVE[LEAVE CODE]))-ROW(T_LEAVE[#Headers]))))))),"")</f>
        <v/>
      </c>
      <c r="Z46" s="75" t="str">
        <f>IFERROR(IF(Z$8="","NA",IF(Z$8&lt;INDEX(T_EMP[START DATE],ROW($B46)-ROW($B$8)),"NE",IF(AND(INDEX(T_EMP[TERMINATION DATE],ROW($B46)-ROW($B$8))&gt;0,Z$8&gt;INDEX(T_EMP[TERMINATION DATE],ROW($B46)-ROW($B$8))),"NE",IF(NOT(ISERROR(MATCH(Z$8,L_HOLS,0))),"H",IF(INDEX(L_WKNDVAL,WEEKDAY(Z$8,1))=1,"WKND",INDEX(T_LEAVE[LEAVE CODE],SUMPRODUCT(--(T_LEAVE[NAME]=$B46),--(T_LEAVE[DATE]&lt;=Z$8),--(T_LEAVE[DATE]&gt;=Z$8),ROW(T_LEAVE[LEAVE CODE]))-ROW(T_LEAVE[#Headers]))))))),"")</f>
        <v/>
      </c>
      <c r="AA46" s="75" t="str">
        <f>IFERROR(IF(AA$8="","NA",IF(AA$8&lt;INDEX(T_EMP[START DATE],ROW($B46)-ROW($B$8)),"NE",IF(AND(INDEX(T_EMP[TERMINATION DATE],ROW($B46)-ROW($B$8))&gt;0,AA$8&gt;INDEX(T_EMP[TERMINATION DATE],ROW($B46)-ROW($B$8))),"NE",IF(NOT(ISERROR(MATCH(AA$8,L_HOLS,0))),"H",IF(INDEX(L_WKNDVAL,WEEKDAY(AA$8,1))=1,"WKND",INDEX(T_LEAVE[LEAVE CODE],SUMPRODUCT(--(T_LEAVE[NAME]=$B46),--(T_LEAVE[DATE]&lt;=AA$8),--(T_LEAVE[DATE]&gt;=AA$8),ROW(T_LEAVE[LEAVE CODE]))-ROW(T_LEAVE[#Headers]))))))),"")</f>
        <v/>
      </c>
      <c r="AB46" s="75" t="str">
        <f>IFERROR(IF(AB$8="","NA",IF(AB$8&lt;INDEX(T_EMP[START DATE],ROW($B46)-ROW($B$8)),"NE",IF(AND(INDEX(T_EMP[TERMINATION DATE],ROW($B46)-ROW($B$8))&gt;0,AB$8&gt;INDEX(T_EMP[TERMINATION DATE],ROW($B46)-ROW($B$8))),"NE",IF(NOT(ISERROR(MATCH(AB$8,L_HOLS,0))),"H",IF(INDEX(L_WKNDVAL,WEEKDAY(AB$8,1))=1,"WKND",INDEX(T_LEAVE[LEAVE CODE],SUMPRODUCT(--(T_LEAVE[NAME]=$B46),--(T_LEAVE[DATE]&lt;=AB$8),--(T_LEAVE[DATE]&gt;=AB$8),ROW(T_LEAVE[LEAVE CODE]))-ROW(T_LEAVE[#Headers]))))))),"")</f>
        <v/>
      </c>
      <c r="AC46" s="75" t="str">
        <f>IFERROR(IF(AC$8="","NA",IF(AC$8&lt;INDEX(T_EMP[START DATE],ROW($B46)-ROW($B$8)),"NE",IF(AND(INDEX(T_EMP[TERMINATION DATE],ROW($B46)-ROW($B$8))&gt;0,AC$8&gt;INDEX(T_EMP[TERMINATION DATE],ROW($B46)-ROW($B$8))),"NE",IF(NOT(ISERROR(MATCH(AC$8,L_HOLS,0))),"H",IF(INDEX(L_WKNDVAL,WEEKDAY(AC$8,1))=1,"WKND",INDEX(T_LEAVE[LEAVE CODE],SUMPRODUCT(--(T_LEAVE[NAME]=$B46),--(T_LEAVE[DATE]&lt;=AC$8),--(T_LEAVE[DATE]&gt;=AC$8),ROW(T_LEAVE[LEAVE CODE]))-ROW(T_LEAVE[#Headers]))))))),"")</f>
        <v/>
      </c>
      <c r="AD46" s="75" t="str">
        <f>IFERROR(IF(AD$8="","NA",IF(AD$8&lt;INDEX(T_EMP[START DATE],ROW($B46)-ROW($B$8)),"NE",IF(AND(INDEX(T_EMP[TERMINATION DATE],ROW($B46)-ROW($B$8))&gt;0,AD$8&gt;INDEX(T_EMP[TERMINATION DATE],ROW($B46)-ROW($B$8))),"NE",IF(NOT(ISERROR(MATCH(AD$8,L_HOLS,0))),"H",IF(INDEX(L_WKNDVAL,WEEKDAY(AD$8,1))=1,"WKND",INDEX(T_LEAVE[LEAVE CODE],SUMPRODUCT(--(T_LEAVE[NAME]=$B46),--(T_LEAVE[DATE]&lt;=AD$8),--(T_LEAVE[DATE]&gt;=AD$8),ROW(T_LEAVE[LEAVE CODE]))-ROW(T_LEAVE[#Headers]))))))),"")</f>
        <v/>
      </c>
      <c r="AE46" s="75" t="str">
        <f>IFERROR(IF(AE$8="","NA",IF(AE$8&lt;INDEX(T_EMP[START DATE],ROW($B46)-ROW($B$8)),"NE",IF(AND(INDEX(T_EMP[TERMINATION DATE],ROW($B46)-ROW($B$8))&gt;0,AE$8&gt;INDEX(T_EMP[TERMINATION DATE],ROW($B46)-ROW($B$8))),"NE",IF(NOT(ISERROR(MATCH(AE$8,L_HOLS,0))),"H",IF(INDEX(L_WKNDVAL,WEEKDAY(AE$8,1))=1,"WKND",INDEX(T_LEAVE[LEAVE CODE],SUMPRODUCT(--(T_LEAVE[NAME]=$B46),--(T_LEAVE[DATE]&lt;=AE$8),--(T_LEAVE[DATE]&gt;=AE$8),ROW(T_LEAVE[LEAVE CODE]))-ROW(T_LEAVE[#Headers]))))))),"")</f>
        <v/>
      </c>
      <c r="AF46" s="75" t="str">
        <f>IFERROR(IF(AF$8="","NA",IF(AF$8&lt;INDEX(T_EMP[START DATE],ROW($B46)-ROW($B$8)),"NE",IF(AND(INDEX(T_EMP[TERMINATION DATE],ROW($B46)-ROW($B$8))&gt;0,AF$8&gt;INDEX(T_EMP[TERMINATION DATE],ROW($B46)-ROW($B$8))),"NE",IF(NOT(ISERROR(MATCH(AF$8,L_HOLS,0))),"H",IF(INDEX(L_WKNDVAL,WEEKDAY(AF$8,1))=1,"WKND",INDEX(T_LEAVE[LEAVE CODE],SUMPRODUCT(--(T_LEAVE[NAME]=$B46),--(T_LEAVE[DATE]&lt;=AF$8),--(T_LEAVE[DATE]&gt;=AF$8),ROW(T_LEAVE[LEAVE CODE]))-ROW(T_LEAVE[#Headers]))))))),"")</f>
        <v/>
      </c>
      <c r="AG46" s="75" t="str">
        <f>IFERROR(IF(AG$8="","NA",IF(AG$8&lt;INDEX(T_EMP[START DATE],ROW($B46)-ROW($B$8)),"NE",IF(AND(INDEX(T_EMP[TERMINATION DATE],ROW($B46)-ROW($B$8))&gt;0,AG$8&gt;INDEX(T_EMP[TERMINATION DATE],ROW($B46)-ROW($B$8))),"NE",IF(NOT(ISERROR(MATCH(AG$8,L_HOLS,0))),"H",IF(INDEX(L_WKNDVAL,WEEKDAY(AG$8,1))=1,"WKND",INDEX(T_LEAVE[LEAVE CODE],SUMPRODUCT(--(T_LEAVE[NAME]=$B46),--(T_LEAVE[DATE]&lt;=AG$8),--(T_LEAVE[DATE]&gt;=AG$8),ROW(T_LEAVE[LEAVE CODE]))-ROW(T_LEAVE[#Headers]))))))),"")</f>
        <v/>
      </c>
      <c r="AH46" s="75" t="str">
        <f>IFERROR(IF(AH$8="","NA",IF(AH$8&lt;INDEX(T_EMP[START DATE],ROW($B46)-ROW($B$8)),"NE",IF(AND(INDEX(T_EMP[TERMINATION DATE],ROW($B46)-ROW($B$8))&gt;0,AH$8&gt;INDEX(T_EMP[TERMINATION DATE],ROW($B46)-ROW($B$8))),"NE",IF(NOT(ISERROR(MATCH(AH$8,L_HOLS,0))),"H",IF(INDEX(L_WKNDVAL,WEEKDAY(AH$8,1))=1,"WKND",INDEX(T_LEAVE[LEAVE CODE],SUMPRODUCT(--(T_LEAVE[NAME]=$B46),--(T_LEAVE[DATE]&lt;=AH$8),--(T_LEAVE[DATE]&gt;=AH$8),ROW(T_LEAVE[LEAVE CODE]))-ROW(T_LEAVE[#Headers]))))))),"")</f>
        <v/>
      </c>
      <c r="AJ46" s="88">
        <f>IF(OR($B46="",AJ$8=""),"",COUNTIFS($D46:$AH46,AJ$8)*INDEX(T_LEAVETYPE[DAY VALUE],1))</f>
        <v>0</v>
      </c>
      <c r="AK46" s="88">
        <f>IF(OR($B46="",AK$8=""),"",COUNTIFS($D46:$AH46,AK$8)*INDEX(T_LEAVETYPE[DAY VALUE],1))</f>
        <v>0</v>
      </c>
      <c r="AL46" s="88">
        <f>IF(OR($B46="",AL$8=""),"",COUNTIFS($D46:$AH46,AL$8)*INDEX(T_LEAVETYPE[DAY VALUE],1))</f>
        <v>0</v>
      </c>
      <c r="AM46" s="88">
        <f>IF(OR($B46="",AM$8=""),"",COUNTIFS($D46:$AH46,AM$8)*INDEX(T_LEAVETYPE[DAY VALUE],1))</f>
        <v>0</v>
      </c>
      <c r="AN46" s="88">
        <f>IF(OR($B46="",AN$8=""),"",COUNTIFS($D46:$AH46,AN$8)*INDEX(T_LEAVETYPE[DAY VALUE],1))</f>
        <v>0</v>
      </c>
      <c r="AO46" s="88">
        <f>IF(OR($B46="",AO$8=""),"",COUNTIFS($D46:$AH46,AO$8)*INDEX(T_LEAVETYPE[DAY VALUE],6))</f>
        <v>0</v>
      </c>
      <c r="AP46" s="88">
        <f>IF(OR($B46="",AP$8=""),"",COUNTIFS($D46:$AH46,AP$8)*INDEX(T_LEAVETYPE[DAY VALUE],7))</f>
        <v>0</v>
      </c>
      <c r="AQ46" s="88">
        <f>IF(OR($B46="",AQ$8=""),"",COUNTIFS($D46:$AH46,AQ$8)*INDEX(T_LEAVETYPE[DAY VALUE],8))</f>
        <v>0</v>
      </c>
      <c r="AR46" s="89">
        <f t="shared" si="5"/>
        <v>0</v>
      </c>
    </row>
    <row r="47" spans="1:44" x14ac:dyDescent="0.25">
      <c r="A47" s="90">
        <f t="shared" si="4"/>
        <v>39</v>
      </c>
      <c r="B47" s="74" t="str">
        <f>IFERROR(INDEX(T_EMP[NAME],ROW(B47)-ROW($B$8)),"")</f>
        <v>JOSE, DANJELO</v>
      </c>
      <c r="C47" s="91" t="str">
        <f>IFERROR(INDEX(T_EMP[DEPARTMENT],ROW(B47)-ROW($C$8)),"")</f>
        <v>IB SUPPORT</v>
      </c>
      <c r="D47" s="75" t="str">
        <f>IFERROR(IF(D$8="","NA",IF(D$8&lt;INDEX(T_EMP[START DATE],ROW($B47)-ROW($B$8)),"NE",IF(AND(INDEX(T_EMP[TERMINATION DATE],ROW($B47)-ROW($B$8))&gt;0,D$8&gt;INDEX(T_EMP[TERMINATION DATE],ROW($B47)-ROW($B$8))),"NE",IF(NOT(ISERROR(MATCH(D$8,L_HOLS,0))),"H",IF(INDEX(L_WKNDVAL,WEEKDAY(D$8,1))=1,"WKND",INDEX(T_LEAVE[LEAVE CODE],SUMPRODUCT(--(T_LEAVE[NAME]=$B47),--(T_LEAVE[DATE]&lt;=D$8),--(T_LEAVE[DATE]&gt;=D$8),ROW(T_LEAVE[LEAVE CODE]))-ROW(T_LEAVE[#Headers]))))))),"")</f>
        <v>H</v>
      </c>
      <c r="E47" s="75" t="str">
        <f>IFERROR(IF(E$8="","NA",IF(E$8&lt;INDEX(T_EMP[START DATE],ROW($B47)-ROW($B$8)),"NE",IF(AND(INDEX(T_EMP[TERMINATION DATE],ROW($B47)-ROW($B$8))&gt;0,E$8&gt;INDEX(T_EMP[TERMINATION DATE],ROW($B47)-ROW($B$8))),"NE",IF(NOT(ISERROR(MATCH(E$8,L_HOLS,0))),"H",IF(INDEX(L_WKNDVAL,WEEKDAY(E$8,1))=1,"WKND",INDEX(T_LEAVE[LEAVE CODE],SUMPRODUCT(--(T_LEAVE[NAME]=$B47),--(T_LEAVE[DATE]&lt;=E$8),--(T_LEAVE[DATE]&gt;=E$8),ROW(T_LEAVE[LEAVE CODE]))-ROW(T_LEAVE[#Headers]))))))),"")</f>
        <v/>
      </c>
      <c r="F47" s="75" t="str">
        <f>IFERROR(IF(F$8="","NA",IF(F$8&lt;INDEX(T_EMP[START DATE],ROW($B47)-ROW($B$8)),"NE",IF(AND(INDEX(T_EMP[TERMINATION DATE],ROW($B47)-ROW($B$8))&gt;0,F$8&gt;INDEX(T_EMP[TERMINATION DATE],ROW($B47)-ROW($B$8))),"NE",IF(NOT(ISERROR(MATCH(F$8,L_HOLS,0))),"H",IF(INDEX(L_WKNDVAL,WEEKDAY(F$8,1))=1,"WKND",INDEX(T_LEAVE[LEAVE CODE],SUMPRODUCT(--(T_LEAVE[NAME]=$B47),--(T_LEAVE[DATE]&lt;=F$8),--(T_LEAVE[DATE]&gt;=F$8),ROW(T_LEAVE[LEAVE CODE]))-ROW(T_LEAVE[#Headers]))))))),"")</f>
        <v/>
      </c>
      <c r="G47" s="75" t="str">
        <f>IFERROR(IF(G$8="","NA",IF(G$8&lt;INDEX(T_EMP[START DATE],ROW($B47)-ROW($B$8)),"NE",IF(AND(INDEX(T_EMP[TERMINATION DATE],ROW($B47)-ROW($B$8))&gt;0,G$8&gt;INDEX(T_EMP[TERMINATION DATE],ROW($B47)-ROW($B$8))),"NE",IF(NOT(ISERROR(MATCH(G$8,L_HOLS,0))),"H",IF(INDEX(L_WKNDVAL,WEEKDAY(G$8,1))=1,"WKND",INDEX(T_LEAVE[LEAVE CODE],SUMPRODUCT(--(T_LEAVE[NAME]=$B47),--(T_LEAVE[DATE]&lt;=G$8),--(T_LEAVE[DATE]&gt;=G$8),ROW(T_LEAVE[LEAVE CODE]))-ROW(T_LEAVE[#Headers]))))))),"")</f>
        <v/>
      </c>
      <c r="H47" s="75" t="str">
        <f>IFERROR(IF(H$8="","NA",IF(H$8&lt;INDEX(T_EMP[START DATE],ROW($B47)-ROW($B$8)),"NE",IF(AND(INDEX(T_EMP[TERMINATION DATE],ROW($B47)-ROW($B$8))&gt;0,H$8&gt;INDEX(T_EMP[TERMINATION DATE],ROW($B47)-ROW($B$8))),"NE",IF(NOT(ISERROR(MATCH(H$8,L_HOLS,0))),"H",IF(INDEX(L_WKNDVAL,WEEKDAY(H$8,1))=1,"WKND",INDEX(T_LEAVE[LEAVE CODE],SUMPRODUCT(--(T_LEAVE[NAME]=$B47),--(T_LEAVE[DATE]&lt;=H$8),--(T_LEAVE[DATE]&gt;=H$8),ROW(T_LEAVE[LEAVE CODE]))-ROW(T_LEAVE[#Headers]))))))),"")</f>
        <v/>
      </c>
      <c r="I47" s="75" t="str">
        <f>IFERROR(IF(I$8="","NA",IF(I$8&lt;INDEX(T_EMP[START DATE],ROW($B47)-ROW($B$8)),"NE",IF(AND(INDEX(T_EMP[TERMINATION DATE],ROW($B47)-ROW($B$8))&gt;0,I$8&gt;INDEX(T_EMP[TERMINATION DATE],ROW($B47)-ROW($B$8))),"NE",IF(NOT(ISERROR(MATCH(I$8,L_HOLS,0))),"H",IF(INDEX(L_WKNDVAL,WEEKDAY(I$8,1))=1,"WKND",INDEX(T_LEAVE[LEAVE CODE],SUMPRODUCT(--(T_LEAVE[NAME]=$B47),--(T_LEAVE[DATE]&lt;=I$8),--(T_LEAVE[DATE]&gt;=I$8),ROW(T_LEAVE[LEAVE CODE]))-ROW(T_LEAVE[#Headers]))))))),"")</f>
        <v/>
      </c>
      <c r="J47" s="75" t="str">
        <f>IFERROR(IF(J$8="","NA",IF(J$8&lt;INDEX(T_EMP[START DATE],ROW($B47)-ROW($B$8)),"NE",IF(AND(INDEX(T_EMP[TERMINATION DATE],ROW($B47)-ROW($B$8))&gt;0,J$8&gt;INDEX(T_EMP[TERMINATION DATE],ROW($B47)-ROW($B$8))),"NE",IF(NOT(ISERROR(MATCH(J$8,L_HOLS,0))),"H",IF(INDEX(L_WKNDVAL,WEEKDAY(J$8,1))=1,"WKND",INDEX(T_LEAVE[LEAVE CODE],SUMPRODUCT(--(T_LEAVE[NAME]=$B47),--(T_LEAVE[DATE]&lt;=J$8),--(T_LEAVE[DATE]&gt;=J$8),ROW(T_LEAVE[LEAVE CODE]))-ROW(T_LEAVE[#Headers]))))))),"")</f>
        <v/>
      </c>
      <c r="K47" s="75" t="str">
        <f>IFERROR(IF(K$8="","NA",IF(K$8&lt;INDEX(T_EMP[START DATE],ROW($B47)-ROW($B$8)),"NE",IF(AND(INDEX(T_EMP[TERMINATION DATE],ROW($B47)-ROW($B$8))&gt;0,K$8&gt;INDEX(T_EMP[TERMINATION DATE],ROW($B47)-ROW($B$8))),"NE",IF(NOT(ISERROR(MATCH(K$8,L_HOLS,0))),"H",IF(INDEX(L_WKNDVAL,WEEKDAY(K$8,1))=1,"WKND",INDEX(T_LEAVE[LEAVE CODE],SUMPRODUCT(--(T_LEAVE[NAME]=$B47),--(T_LEAVE[DATE]&lt;=K$8),--(T_LEAVE[DATE]&gt;=K$8),ROW(T_LEAVE[LEAVE CODE]))-ROW(T_LEAVE[#Headers]))))))),"")</f>
        <v/>
      </c>
      <c r="L47" s="75" t="str">
        <f>IFERROR(IF(L$8="","NA",IF(L$8&lt;INDEX(T_EMP[START DATE],ROW($B47)-ROW($B$8)),"NE",IF(AND(INDEX(T_EMP[TERMINATION DATE],ROW($B47)-ROW($B$8))&gt;0,L$8&gt;INDEX(T_EMP[TERMINATION DATE],ROW($B47)-ROW($B$8))),"NE",IF(NOT(ISERROR(MATCH(L$8,L_HOLS,0))),"H",IF(INDEX(L_WKNDVAL,WEEKDAY(L$8,1))=1,"WKND",INDEX(T_LEAVE[LEAVE CODE],SUMPRODUCT(--(T_LEAVE[NAME]=$B47),--(T_LEAVE[DATE]&lt;=L$8),--(T_LEAVE[DATE]&gt;=L$8),ROW(T_LEAVE[LEAVE CODE]))-ROW(T_LEAVE[#Headers]))))))),"")</f>
        <v/>
      </c>
      <c r="M47" s="75" t="str">
        <f>IFERROR(IF(M$8="","NA",IF(M$8&lt;INDEX(T_EMP[START DATE],ROW($B47)-ROW($B$8)),"NE",IF(AND(INDEX(T_EMP[TERMINATION DATE],ROW($B47)-ROW($B$8))&gt;0,M$8&gt;INDEX(T_EMP[TERMINATION DATE],ROW($B47)-ROW($B$8))),"NE",IF(NOT(ISERROR(MATCH(M$8,L_HOLS,0))),"H",IF(INDEX(L_WKNDVAL,WEEKDAY(M$8,1))=1,"WKND",INDEX(T_LEAVE[LEAVE CODE],SUMPRODUCT(--(T_LEAVE[NAME]=$B47),--(T_LEAVE[DATE]&lt;=M$8),--(T_LEAVE[DATE]&gt;=M$8),ROW(T_LEAVE[LEAVE CODE]))-ROW(T_LEAVE[#Headers]))))))),"")</f>
        <v/>
      </c>
      <c r="N47" s="75" t="str">
        <f>IFERROR(IF(N$8="","NA",IF(N$8&lt;INDEX(T_EMP[START DATE],ROW($B47)-ROW($B$8)),"NE",IF(AND(INDEX(T_EMP[TERMINATION DATE],ROW($B47)-ROW($B$8))&gt;0,N$8&gt;INDEX(T_EMP[TERMINATION DATE],ROW($B47)-ROW($B$8))),"NE",IF(NOT(ISERROR(MATCH(N$8,L_HOLS,0))),"H",IF(INDEX(L_WKNDVAL,WEEKDAY(N$8,1))=1,"WKND",INDEX(T_LEAVE[LEAVE CODE],SUMPRODUCT(--(T_LEAVE[NAME]=$B47),--(T_LEAVE[DATE]&lt;=N$8),--(T_LEAVE[DATE]&gt;=N$8),ROW(T_LEAVE[LEAVE CODE]))-ROW(T_LEAVE[#Headers]))))))),"")</f>
        <v/>
      </c>
      <c r="O47" s="75" t="str">
        <f>IFERROR(IF(O$8="","NA",IF(O$8&lt;INDEX(T_EMP[START DATE],ROW($B47)-ROW($B$8)),"NE",IF(AND(INDEX(T_EMP[TERMINATION DATE],ROW($B47)-ROW($B$8))&gt;0,O$8&gt;INDEX(T_EMP[TERMINATION DATE],ROW($B47)-ROW($B$8))),"NE",IF(NOT(ISERROR(MATCH(O$8,L_HOLS,0))),"H",IF(INDEX(L_WKNDVAL,WEEKDAY(O$8,1))=1,"WKND",INDEX(T_LEAVE[LEAVE CODE],SUMPRODUCT(--(T_LEAVE[NAME]=$B47),--(T_LEAVE[DATE]&lt;=O$8),--(T_LEAVE[DATE]&gt;=O$8),ROW(T_LEAVE[LEAVE CODE]))-ROW(T_LEAVE[#Headers]))))))),"")</f>
        <v/>
      </c>
      <c r="P47" s="75" t="str">
        <f>IFERROR(IF(P$8="","NA",IF(P$8&lt;INDEX(T_EMP[START DATE],ROW($B47)-ROW($B$8)),"NE",IF(AND(INDEX(T_EMP[TERMINATION DATE],ROW($B47)-ROW($B$8))&gt;0,P$8&gt;INDEX(T_EMP[TERMINATION DATE],ROW($B47)-ROW($B$8))),"NE",IF(NOT(ISERROR(MATCH(P$8,L_HOLS,0))),"H",IF(INDEX(L_WKNDVAL,WEEKDAY(P$8,1))=1,"WKND",INDEX(T_LEAVE[LEAVE CODE],SUMPRODUCT(--(T_LEAVE[NAME]=$B47),--(T_LEAVE[DATE]&lt;=P$8),--(T_LEAVE[DATE]&gt;=P$8),ROW(T_LEAVE[LEAVE CODE]))-ROW(T_LEAVE[#Headers]))))))),"")</f>
        <v>H</v>
      </c>
      <c r="Q47" s="75" t="str">
        <f>IFERROR(IF(Q$8="","NA",IF(Q$8&lt;INDEX(T_EMP[START DATE],ROW($B47)-ROW($B$8)),"NE",IF(AND(INDEX(T_EMP[TERMINATION DATE],ROW($B47)-ROW($B$8))&gt;0,Q$8&gt;INDEX(T_EMP[TERMINATION DATE],ROW($B47)-ROW($B$8))),"NE",IF(NOT(ISERROR(MATCH(Q$8,L_HOLS,0))),"H",IF(INDEX(L_WKNDVAL,WEEKDAY(Q$8,1))=1,"WKND",INDEX(T_LEAVE[LEAVE CODE],SUMPRODUCT(--(T_LEAVE[NAME]=$B47),--(T_LEAVE[DATE]&lt;=Q$8),--(T_LEAVE[DATE]&gt;=Q$8),ROW(T_LEAVE[LEAVE CODE]))-ROW(T_LEAVE[#Headers]))))))),"")</f>
        <v/>
      </c>
      <c r="R47" s="75" t="str">
        <f>IFERROR(IF(R$8="","NA",IF(R$8&lt;INDEX(T_EMP[START DATE],ROW($B47)-ROW($B$8)),"NE",IF(AND(INDEX(T_EMP[TERMINATION DATE],ROW($B47)-ROW($B$8))&gt;0,R$8&gt;INDEX(T_EMP[TERMINATION DATE],ROW($B47)-ROW($B$8))),"NE",IF(NOT(ISERROR(MATCH(R$8,L_HOLS,0))),"H",IF(INDEX(L_WKNDVAL,WEEKDAY(R$8,1))=1,"WKND",INDEX(T_LEAVE[LEAVE CODE],SUMPRODUCT(--(T_LEAVE[NAME]=$B47),--(T_LEAVE[DATE]&lt;=R$8),--(T_LEAVE[DATE]&gt;=R$8),ROW(T_LEAVE[LEAVE CODE]))-ROW(T_LEAVE[#Headers]))))))),"")</f>
        <v/>
      </c>
      <c r="S47" s="75" t="str">
        <f>IFERROR(IF(S$8="","NA",IF(S$8&lt;INDEX(T_EMP[START DATE],ROW($B47)-ROW($B$8)),"NE",IF(AND(INDEX(T_EMP[TERMINATION DATE],ROW($B47)-ROW($B$8))&gt;0,S$8&gt;INDEX(T_EMP[TERMINATION DATE],ROW($B47)-ROW($B$8))),"NE",IF(NOT(ISERROR(MATCH(S$8,L_HOLS,0))),"H",IF(INDEX(L_WKNDVAL,WEEKDAY(S$8,1))=1,"WKND",INDEX(T_LEAVE[LEAVE CODE],SUMPRODUCT(--(T_LEAVE[NAME]=$B47),--(T_LEAVE[DATE]&lt;=S$8),--(T_LEAVE[DATE]&gt;=S$8),ROW(T_LEAVE[LEAVE CODE]))-ROW(T_LEAVE[#Headers]))))))),"")</f>
        <v/>
      </c>
      <c r="T47" s="75" t="str">
        <f>IFERROR(IF(T$8="","NA",IF(T$8&lt;INDEX(T_EMP[START DATE],ROW($B47)-ROW($B$8)),"NE",IF(AND(INDEX(T_EMP[TERMINATION DATE],ROW($B47)-ROW($B$8))&gt;0,T$8&gt;INDEX(T_EMP[TERMINATION DATE],ROW($B47)-ROW($B$8))),"NE",IF(NOT(ISERROR(MATCH(T$8,L_HOLS,0))),"H",IF(INDEX(L_WKNDVAL,WEEKDAY(T$8,1))=1,"WKND",INDEX(T_LEAVE[LEAVE CODE],SUMPRODUCT(--(T_LEAVE[NAME]=$B47),--(T_LEAVE[DATE]&lt;=T$8),--(T_LEAVE[DATE]&gt;=T$8),ROW(T_LEAVE[LEAVE CODE]))-ROW(T_LEAVE[#Headers]))))))),"")</f>
        <v/>
      </c>
      <c r="U47" s="75" t="str">
        <f>IFERROR(IF(U$8="","NA",IF(U$8&lt;INDEX(T_EMP[START DATE],ROW($B47)-ROW($B$8)),"NE",IF(AND(INDEX(T_EMP[TERMINATION DATE],ROW($B47)-ROW($B$8))&gt;0,U$8&gt;INDEX(T_EMP[TERMINATION DATE],ROW($B47)-ROW($B$8))),"NE",IF(NOT(ISERROR(MATCH(U$8,L_HOLS,0))),"H",IF(INDEX(L_WKNDVAL,WEEKDAY(U$8,1))=1,"WKND",INDEX(T_LEAVE[LEAVE CODE],SUMPRODUCT(--(T_LEAVE[NAME]=$B47),--(T_LEAVE[DATE]&lt;=U$8),--(T_LEAVE[DATE]&gt;=U$8),ROW(T_LEAVE[LEAVE CODE]))-ROW(T_LEAVE[#Headers]))))))),"")</f>
        <v/>
      </c>
      <c r="V47" s="75" t="str">
        <f>IFERROR(IF(V$8="","NA",IF(V$8&lt;INDEX(T_EMP[START DATE],ROW($B47)-ROW($B$8)),"NE",IF(AND(INDEX(T_EMP[TERMINATION DATE],ROW($B47)-ROW($B$8))&gt;0,V$8&gt;INDEX(T_EMP[TERMINATION DATE],ROW($B47)-ROW($B$8))),"NE",IF(NOT(ISERROR(MATCH(V$8,L_HOLS,0))),"H",IF(INDEX(L_WKNDVAL,WEEKDAY(V$8,1))=1,"WKND",INDEX(T_LEAVE[LEAVE CODE],SUMPRODUCT(--(T_LEAVE[NAME]=$B47),--(T_LEAVE[DATE]&lt;=V$8),--(T_LEAVE[DATE]&gt;=V$8),ROW(T_LEAVE[LEAVE CODE]))-ROW(T_LEAVE[#Headers]))))))),"")</f>
        <v/>
      </c>
      <c r="W47" s="75" t="str">
        <f>IFERROR(IF(W$8="","NA",IF(W$8&lt;INDEX(T_EMP[START DATE],ROW($B47)-ROW($B$8)),"NE",IF(AND(INDEX(T_EMP[TERMINATION DATE],ROW($B47)-ROW($B$8))&gt;0,W$8&gt;INDEX(T_EMP[TERMINATION DATE],ROW($B47)-ROW($B$8))),"NE",IF(NOT(ISERROR(MATCH(W$8,L_HOLS,0))),"H",IF(INDEX(L_WKNDVAL,WEEKDAY(W$8,1))=1,"WKND",INDEX(T_LEAVE[LEAVE CODE],SUMPRODUCT(--(T_LEAVE[NAME]=$B47),--(T_LEAVE[DATE]&lt;=W$8),--(T_LEAVE[DATE]&gt;=W$8),ROW(T_LEAVE[LEAVE CODE]))-ROW(T_LEAVE[#Headers]))))))),"")</f>
        <v/>
      </c>
      <c r="X47" s="75" t="str">
        <f>IFERROR(IF(X$8="","NA",IF(X$8&lt;INDEX(T_EMP[START DATE],ROW($B47)-ROW($B$8)),"NE",IF(AND(INDEX(T_EMP[TERMINATION DATE],ROW($B47)-ROW($B$8))&gt;0,X$8&gt;INDEX(T_EMP[TERMINATION DATE],ROW($B47)-ROW($B$8))),"NE",IF(NOT(ISERROR(MATCH(X$8,L_HOLS,0))),"H",IF(INDEX(L_WKNDVAL,WEEKDAY(X$8,1))=1,"WKND",INDEX(T_LEAVE[LEAVE CODE],SUMPRODUCT(--(T_LEAVE[NAME]=$B47),--(T_LEAVE[DATE]&lt;=X$8),--(T_LEAVE[DATE]&gt;=X$8),ROW(T_LEAVE[LEAVE CODE]))-ROW(T_LEAVE[#Headers]))))))),"")</f>
        <v/>
      </c>
      <c r="Y47" s="75" t="str">
        <f>IFERROR(IF(Y$8="","NA",IF(Y$8&lt;INDEX(T_EMP[START DATE],ROW($B47)-ROW($B$8)),"NE",IF(AND(INDEX(T_EMP[TERMINATION DATE],ROW($B47)-ROW($B$8))&gt;0,Y$8&gt;INDEX(T_EMP[TERMINATION DATE],ROW($B47)-ROW($B$8))),"NE",IF(NOT(ISERROR(MATCH(Y$8,L_HOLS,0))),"H",IF(INDEX(L_WKNDVAL,WEEKDAY(Y$8,1))=1,"WKND",INDEX(T_LEAVE[LEAVE CODE],SUMPRODUCT(--(T_LEAVE[NAME]=$B47),--(T_LEAVE[DATE]&lt;=Y$8),--(T_LEAVE[DATE]&gt;=Y$8),ROW(T_LEAVE[LEAVE CODE]))-ROW(T_LEAVE[#Headers]))))))),"")</f>
        <v/>
      </c>
      <c r="Z47" s="75" t="str">
        <f>IFERROR(IF(Z$8="","NA",IF(Z$8&lt;INDEX(T_EMP[START DATE],ROW($B47)-ROW($B$8)),"NE",IF(AND(INDEX(T_EMP[TERMINATION DATE],ROW($B47)-ROW($B$8))&gt;0,Z$8&gt;INDEX(T_EMP[TERMINATION DATE],ROW($B47)-ROW($B$8))),"NE",IF(NOT(ISERROR(MATCH(Z$8,L_HOLS,0))),"H",IF(INDEX(L_WKNDVAL,WEEKDAY(Z$8,1))=1,"WKND",INDEX(T_LEAVE[LEAVE CODE],SUMPRODUCT(--(T_LEAVE[NAME]=$B47),--(T_LEAVE[DATE]&lt;=Z$8),--(T_LEAVE[DATE]&gt;=Z$8),ROW(T_LEAVE[LEAVE CODE]))-ROW(T_LEAVE[#Headers]))))))),"")</f>
        <v/>
      </c>
      <c r="AA47" s="75" t="str">
        <f>IFERROR(IF(AA$8="","NA",IF(AA$8&lt;INDEX(T_EMP[START DATE],ROW($B47)-ROW($B$8)),"NE",IF(AND(INDEX(T_EMP[TERMINATION DATE],ROW($B47)-ROW($B$8))&gt;0,AA$8&gt;INDEX(T_EMP[TERMINATION DATE],ROW($B47)-ROW($B$8))),"NE",IF(NOT(ISERROR(MATCH(AA$8,L_HOLS,0))),"H",IF(INDEX(L_WKNDVAL,WEEKDAY(AA$8,1))=1,"WKND",INDEX(T_LEAVE[LEAVE CODE],SUMPRODUCT(--(T_LEAVE[NAME]=$B47),--(T_LEAVE[DATE]&lt;=AA$8),--(T_LEAVE[DATE]&gt;=AA$8),ROW(T_LEAVE[LEAVE CODE]))-ROW(T_LEAVE[#Headers]))))))),"")</f>
        <v/>
      </c>
      <c r="AB47" s="75" t="str">
        <f>IFERROR(IF(AB$8="","NA",IF(AB$8&lt;INDEX(T_EMP[START DATE],ROW($B47)-ROW($B$8)),"NE",IF(AND(INDEX(T_EMP[TERMINATION DATE],ROW($B47)-ROW($B$8))&gt;0,AB$8&gt;INDEX(T_EMP[TERMINATION DATE],ROW($B47)-ROW($B$8))),"NE",IF(NOT(ISERROR(MATCH(AB$8,L_HOLS,0))),"H",IF(INDEX(L_WKNDVAL,WEEKDAY(AB$8,1))=1,"WKND",INDEX(T_LEAVE[LEAVE CODE],SUMPRODUCT(--(T_LEAVE[NAME]=$B47),--(T_LEAVE[DATE]&lt;=AB$8),--(T_LEAVE[DATE]&gt;=AB$8),ROW(T_LEAVE[LEAVE CODE]))-ROW(T_LEAVE[#Headers]))))))),"")</f>
        <v/>
      </c>
      <c r="AC47" s="75" t="str">
        <f>IFERROR(IF(AC$8="","NA",IF(AC$8&lt;INDEX(T_EMP[START DATE],ROW($B47)-ROW($B$8)),"NE",IF(AND(INDEX(T_EMP[TERMINATION DATE],ROW($B47)-ROW($B$8))&gt;0,AC$8&gt;INDEX(T_EMP[TERMINATION DATE],ROW($B47)-ROW($B$8))),"NE",IF(NOT(ISERROR(MATCH(AC$8,L_HOLS,0))),"H",IF(INDEX(L_WKNDVAL,WEEKDAY(AC$8,1))=1,"WKND",INDEX(T_LEAVE[LEAVE CODE],SUMPRODUCT(--(T_LEAVE[NAME]=$B47),--(T_LEAVE[DATE]&lt;=AC$8),--(T_LEAVE[DATE]&gt;=AC$8),ROW(T_LEAVE[LEAVE CODE]))-ROW(T_LEAVE[#Headers]))))))),"")</f>
        <v/>
      </c>
      <c r="AD47" s="75" t="str">
        <f>IFERROR(IF(AD$8="","NA",IF(AD$8&lt;INDEX(T_EMP[START DATE],ROW($B47)-ROW($B$8)),"NE",IF(AND(INDEX(T_EMP[TERMINATION DATE],ROW($B47)-ROW($B$8))&gt;0,AD$8&gt;INDEX(T_EMP[TERMINATION DATE],ROW($B47)-ROW($B$8))),"NE",IF(NOT(ISERROR(MATCH(AD$8,L_HOLS,0))),"H",IF(INDEX(L_WKNDVAL,WEEKDAY(AD$8,1))=1,"WKND",INDEX(T_LEAVE[LEAVE CODE],SUMPRODUCT(--(T_LEAVE[NAME]=$B47),--(T_LEAVE[DATE]&lt;=AD$8),--(T_LEAVE[DATE]&gt;=AD$8),ROW(T_LEAVE[LEAVE CODE]))-ROW(T_LEAVE[#Headers]))))))),"")</f>
        <v/>
      </c>
      <c r="AE47" s="75" t="str">
        <f>IFERROR(IF(AE$8="","NA",IF(AE$8&lt;INDEX(T_EMP[START DATE],ROW($B47)-ROW($B$8)),"NE",IF(AND(INDEX(T_EMP[TERMINATION DATE],ROW($B47)-ROW($B$8))&gt;0,AE$8&gt;INDEX(T_EMP[TERMINATION DATE],ROW($B47)-ROW($B$8))),"NE",IF(NOT(ISERROR(MATCH(AE$8,L_HOLS,0))),"H",IF(INDEX(L_WKNDVAL,WEEKDAY(AE$8,1))=1,"WKND",INDEX(T_LEAVE[LEAVE CODE],SUMPRODUCT(--(T_LEAVE[NAME]=$B47),--(T_LEAVE[DATE]&lt;=AE$8),--(T_LEAVE[DATE]&gt;=AE$8),ROW(T_LEAVE[LEAVE CODE]))-ROW(T_LEAVE[#Headers]))))))),"")</f>
        <v/>
      </c>
      <c r="AF47" s="75" t="str">
        <f>IFERROR(IF(AF$8="","NA",IF(AF$8&lt;INDEX(T_EMP[START DATE],ROW($B47)-ROW($B$8)),"NE",IF(AND(INDEX(T_EMP[TERMINATION DATE],ROW($B47)-ROW($B$8))&gt;0,AF$8&gt;INDEX(T_EMP[TERMINATION DATE],ROW($B47)-ROW($B$8))),"NE",IF(NOT(ISERROR(MATCH(AF$8,L_HOLS,0))),"H",IF(INDEX(L_WKNDVAL,WEEKDAY(AF$8,1))=1,"WKND",INDEX(T_LEAVE[LEAVE CODE],SUMPRODUCT(--(T_LEAVE[NAME]=$B47),--(T_LEAVE[DATE]&lt;=AF$8),--(T_LEAVE[DATE]&gt;=AF$8),ROW(T_LEAVE[LEAVE CODE]))-ROW(T_LEAVE[#Headers]))))))),"")</f>
        <v/>
      </c>
      <c r="AG47" s="75" t="str">
        <f>IFERROR(IF(AG$8="","NA",IF(AG$8&lt;INDEX(T_EMP[START DATE],ROW($B47)-ROW($B$8)),"NE",IF(AND(INDEX(T_EMP[TERMINATION DATE],ROW($B47)-ROW($B$8))&gt;0,AG$8&gt;INDEX(T_EMP[TERMINATION DATE],ROW($B47)-ROW($B$8))),"NE",IF(NOT(ISERROR(MATCH(AG$8,L_HOLS,0))),"H",IF(INDEX(L_WKNDVAL,WEEKDAY(AG$8,1))=1,"WKND",INDEX(T_LEAVE[LEAVE CODE],SUMPRODUCT(--(T_LEAVE[NAME]=$B47),--(T_LEAVE[DATE]&lt;=AG$8),--(T_LEAVE[DATE]&gt;=AG$8),ROW(T_LEAVE[LEAVE CODE]))-ROW(T_LEAVE[#Headers]))))))),"")</f>
        <v/>
      </c>
      <c r="AH47" s="75" t="str">
        <f>IFERROR(IF(AH$8="","NA",IF(AH$8&lt;INDEX(T_EMP[START DATE],ROW($B47)-ROW($B$8)),"NE",IF(AND(INDEX(T_EMP[TERMINATION DATE],ROW($B47)-ROW($B$8))&gt;0,AH$8&gt;INDEX(T_EMP[TERMINATION DATE],ROW($B47)-ROW($B$8))),"NE",IF(NOT(ISERROR(MATCH(AH$8,L_HOLS,0))),"H",IF(INDEX(L_WKNDVAL,WEEKDAY(AH$8,1))=1,"WKND",INDEX(T_LEAVE[LEAVE CODE],SUMPRODUCT(--(T_LEAVE[NAME]=$B47),--(T_LEAVE[DATE]&lt;=AH$8),--(T_LEAVE[DATE]&gt;=AH$8),ROW(T_LEAVE[LEAVE CODE]))-ROW(T_LEAVE[#Headers]))))))),"")</f>
        <v/>
      </c>
      <c r="AJ47" s="88">
        <f>IF(OR($B47="",AJ$8=""),"",COUNTIFS($D47:$AH47,AJ$8)*INDEX(T_LEAVETYPE[DAY VALUE],1))</f>
        <v>0</v>
      </c>
      <c r="AK47" s="88">
        <f>IF(OR($B47="",AK$8=""),"",COUNTIFS($D47:$AH47,AK$8)*INDEX(T_LEAVETYPE[DAY VALUE],1))</f>
        <v>0</v>
      </c>
      <c r="AL47" s="88">
        <f>IF(OR($B47="",AL$8=""),"",COUNTIFS($D47:$AH47,AL$8)*INDEX(T_LEAVETYPE[DAY VALUE],1))</f>
        <v>0</v>
      </c>
      <c r="AM47" s="88">
        <f>IF(OR($B47="",AM$8=""),"",COUNTIFS($D47:$AH47,AM$8)*INDEX(T_LEAVETYPE[DAY VALUE],1))</f>
        <v>0</v>
      </c>
      <c r="AN47" s="88">
        <f>IF(OR($B47="",AN$8=""),"",COUNTIFS($D47:$AH47,AN$8)*INDEX(T_LEAVETYPE[DAY VALUE],1))</f>
        <v>0</v>
      </c>
      <c r="AO47" s="88">
        <f>IF(OR($B47="",AO$8=""),"",COUNTIFS($D47:$AH47,AO$8)*INDEX(T_LEAVETYPE[DAY VALUE],6))</f>
        <v>0</v>
      </c>
      <c r="AP47" s="88">
        <f>IF(OR($B47="",AP$8=""),"",COUNTIFS($D47:$AH47,AP$8)*INDEX(T_LEAVETYPE[DAY VALUE],7))</f>
        <v>0</v>
      </c>
      <c r="AQ47" s="88">
        <f>IF(OR($B47="",AQ$8=""),"",COUNTIFS($D47:$AH47,AQ$8)*INDEX(T_LEAVETYPE[DAY VALUE],8))</f>
        <v>0</v>
      </c>
      <c r="AR47" s="89">
        <f t="shared" si="5"/>
        <v>0</v>
      </c>
    </row>
    <row r="48" spans="1:44" x14ac:dyDescent="0.25">
      <c r="A48" s="90">
        <f t="shared" si="4"/>
        <v>40</v>
      </c>
      <c r="B48" s="74" t="str">
        <f>IFERROR(INDEX(T_EMP[NAME],ROW(B48)-ROW($B$8)),"")</f>
        <v>SAMONTE, BETTY JANE</v>
      </c>
      <c r="C48" s="91" t="str">
        <f>IFERROR(INDEX(T_EMP[DEPARTMENT],ROW(B48)-ROW($C$8)),"")</f>
        <v>OB SALES</v>
      </c>
      <c r="D48" s="75" t="str">
        <f>IFERROR(IF(D$8="","NA",IF(D$8&lt;INDEX(T_EMP[START DATE],ROW($B48)-ROW($B$8)),"NE",IF(AND(INDEX(T_EMP[TERMINATION DATE],ROW($B48)-ROW($B$8))&gt;0,D$8&gt;INDEX(T_EMP[TERMINATION DATE],ROW($B48)-ROW($B$8))),"NE",IF(NOT(ISERROR(MATCH(D$8,L_HOLS,0))),"H",IF(INDEX(L_WKNDVAL,WEEKDAY(D$8,1))=1,"WKND",INDEX(T_LEAVE[LEAVE CODE],SUMPRODUCT(--(T_LEAVE[NAME]=$B48),--(T_LEAVE[DATE]&lt;=D$8),--(T_LEAVE[DATE]&gt;=D$8),ROW(T_LEAVE[LEAVE CODE]))-ROW(T_LEAVE[#Headers]))))))),"")</f>
        <v>H</v>
      </c>
      <c r="E48" s="75" t="str">
        <f>IFERROR(IF(E$8="","NA",IF(E$8&lt;INDEX(T_EMP[START DATE],ROW($B48)-ROW($B$8)),"NE",IF(AND(INDEX(T_EMP[TERMINATION DATE],ROW($B48)-ROW($B$8))&gt;0,E$8&gt;INDEX(T_EMP[TERMINATION DATE],ROW($B48)-ROW($B$8))),"NE",IF(NOT(ISERROR(MATCH(E$8,L_HOLS,0))),"H",IF(INDEX(L_WKNDVAL,WEEKDAY(E$8,1))=1,"WKND",INDEX(T_LEAVE[LEAVE CODE],SUMPRODUCT(--(T_LEAVE[NAME]=$B48),--(T_LEAVE[DATE]&lt;=E$8),--(T_LEAVE[DATE]&gt;=E$8),ROW(T_LEAVE[LEAVE CODE]))-ROW(T_LEAVE[#Headers]))))))),"")</f>
        <v/>
      </c>
      <c r="F48" s="75" t="str">
        <f>IFERROR(IF(F$8="","NA",IF(F$8&lt;INDEX(T_EMP[START DATE],ROW($B48)-ROW($B$8)),"NE",IF(AND(INDEX(T_EMP[TERMINATION DATE],ROW($B48)-ROW($B$8))&gt;0,F$8&gt;INDEX(T_EMP[TERMINATION DATE],ROW($B48)-ROW($B$8))),"NE",IF(NOT(ISERROR(MATCH(F$8,L_HOLS,0))),"H",IF(INDEX(L_WKNDVAL,WEEKDAY(F$8,1))=1,"WKND",INDEX(T_LEAVE[LEAVE CODE],SUMPRODUCT(--(T_LEAVE[NAME]=$B48),--(T_LEAVE[DATE]&lt;=F$8),--(T_LEAVE[DATE]&gt;=F$8),ROW(T_LEAVE[LEAVE CODE]))-ROW(T_LEAVE[#Headers]))))))),"")</f>
        <v/>
      </c>
      <c r="G48" s="75" t="str">
        <f>IFERROR(IF(G$8="","NA",IF(G$8&lt;INDEX(T_EMP[START DATE],ROW($B48)-ROW($B$8)),"NE",IF(AND(INDEX(T_EMP[TERMINATION DATE],ROW($B48)-ROW($B$8))&gt;0,G$8&gt;INDEX(T_EMP[TERMINATION DATE],ROW($B48)-ROW($B$8))),"NE",IF(NOT(ISERROR(MATCH(G$8,L_HOLS,0))),"H",IF(INDEX(L_WKNDVAL,WEEKDAY(G$8,1))=1,"WKND",INDEX(T_LEAVE[LEAVE CODE],SUMPRODUCT(--(T_LEAVE[NAME]=$B48),--(T_LEAVE[DATE]&lt;=G$8),--(T_LEAVE[DATE]&gt;=G$8),ROW(T_LEAVE[LEAVE CODE]))-ROW(T_LEAVE[#Headers]))))))),"")</f>
        <v/>
      </c>
      <c r="H48" s="75" t="str">
        <f>IFERROR(IF(H$8="","NA",IF(H$8&lt;INDEX(T_EMP[START DATE],ROW($B48)-ROW($B$8)),"NE",IF(AND(INDEX(T_EMP[TERMINATION DATE],ROW($B48)-ROW($B$8))&gt;0,H$8&gt;INDEX(T_EMP[TERMINATION DATE],ROW($B48)-ROW($B$8))),"NE",IF(NOT(ISERROR(MATCH(H$8,L_HOLS,0))),"H",IF(INDEX(L_WKNDVAL,WEEKDAY(H$8,1))=1,"WKND",INDEX(T_LEAVE[LEAVE CODE],SUMPRODUCT(--(T_LEAVE[NAME]=$B48),--(T_LEAVE[DATE]&lt;=H$8),--(T_LEAVE[DATE]&gt;=H$8),ROW(T_LEAVE[LEAVE CODE]))-ROW(T_LEAVE[#Headers]))))))),"")</f>
        <v/>
      </c>
      <c r="I48" s="75" t="str">
        <f>IFERROR(IF(I$8="","NA",IF(I$8&lt;INDEX(T_EMP[START DATE],ROW($B48)-ROW($B$8)),"NE",IF(AND(INDEX(T_EMP[TERMINATION DATE],ROW($B48)-ROW($B$8))&gt;0,I$8&gt;INDEX(T_EMP[TERMINATION DATE],ROW($B48)-ROW($B$8))),"NE",IF(NOT(ISERROR(MATCH(I$8,L_HOLS,0))),"H",IF(INDEX(L_WKNDVAL,WEEKDAY(I$8,1))=1,"WKND",INDEX(T_LEAVE[LEAVE CODE],SUMPRODUCT(--(T_LEAVE[NAME]=$B48),--(T_LEAVE[DATE]&lt;=I$8),--(T_LEAVE[DATE]&gt;=I$8),ROW(T_LEAVE[LEAVE CODE]))-ROW(T_LEAVE[#Headers]))))))),"")</f>
        <v/>
      </c>
      <c r="J48" s="75" t="str">
        <f>IFERROR(IF(J$8="","NA",IF(J$8&lt;INDEX(T_EMP[START DATE],ROW($B48)-ROW($B$8)),"NE",IF(AND(INDEX(T_EMP[TERMINATION DATE],ROW($B48)-ROW($B$8))&gt;0,J$8&gt;INDEX(T_EMP[TERMINATION DATE],ROW($B48)-ROW($B$8))),"NE",IF(NOT(ISERROR(MATCH(J$8,L_HOLS,0))),"H",IF(INDEX(L_WKNDVAL,WEEKDAY(J$8,1))=1,"WKND",INDEX(T_LEAVE[LEAVE CODE],SUMPRODUCT(--(T_LEAVE[NAME]=$B48),--(T_LEAVE[DATE]&lt;=J$8),--(T_LEAVE[DATE]&gt;=J$8),ROW(T_LEAVE[LEAVE CODE]))-ROW(T_LEAVE[#Headers]))))))),"")</f>
        <v/>
      </c>
      <c r="K48" s="75" t="str">
        <f>IFERROR(IF(K$8="","NA",IF(K$8&lt;INDEX(T_EMP[START DATE],ROW($B48)-ROW($B$8)),"NE",IF(AND(INDEX(T_EMP[TERMINATION DATE],ROW($B48)-ROW($B$8))&gt;0,K$8&gt;INDEX(T_EMP[TERMINATION DATE],ROW($B48)-ROW($B$8))),"NE",IF(NOT(ISERROR(MATCH(K$8,L_HOLS,0))),"H",IF(INDEX(L_WKNDVAL,WEEKDAY(K$8,1))=1,"WKND",INDEX(T_LEAVE[LEAVE CODE],SUMPRODUCT(--(T_LEAVE[NAME]=$B48),--(T_LEAVE[DATE]&lt;=K$8),--(T_LEAVE[DATE]&gt;=K$8),ROW(T_LEAVE[LEAVE CODE]))-ROW(T_LEAVE[#Headers]))))))),"")</f>
        <v/>
      </c>
      <c r="L48" s="75" t="str">
        <f>IFERROR(IF(L$8="","NA",IF(L$8&lt;INDEX(T_EMP[START DATE],ROW($B48)-ROW($B$8)),"NE",IF(AND(INDEX(T_EMP[TERMINATION DATE],ROW($B48)-ROW($B$8))&gt;0,L$8&gt;INDEX(T_EMP[TERMINATION DATE],ROW($B48)-ROW($B$8))),"NE",IF(NOT(ISERROR(MATCH(L$8,L_HOLS,0))),"H",IF(INDEX(L_WKNDVAL,WEEKDAY(L$8,1))=1,"WKND",INDEX(T_LEAVE[LEAVE CODE],SUMPRODUCT(--(T_LEAVE[NAME]=$B48),--(T_LEAVE[DATE]&lt;=L$8),--(T_LEAVE[DATE]&gt;=L$8),ROW(T_LEAVE[LEAVE CODE]))-ROW(T_LEAVE[#Headers]))))))),"")</f>
        <v/>
      </c>
      <c r="M48" s="75" t="str">
        <f>IFERROR(IF(M$8="","NA",IF(M$8&lt;INDEX(T_EMP[START DATE],ROW($B48)-ROW($B$8)),"NE",IF(AND(INDEX(T_EMP[TERMINATION DATE],ROW($B48)-ROW($B$8))&gt;0,M$8&gt;INDEX(T_EMP[TERMINATION DATE],ROW($B48)-ROW($B$8))),"NE",IF(NOT(ISERROR(MATCH(M$8,L_HOLS,0))),"H",IF(INDEX(L_WKNDVAL,WEEKDAY(M$8,1))=1,"WKND",INDEX(T_LEAVE[LEAVE CODE],SUMPRODUCT(--(T_LEAVE[NAME]=$B48),--(T_LEAVE[DATE]&lt;=M$8),--(T_LEAVE[DATE]&gt;=M$8),ROW(T_LEAVE[LEAVE CODE]))-ROW(T_LEAVE[#Headers]))))))),"")</f>
        <v/>
      </c>
      <c r="N48" s="75" t="str">
        <f>IFERROR(IF(N$8="","NA",IF(N$8&lt;INDEX(T_EMP[START DATE],ROW($B48)-ROW($B$8)),"NE",IF(AND(INDEX(T_EMP[TERMINATION DATE],ROW($B48)-ROW($B$8))&gt;0,N$8&gt;INDEX(T_EMP[TERMINATION DATE],ROW($B48)-ROW($B$8))),"NE",IF(NOT(ISERROR(MATCH(N$8,L_HOLS,0))),"H",IF(INDEX(L_WKNDVAL,WEEKDAY(N$8,1))=1,"WKND",INDEX(T_LEAVE[LEAVE CODE],SUMPRODUCT(--(T_LEAVE[NAME]=$B48),--(T_LEAVE[DATE]&lt;=N$8),--(T_LEAVE[DATE]&gt;=N$8),ROW(T_LEAVE[LEAVE CODE]))-ROW(T_LEAVE[#Headers]))))))),"")</f>
        <v/>
      </c>
      <c r="O48" s="75" t="str">
        <f>IFERROR(IF(O$8="","NA",IF(O$8&lt;INDEX(T_EMP[START DATE],ROW($B48)-ROW($B$8)),"NE",IF(AND(INDEX(T_EMP[TERMINATION DATE],ROW($B48)-ROW($B$8))&gt;0,O$8&gt;INDEX(T_EMP[TERMINATION DATE],ROW($B48)-ROW($B$8))),"NE",IF(NOT(ISERROR(MATCH(O$8,L_HOLS,0))),"H",IF(INDEX(L_WKNDVAL,WEEKDAY(O$8,1))=1,"WKND",INDEX(T_LEAVE[LEAVE CODE],SUMPRODUCT(--(T_LEAVE[NAME]=$B48),--(T_LEAVE[DATE]&lt;=O$8),--(T_LEAVE[DATE]&gt;=O$8),ROW(T_LEAVE[LEAVE CODE]))-ROW(T_LEAVE[#Headers]))))))),"")</f>
        <v/>
      </c>
      <c r="P48" s="75" t="str">
        <f>IFERROR(IF(P$8="","NA",IF(P$8&lt;INDEX(T_EMP[START DATE],ROW($B48)-ROW($B$8)),"NE",IF(AND(INDEX(T_EMP[TERMINATION DATE],ROW($B48)-ROW($B$8))&gt;0,P$8&gt;INDEX(T_EMP[TERMINATION DATE],ROW($B48)-ROW($B$8))),"NE",IF(NOT(ISERROR(MATCH(P$8,L_HOLS,0))),"H",IF(INDEX(L_WKNDVAL,WEEKDAY(P$8,1))=1,"WKND",INDEX(T_LEAVE[LEAVE CODE],SUMPRODUCT(--(T_LEAVE[NAME]=$B48),--(T_LEAVE[DATE]&lt;=P$8),--(T_LEAVE[DATE]&gt;=P$8),ROW(T_LEAVE[LEAVE CODE]))-ROW(T_LEAVE[#Headers]))))))),"")</f>
        <v>H</v>
      </c>
      <c r="Q48" s="75" t="str">
        <f>IFERROR(IF(Q$8="","NA",IF(Q$8&lt;INDEX(T_EMP[START DATE],ROW($B48)-ROW($B$8)),"NE",IF(AND(INDEX(T_EMP[TERMINATION DATE],ROW($B48)-ROW($B$8))&gt;0,Q$8&gt;INDEX(T_EMP[TERMINATION DATE],ROW($B48)-ROW($B$8))),"NE",IF(NOT(ISERROR(MATCH(Q$8,L_HOLS,0))),"H",IF(INDEX(L_WKNDVAL,WEEKDAY(Q$8,1))=1,"WKND",INDEX(T_LEAVE[LEAVE CODE],SUMPRODUCT(--(T_LEAVE[NAME]=$B48),--(T_LEAVE[DATE]&lt;=Q$8),--(T_LEAVE[DATE]&gt;=Q$8),ROW(T_LEAVE[LEAVE CODE]))-ROW(T_LEAVE[#Headers]))))))),"")</f>
        <v/>
      </c>
      <c r="R48" s="75" t="str">
        <f>IFERROR(IF(R$8="","NA",IF(R$8&lt;INDEX(T_EMP[START DATE],ROW($B48)-ROW($B$8)),"NE",IF(AND(INDEX(T_EMP[TERMINATION DATE],ROW($B48)-ROW($B$8))&gt;0,R$8&gt;INDEX(T_EMP[TERMINATION DATE],ROW($B48)-ROW($B$8))),"NE",IF(NOT(ISERROR(MATCH(R$8,L_HOLS,0))),"H",IF(INDEX(L_WKNDVAL,WEEKDAY(R$8,1))=1,"WKND",INDEX(T_LEAVE[LEAVE CODE],SUMPRODUCT(--(T_LEAVE[NAME]=$B48),--(T_LEAVE[DATE]&lt;=R$8),--(T_LEAVE[DATE]&gt;=R$8),ROW(T_LEAVE[LEAVE CODE]))-ROW(T_LEAVE[#Headers]))))))),"")</f>
        <v/>
      </c>
      <c r="S48" s="75" t="str">
        <f>IFERROR(IF(S$8="","NA",IF(S$8&lt;INDEX(T_EMP[START DATE],ROW($B48)-ROW($B$8)),"NE",IF(AND(INDEX(T_EMP[TERMINATION DATE],ROW($B48)-ROW($B$8))&gt;0,S$8&gt;INDEX(T_EMP[TERMINATION DATE],ROW($B48)-ROW($B$8))),"NE",IF(NOT(ISERROR(MATCH(S$8,L_HOLS,0))),"H",IF(INDEX(L_WKNDVAL,WEEKDAY(S$8,1))=1,"WKND",INDEX(T_LEAVE[LEAVE CODE],SUMPRODUCT(--(T_LEAVE[NAME]=$B48),--(T_LEAVE[DATE]&lt;=S$8),--(T_LEAVE[DATE]&gt;=S$8),ROW(T_LEAVE[LEAVE CODE]))-ROW(T_LEAVE[#Headers]))))))),"")</f>
        <v/>
      </c>
      <c r="T48" s="75" t="str">
        <f>IFERROR(IF(T$8="","NA",IF(T$8&lt;INDEX(T_EMP[START DATE],ROW($B48)-ROW($B$8)),"NE",IF(AND(INDEX(T_EMP[TERMINATION DATE],ROW($B48)-ROW($B$8))&gt;0,T$8&gt;INDEX(T_EMP[TERMINATION DATE],ROW($B48)-ROW($B$8))),"NE",IF(NOT(ISERROR(MATCH(T$8,L_HOLS,0))),"H",IF(INDEX(L_WKNDVAL,WEEKDAY(T$8,1))=1,"WKND",INDEX(T_LEAVE[LEAVE CODE],SUMPRODUCT(--(T_LEAVE[NAME]=$B48),--(T_LEAVE[DATE]&lt;=T$8),--(T_LEAVE[DATE]&gt;=T$8),ROW(T_LEAVE[LEAVE CODE]))-ROW(T_LEAVE[#Headers]))))))),"")</f>
        <v/>
      </c>
      <c r="U48" s="75" t="str">
        <f>IFERROR(IF(U$8="","NA",IF(U$8&lt;INDEX(T_EMP[START DATE],ROW($B48)-ROW($B$8)),"NE",IF(AND(INDEX(T_EMP[TERMINATION DATE],ROW($B48)-ROW($B$8))&gt;0,U$8&gt;INDEX(T_EMP[TERMINATION DATE],ROW($B48)-ROW($B$8))),"NE",IF(NOT(ISERROR(MATCH(U$8,L_HOLS,0))),"H",IF(INDEX(L_WKNDVAL,WEEKDAY(U$8,1))=1,"WKND",INDEX(T_LEAVE[LEAVE CODE],SUMPRODUCT(--(T_LEAVE[NAME]=$B48),--(T_LEAVE[DATE]&lt;=U$8),--(T_LEAVE[DATE]&gt;=U$8),ROW(T_LEAVE[LEAVE CODE]))-ROW(T_LEAVE[#Headers]))))))),"")</f>
        <v/>
      </c>
      <c r="V48" s="75" t="str">
        <f>IFERROR(IF(V$8="","NA",IF(V$8&lt;INDEX(T_EMP[START DATE],ROW($B48)-ROW($B$8)),"NE",IF(AND(INDEX(T_EMP[TERMINATION DATE],ROW($B48)-ROW($B$8))&gt;0,V$8&gt;INDEX(T_EMP[TERMINATION DATE],ROW($B48)-ROW($B$8))),"NE",IF(NOT(ISERROR(MATCH(V$8,L_HOLS,0))),"H",IF(INDEX(L_WKNDVAL,WEEKDAY(V$8,1))=1,"WKND",INDEX(T_LEAVE[LEAVE CODE],SUMPRODUCT(--(T_LEAVE[NAME]=$B48),--(T_LEAVE[DATE]&lt;=V$8),--(T_LEAVE[DATE]&gt;=V$8),ROW(T_LEAVE[LEAVE CODE]))-ROW(T_LEAVE[#Headers]))))))),"")</f>
        <v/>
      </c>
      <c r="W48" s="75" t="str">
        <f>IFERROR(IF(W$8="","NA",IF(W$8&lt;INDEX(T_EMP[START DATE],ROW($B48)-ROW($B$8)),"NE",IF(AND(INDEX(T_EMP[TERMINATION DATE],ROW($B48)-ROW($B$8))&gt;0,W$8&gt;INDEX(T_EMP[TERMINATION DATE],ROW($B48)-ROW($B$8))),"NE",IF(NOT(ISERROR(MATCH(W$8,L_HOLS,0))),"H",IF(INDEX(L_WKNDVAL,WEEKDAY(W$8,1))=1,"WKND",INDEX(T_LEAVE[LEAVE CODE],SUMPRODUCT(--(T_LEAVE[NAME]=$B48),--(T_LEAVE[DATE]&lt;=W$8),--(T_LEAVE[DATE]&gt;=W$8),ROW(T_LEAVE[LEAVE CODE]))-ROW(T_LEAVE[#Headers]))))))),"")</f>
        <v/>
      </c>
      <c r="X48" s="75" t="str">
        <f>IFERROR(IF(X$8="","NA",IF(X$8&lt;INDEX(T_EMP[START DATE],ROW($B48)-ROW($B$8)),"NE",IF(AND(INDEX(T_EMP[TERMINATION DATE],ROW($B48)-ROW($B$8))&gt;0,X$8&gt;INDEX(T_EMP[TERMINATION DATE],ROW($B48)-ROW($B$8))),"NE",IF(NOT(ISERROR(MATCH(X$8,L_HOLS,0))),"H",IF(INDEX(L_WKNDVAL,WEEKDAY(X$8,1))=1,"WKND",INDEX(T_LEAVE[LEAVE CODE],SUMPRODUCT(--(T_LEAVE[NAME]=$B48),--(T_LEAVE[DATE]&lt;=X$8),--(T_LEAVE[DATE]&gt;=X$8),ROW(T_LEAVE[LEAVE CODE]))-ROW(T_LEAVE[#Headers]))))))),"")</f>
        <v/>
      </c>
      <c r="Y48" s="75" t="str">
        <f>IFERROR(IF(Y$8="","NA",IF(Y$8&lt;INDEX(T_EMP[START DATE],ROW($B48)-ROW($B$8)),"NE",IF(AND(INDEX(T_EMP[TERMINATION DATE],ROW($B48)-ROW($B$8))&gt;0,Y$8&gt;INDEX(T_EMP[TERMINATION DATE],ROW($B48)-ROW($B$8))),"NE",IF(NOT(ISERROR(MATCH(Y$8,L_HOLS,0))),"H",IF(INDEX(L_WKNDVAL,WEEKDAY(Y$8,1))=1,"WKND",INDEX(T_LEAVE[LEAVE CODE],SUMPRODUCT(--(T_LEAVE[NAME]=$B48),--(T_LEAVE[DATE]&lt;=Y$8),--(T_LEAVE[DATE]&gt;=Y$8),ROW(T_LEAVE[LEAVE CODE]))-ROW(T_LEAVE[#Headers]))))))),"")</f>
        <v/>
      </c>
      <c r="Z48" s="75" t="str">
        <f>IFERROR(IF(Z$8="","NA",IF(Z$8&lt;INDEX(T_EMP[START DATE],ROW($B48)-ROW($B$8)),"NE",IF(AND(INDEX(T_EMP[TERMINATION DATE],ROW($B48)-ROW($B$8))&gt;0,Z$8&gt;INDEX(T_EMP[TERMINATION DATE],ROW($B48)-ROW($B$8))),"NE",IF(NOT(ISERROR(MATCH(Z$8,L_HOLS,0))),"H",IF(INDEX(L_WKNDVAL,WEEKDAY(Z$8,1))=1,"WKND",INDEX(T_LEAVE[LEAVE CODE],SUMPRODUCT(--(T_LEAVE[NAME]=$B48),--(T_LEAVE[DATE]&lt;=Z$8),--(T_LEAVE[DATE]&gt;=Z$8),ROW(T_LEAVE[LEAVE CODE]))-ROW(T_LEAVE[#Headers]))))))),"")</f>
        <v/>
      </c>
      <c r="AA48" s="75" t="str">
        <f>IFERROR(IF(AA$8="","NA",IF(AA$8&lt;INDEX(T_EMP[START DATE],ROW($B48)-ROW($B$8)),"NE",IF(AND(INDEX(T_EMP[TERMINATION DATE],ROW($B48)-ROW($B$8))&gt;0,AA$8&gt;INDEX(T_EMP[TERMINATION DATE],ROW($B48)-ROW($B$8))),"NE",IF(NOT(ISERROR(MATCH(AA$8,L_HOLS,0))),"H",IF(INDEX(L_WKNDVAL,WEEKDAY(AA$8,1))=1,"WKND",INDEX(T_LEAVE[LEAVE CODE],SUMPRODUCT(--(T_LEAVE[NAME]=$B48),--(T_LEAVE[DATE]&lt;=AA$8),--(T_LEAVE[DATE]&gt;=AA$8),ROW(T_LEAVE[LEAVE CODE]))-ROW(T_LEAVE[#Headers]))))))),"")</f>
        <v/>
      </c>
      <c r="AB48" s="75" t="str">
        <f>IFERROR(IF(AB$8="","NA",IF(AB$8&lt;INDEX(T_EMP[START DATE],ROW($B48)-ROW($B$8)),"NE",IF(AND(INDEX(T_EMP[TERMINATION DATE],ROW($B48)-ROW($B$8))&gt;0,AB$8&gt;INDEX(T_EMP[TERMINATION DATE],ROW($B48)-ROW($B$8))),"NE",IF(NOT(ISERROR(MATCH(AB$8,L_HOLS,0))),"H",IF(INDEX(L_WKNDVAL,WEEKDAY(AB$8,1))=1,"WKND",INDEX(T_LEAVE[LEAVE CODE],SUMPRODUCT(--(T_LEAVE[NAME]=$B48),--(T_LEAVE[DATE]&lt;=AB$8),--(T_LEAVE[DATE]&gt;=AB$8),ROW(T_LEAVE[LEAVE CODE]))-ROW(T_LEAVE[#Headers]))))))),"")</f>
        <v/>
      </c>
      <c r="AC48" s="75" t="str">
        <f>IFERROR(IF(AC$8="","NA",IF(AC$8&lt;INDEX(T_EMP[START DATE],ROW($B48)-ROW($B$8)),"NE",IF(AND(INDEX(T_EMP[TERMINATION DATE],ROW($B48)-ROW($B$8))&gt;0,AC$8&gt;INDEX(T_EMP[TERMINATION DATE],ROW($B48)-ROW($B$8))),"NE",IF(NOT(ISERROR(MATCH(AC$8,L_HOLS,0))),"H",IF(INDEX(L_WKNDVAL,WEEKDAY(AC$8,1))=1,"WKND",INDEX(T_LEAVE[LEAVE CODE],SUMPRODUCT(--(T_LEAVE[NAME]=$B48),--(T_LEAVE[DATE]&lt;=AC$8),--(T_LEAVE[DATE]&gt;=AC$8),ROW(T_LEAVE[LEAVE CODE]))-ROW(T_LEAVE[#Headers]))))))),"")</f>
        <v/>
      </c>
      <c r="AD48" s="75" t="str">
        <f>IFERROR(IF(AD$8="","NA",IF(AD$8&lt;INDEX(T_EMP[START DATE],ROW($B48)-ROW($B$8)),"NE",IF(AND(INDEX(T_EMP[TERMINATION DATE],ROW($B48)-ROW($B$8))&gt;0,AD$8&gt;INDEX(T_EMP[TERMINATION DATE],ROW($B48)-ROW($B$8))),"NE",IF(NOT(ISERROR(MATCH(AD$8,L_HOLS,0))),"H",IF(INDEX(L_WKNDVAL,WEEKDAY(AD$8,1))=1,"WKND",INDEX(T_LEAVE[LEAVE CODE],SUMPRODUCT(--(T_LEAVE[NAME]=$B48),--(T_LEAVE[DATE]&lt;=AD$8),--(T_LEAVE[DATE]&gt;=AD$8),ROW(T_LEAVE[LEAVE CODE]))-ROW(T_LEAVE[#Headers]))))))),"")</f>
        <v/>
      </c>
      <c r="AE48" s="75" t="str">
        <f>IFERROR(IF(AE$8="","NA",IF(AE$8&lt;INDEX(T_EMP[START DATE],ROW($B48)-ROW($B$8)),"NE",IF(AND(INDEX(T_EMP[TERMINATION DATE],ROW($B48)-ROW($B$8))&gt;0,AE$8&gt;INDEX(T_EMP[TERMINATION DATE],ROW($B48)-ROW($B$8))),"NE",IF(NOT(ISERROR(MATCH(AE$8,L_HOLS,0))),"H",IF(INDEX(L_WKNDVAL,WEEKDAY(AE$8,1))=1,"WKND",INDEX(T_LEAVE[LEAVE CODE],SUMPRODUCT(--(T_LEAVE[NAME]=$B48),--(T_LEAVE[DATE]&lt;=AE$8),--(T_LEAVE[DATE]&gt;=AE$8),ROW(T_LEAVE[LEAVE CODE]))-ROW(T_LEAVE[#Headers]))))))),"")</f>
        <v/>
      </c>
      <c r="AF48" s="75" t="str">
        <f>IFERROR(IF(AF$8="","NA",IF(AF$8&lt;INDEX(T_EMP[START DATE],ROW($B48)-ROW($B$8)),"NE",IF(AND(INDEX(T_EMP[TERMINATION DATE],ROW($B48)-ROW($B$8))&gt;0,AF$8&gt;INDEX(T_EMP[TERMINATION DATE],ROW($B48)-ROW($B$8))),"NE",IF(NOT(ISERROR(MATCH(AF$8,L_HOLS,0))),"H",IF(INDEX(L_WKNDVAL,WEEKDAY(AF$8,1))=1,"WKND",INDEX(T_LEAVE[LEAVE CODE],SUMPRODUCT(--(T_LEAVE[NAME]=$B48),--(T_LEAVE[DATE]&lt;=AF$8),--(T_LEAVE[DATE]&gt;=AF$8),ROW(T_LEAVE[LEAVE CODE]))-ROW(T_LEAVE[#Headers]))))))),"")</f>
        <v/>
      </c>
      <c r="AG48" s="75" t="str">
        <f>IFERROR(IF(AG$8="","NA",IF(AG$8&lt;INDEX(T_EMP[START DATE],ROW($B48)-ROW($B$8)),"NE",IF(AND(INDEX(T_EMP[TERMINATION DATE],ROW($B48)-ROW($B$8))&gt;0,AG$8&gt;INDEX(T_EMP[TERMINATION DATE],ROW($B48)-ROW($B$8))),"NE",IF(NOT(ISERROR(MATCH(AG$8,L_HOLS,0))),"H",IF(INDEX(L_WKNDVAL,WEEKDAY(AG$8,1))=1,"WKND",INDEX(T_LEAVE[LEAVE CODE],SUMPRODUCT(--(T_LEAVE[NAME]=$B48),--(T_LEAVE[DATE]&lt;=AG$8),--(T_LEAVE[DATE]&gt;=AG$8),ROW(T_LEAVE[LEAVE CODE]))-ROW(T_LEAVE[#Headers]))))))),"")</f>
        <v/>
      </c>
      <c r="AH48" s="75" t="str">
        <f>IFERROR(IF(AH$8="","NA",IF(AH$8&lt;INDEX(T_EMP[START DATE],ROW($B48)-ROW($B$8)),"NE",IF(AND(INDEX(T_EMP[TERMINATION DATE],ROW($B48)-ROW($B$8))&gt;0,AH$8&gt;INDEX(T_EMP[TERMINATION DATE],ROW($B48)-ROW($B$8))),"NE",IF(NOT(ISERROR(MATCH(AH$8,L_HOLS,0))),"H",IF(INDEX(L_WKNDVAL,WEEKDAY(AH$8,1))=1,"WKND",INDEX(T_LEAVE[LEAVE CODE],SUMPRODUCT(--(T_LEAVE[NAME]=$B48),--(T_LEAVE[DATE]&lt;=AH$8),--(T_LEAVE[DATE]&gt;=AH$8),ROW(T_LEAVE[LEAVE CODE]))-ROW(T_LEAVE[#Headers]))))))),"")</f>
        <v/>
      </c>
      <c r="AJ48" s="88">
        <f>IF(OR($B48="",AJ$8=""),"",COUNTIFS($D48:$AH48,AJ$8)*INDEX(T_LEAVETYPE[DAY VALUE],1))</f>
        <v>0</v>
      </c>
      <c r="AK48" s="88">
        <f>IF(OR($B48="",AK$8=""),"",COUNTIFS($D48:$AH48,AK$8)*INDEX(T_LEAVETYPE[DAY VALUE],1))</f>
        <v>0</v>
      </c>
      <c r="AL48" s="88">
        <f>IF(OR($B48="",AL$8=""),"",COUNTIFS($D48:$AH48,AL$8)*INDEX(T_LEAVETYPE[DAY VALUE],1))</f>
        <v>0</v>
      </c>
      <c r="AM48" s="88">
        <f>IF(OR($B48="",AM$8=""),"",COUNTIFS($D48:$AH48,AM$8)*INDEX(T_LEAVETYPE[DAY VALUE],1))</f>
        <v>0</v>
      </c>
      <c r="AN48" s="88">
        <f>IF(OR($B48="",AN$8=""),"",COUNTIFS($D48:$AH48,AN$8)*INDEX(T_LEAVETYPE[DAY VALUE],1))</f>
        <v>0</v>
      </c>
      <c r="AO48" s="88">
        <f>IF(OR($B48="",AO$8=""),"",COUNTIFS($D48:$AH48,AO$8)*INDEX(T_LEAVETYPE[DAY VALUE],6))</f>
        <v>0</v>
      </c>
      <c r="AP48" s="88">
        <f>IF(OR($B48="",AP$8=""),"",COUNTIFS($D48:$AH48,AP$8)*INDEX(T_LEAVETYPE[DAY VALUE],7))</f>
        <v>0</v>
      </c>
      <c r="AQ48" s="88">
        <f>IF(OR($B48="",AQ$8=""),"",COUNTIFS($D48:$AH48,AQ$8)*INDEX(T_LEAVETYPE[DAY VALUE],8))</f>
        <v>0</v>
      </c>
      <c r="AR48" s="89">
        <f t="shared" si="5"/>
        <v>0</v>
      </c>
    </row>
    <row r="49" spans="1:44" x14ac:dyDescent="0.25">
      <c r="A49" s="90">
        <f t="shared" si="4"/>
        <v>41</v>
      </c>
      <c r="B49" s="74" t="str">
        <f>IFERROR(INDEX(T_EMP[NAME],ROW(B49)-ROW($B$8)),"")</f>
        <v>MARTINEZ, CHERRYL ANN</v>
      </c>
      <c r="C49" s="91" t="str">
        <f>IFERROR(INDEX(T_EMP[DEPARTMENT],ROW(B49)-ROW($C$8)),"")</f>
        <v>OB SALES</v>
      </c>
      <c r="D49" s="75" t="str">
        <f>IFERROR(IF(D$8="","NA",IF(D$8&lt;INDEX(T_EMP[START DATE],ROW($B49)-ROW($B$8)),"NE",IF(AND(INDEX(T_EMP[TERMINATION DATE],ROW($B49)-ROW($B$8))&gt;0,D$8&gt;INDEX(T_EMP[TERMINATION DATE],ROW($B49)-ROW($B$8))),"NE",IF(NOT(ISERROR(MATCH(D$8,L_HOLS,0))),"H",IF(INDEX(L_WKNDVAL,WEEKDAY(D$8,1))=1,"WKND",INDEX(T_LEAVE[LEAVE CODE],SUMPRODUCT(--(T_LEAVE[NAME]=$B49),--(T_LEAVE[DATE]&lt;=D$8),--(T_LEAVE[DATE]&gt;=D$8),ROW(T_LEAVE[LEAVE CODE]))-ROW(T_LEAVE[#Headers]))))))),"")</f>
        <v>H</v>
      </c>
      <c r="E49" s="75" t="str">
        <f>IFERROR(IF(E$8="","NA",IF(E$8&lt;INDEX(T_EMP[START DATE],ROW($B49)-ROW($B$8)),"NE",IF(AND(INDEX(T_EMP[TERMINATION DATE],ROW($B49)-ROW($B$8))&gt;0,E$8&gt;INDEX(T_EMP[TERMINATION DATE],ROW($B49)-ROW($B$8))),"NE",IF(NOT(ISERROR(MATCH(E$8,L_HOLS,0))),"H",IF(INDEX(L_WKNDVAL,WEEKDAY(E$8,1))=1,"WKND",INDEX(T_LEAVE[LEAVE CODE],SUMPRODUCT(--(T_LEAVE[NAME]=$B49),--(T_LEAVE[DATE]&lt;=E$8),--(T_LEAVE[DATE]&gt;=E$8),ROW(T_LEAVE[LEAVE CODE]))-ROW(T_LEAVE[#Headers]))))))),"")</f>
        <v/>
      </c>
      <c r="F49" s="75" t="str">
        <f>IFERROR(IF(F$8="","NA",IF(F$8&lt;INDEX(T_EMP[START DATE],ROW($B49)-ROW($B$8)),"NE",IF(AND(INDEX(T_EMP[TERMINATION DATE],ROW($B49)-ROW($B$8))&gt;0,F$8&gt;INDEX(T_EMP[TERMINATION DATE],ROW($B49)-ROW($B$8))),"NE",IF(NOT(ISERROR(MATCH(F$8,L_HOLS,0))),"H",IF(INDEX(L_WKNDVAL,WEEKDAY(F$8,1))=1,"WKND",INDEX(T_LEAVE[LEAVE CODE],SUMPRODUCT(--(T_LEAVE[NAME]=$B49),--(T_LEAVE[DATE]&lt;=F$8),--(T_LEAVE[DATE]&gt;=F$8),ROW(T_LEAVE[LEAVE CODE]))-ROW(T_LEAVE[#Headers]))))))),"")</f>
        <v/>
      </c>
      <c r="G49" s="75" t="str">
        <f>IFERROR(IF(G$8="","NA",IF(G$8&lt;INDEX(T_EMP[START DATE],ROW($B49)-ROW($B$8)),"NE",IF(AND(INDEX(T_EMP[TERMINATION DATE],ROW($B49)-ROW($B$8))&gt;0,G$8&gt;INDEX(T_EMP[TERMINATION DATE],ROW($B49)-ROW($B$8))),"NE",IF(NOT(ISERROR(MATCH(G$8,L_HOLS,0))),"H",IF(INDEX(L_WKNDVAL,WEEKDAY(G$8,1))=1,"WKND",INDEX(T_LEAVE[LEAVE CODE],SUMPRODUCT(--(T_LEAVE[NAME]=$B49),--(T_LEAVE[DATE]&lt;=G$8),--(T_LEAVE[DATE]&gt;=G$8),ROW(T_LEAVE[LEAVE CODE]))-ROW(T_LEAVE[#Headers]))))))),"")</f>
        <v/>
      </c>
      <c r="H49" s="75" t="str">
        <f>IFERROR(IF(H$8="","NA",IF(H$8&lt;INDEX(T_EMP[START DATE],ROW($B49)-ROW($B$8)),"NE",IF(AND(INDEX(T_EMP[TERMINATION DATE],ROW($B49)-ROW($B$8))&gt;0,H$8&gt;INDEX(T_EMP[TERMINATION DATE],ROW($B49)-ROW($B$8))),"NE",IF(NOT(ISERROR(MATCH(H$8,L_HOLS,0))),"H",IF(INDEX(L_WKNDVAL,WEEKDAY(H$8,1))=1,"WKND",INDEX(T_LEAVE[LEAVE CODE],SUMPRODUCT(--(T_LEAVE[NAME]=$B49),--(T_LEAVE[DATE]&lt;=H$8),--(T_LEAVE[DATE]&gt;=H$8),ROW(T_LEAVE[LEAVE CODE]))-ROW(T_LEAVE[#Headers]))))))),"")</f>
        <v/>
      </c>
      <c r="I49" s="75" t="str">
        <f>IFERROR(IF(I$8="","NA",IF(I$8&lt;INDEX(T_EMP[START DATE],ROW($B49)-ROW($B$8)),"NE",IF(AND(INDEX(T_EMP[TERMINATION DATE],ROW($B49)-ROW($B$8))&gt;0,I$8&gt;INDEX(T_EMP[TERMINATION DATE],ROW($B49)-ROW($B$8))),"NE",IF(NOT(ISERROR(MATCH(I$8,L_HOLS,0))),"H",IF(INDEX(L_WKNDVAL,WEEKDAY(I$8,1))=1,"WKND",INDEX(T_LEAVE[LEAVE CODE],SUMPRODUCT(--(T_LEAVE[NAME]=$B49),--(T_LEAVE[DATE]&lt;=I$8),--(T_LEAVE[DATE]&gt;=I$8),ROW(T_LEAVE[LEAVE CODE]))-ROW(T_LEAVE[#Headers]))))))),"")</f>
        <v/>
      </c>
      <c r="J49" s="75" t="str">
        <f>IFERROR(IF(J$8="","NA",IF(J$8&lt;INDEX(T_EMP[START DATE],ROW($B49)-ROW($B$8)),"NE",IF(AND(INDEX(T_EMP[TERMINATION DATE],ROW($B49)-ROW($B$8))&gt;0,J$8&gt;INDEX(T_EMP[TERMINATION DATE],ROW($B49)-ROW($B$8))),"NE",IF(NOT(ISERROR(MATCH(J$8,L_HOLS,0))),"H",IF(INDEX(L_WKNDVAL,WEEKDAY(J$8,1))=1,"WKND",INDEX(T_LEAVE[LEAVE CODE],SUMPRODUCT(--(T_LEAVE[NAME]=$B49),--(T_LEAVE[DATE]&lt;=J$8),--(T_LEAVE[DATE]&gt;=J$8),ROW(T_LEAVE[LEAVE CODE]))-ROW(T_LEAVE[#Headers]))))))),"")</f>
        <v/>
      </c>
      <c r="K49" s="75" t="str">
        <f>IFERROR(IF(K$8="","NA",IF(K$8&lt;INDEX(T_EMP[START DATE],ROW($B49)-ROW($B$8)),"NE",IF(AND(INDEX(T_EMP[TERMINATION DATE],ROW($B49)-ROW($B$8))&gt;0,K$8&gt;INDEX(T_EMP[TERMINATION DATE],ROW($B49)-ROW($B$8))),"NE",IF(NOT(ISERROR(MATCH(K$8,L_HOLS,0))),"H",IF(INDEX(L_WKNDVAL,WEEKDAY(K$8,1))=1,"WKND",INDEX(T_LEAVE[LEAVE CODE],SUMPRODUCT(--(T_LEAVE[NAME]=$B49),--(T_LEAVE[DATE]&lt;=K$8),--(T_LEAVE[DATE]&gt;=K$8),ROW(T_LEAVE[LEAVE CODE]))-ROW(T_LEAVE[#Headers]))))))),"")</f>
        <v/>
      </c>
      <c r="L49" s="75" t="str">
        <f>IFERROR(IF(L$8="","NA",IF(L$8&lt;INDEX(T_EMP[START DATE],ROW($B49)-ROW($B$8)),"NE",IF(AND(INDEX(T_EMP[TERMINATION DATE],ROW($B49)-ROW($B$8))&gt;0,L$8&gt;INDEX(T_EMP[TERMINATION DATE],ROW($B49)-ROW($B$8))),"NE",IF(NOT(ISERROR(MATCH(L$8,L_HOLS,0))),"H",IF(INDEX(L_WKNDVAL,WEEKDAY(L$8,1))=1,"WKND",INDEX(T_LEAVE[LEAVE CODE],SUMPRODUCT(--(T_LEAVE[NAME]=$B49),--(T_LEAVE[DATE]&lt;=L$8),--(T_LEAVE[DATE]&gt;=L$8),ROW(T_LEAVE[LEAVE CODE]))-ROW(T_LEAVE[#Headers]))))))),"")</f>
        <v/>
      </c>
      <c r="M49" s="75" t="str">
        <f>IFERROR(IF(M$8="","NA",IF(M$8&lt;INDEX(T_EMP[START DATE],ROW($B49)-ROW($B$8)),"NE",IF(AND(INDEX(T_EMP[TERMINATION DATE],ROW($B49)-ROW($B$8))&gt;0,M$8&gt;INDEX(T_EMP[TERMINATION DATE],ROW($B49)-ROW($B$8))),"NE",IF(NOT(ISERROR(MATCH(M$8,L_HOLS,0))),"H",IF(INDEX(L_WKNDVAL,WEEKDAY(M$8,1))=1,"WKND",INDEX(T_LEAVE[LEAVE CODE],SUMPRODUCT(--(T_LEAVE[NAME]=$B49),--(T_LEAVE[DATE]&lt;=M$8),--(T_LEAVE[DATE]&gt;=M$8),ROW(T_LEAVE[LEAVE CODE]))-ROW(T_LEAVE[#Headers]))))))),"")</f>
        <v/>
      </c>
      <c r="N49" s="75" t="str">
        <f>IFERROR(IF(N$8="","NA",IF(N$8&lt;INDEX(T_EMP[START DATE],ROW($B49)-ROW($B$8)),"NE",IF(AND(INDEX(T_EMP[TERMINATION DATE],ROW($B49)-ROW($B$8))&gt;0,N$8&gt;INDEX(T_EMP[TERMINATION DATE],ROW($B49)-ROW($B$8))),"NE",IF(NOT(ISERROR(MATCH(N$8,L_HOLS,0))),"H",IF(INDEX(L_WKNDVAL,WEEKDAY(N$8,1))=1,"WKND",INDEX(T_LEAVE[LEAVE CODE],SUMPRODUCT(--(T_LEAVE[NAME]=$B49),--(T_LEAVE[DATE]&lt;=N$8),--(T_LEAVE[DATE]&gt;=N$8),ROW(T_LEAVE[LEAVE CODE]))-ROW(T_LEAVE[#Headers]))))))),"")</f>
        <v/>
      </c>
      <c r="O49" s="75" t="str">
        <f>IFERROR(IF(O$8="","NA",IF(O$8&lt;INDEX(T_EMP[START DATE],ROW($B49)-ROW($B$8)),"NE",IF(AND(INDEX(T_EMP[TERMINATION DATE],ROW($B49)-ROW($B$8))&gt;0,O$8&gt;INDEX(T_EMP[TERMINATION DATE],ROW($B49)-ROW($B$8))),"NE",IF(NOT(ISERROR(MATCH(O$8,L_HOLS,0))),"H",IF(INDEX(L_WKNDVAL,WEEKDAY(O$8,1))=1,"WKND",INDEX(T_LEAVE[LEAVE CODE],SUMPRODUCT(--(T_LEAVE[NAME]=$B49),--(T_LEAVE[DATE]&lt;=O$8),--(T_LEAVE[DATE]&gt;=O$8),ROW(T_LEAVE[LEAVE CODE]))-ROW(T_LEAVE[#Headers]))))))),"")</f>
        <v/>
      </c>
      <c r="P49" s="75" t="str">
        <f>IFERROR(IF(P$8="","NA",IF(P$8&lt;INDEX(T_EMP[START DATE],ROW($B49)-ROW($B$8)),"NE",IF(AND(INDEX(T_EMP[TERMINATION DATE],ROW($B49)-ROW($B$8))&gt;0,P$8&gt;INDEX(T_EMP[TERMINATION DATE],ROW($B49)-ROW($B$8))),"NE",IF(NOT(ISERROR(MATCH(P$8,L_HOLS,0))),"H",IF(INDEX(L_WKNDVAL,WEEKDAY(P$8,1))=1,"WKND",INDEX(T_LEAVE[LEAVE CODE],SUMPRODUCT(--(T_LEAVE[NAME]=$B49),--(T_LEAVE[DATE]&lt;=P$8),--(T_LEAVE[DATE]&gt;=P$8),ROW(T_LEAVE[LEAVE CODE]))-ROW(T_LEAVE[#Headers]))))))),"")</f>
        <v>H</v>
      </c>
      <c r="Q49" s="75" t="str">
        <f>IFERROR(IF(Q$8="","NA",IF(Q$8&lt;INDEX(T_EMP[START DATE],ROW($B49)-ROW($B$8)),"NE",IF(AND(INDEX(T_EMP[TERMINATION DATE],ROW($B49)-ROW($B$8))&gt;0,Q$8&gt;INDEX(T_EMP[TERMINATION DATE],ROW($B49)-ROW($B$8))),"NE",IF(NOT(ISERROR(MATCH(Q$8,L_HOLS,0))),"H",IF(INDEX(L_WKNDVAL,WEEKDAY(Q$8,1))=1,"WKND",INDEX(T_LEAVE[LEAVE CODE],SUMPRODUCT(--(T_LEAVE[NAME]=$B49),--(T_LEAVE[DATE]&lt;=Q$8),--(T_LEAVE[DATE]&gt;=Q$8),ROW(T_LEAVE[LEAVE CODE]))-ROW(T_LEAVE[#Headers]))))))),"")</f>
        <v/>
      </c>
      <c r="R49" s="75" t="str">
        <f>IFERROR(IF(R$8="","NA",IF(R$8&lt;INDEX(T_EMP[START DATE],ROW($B49)-ROW($B$8)),"NE",IF(AND(INDEX(T_EMP[TERMINATION DATE],ROW($B49)-ROW($B$8))&gt;0,R$8&gt;INDEX(T_EMP[TERMINATION DATE],ROW($B49)-ROW($B$8))),"NE",IF(NOT(ISERROR(MATCH(R$8,L_HOLS,0))),"H",IF(INDEX(L_WKNDVAL,WEEKDAY(R$8,1))=1,"WKND",INDEX(T_LEAVE[LEAVE CODE],SUMPRODUCT(--(T_LEAVE[NAME]=$B49),--(T_LEAVE[DATE]&lt;=R$8),--(T_LEAVE[DATE]&gt;=R$8),ROW(T_LEAVE[LEAVE CODE]))-ROW(T_LEAVE[#Headers]))))))),"")</f>
        <v/>
      </c>
      <c r="S49" s="75" t="str">
        <f>IFERROR(IF(S$8="","NA",IF(S$8&lt;INDEX(T_EMP[START DATE],ROW($B49)-ROW($B$8)),"NE",IF(AND(INDEX(T_EMP[TERMINATION DATE],ROW($B49)-ROW($B$8))&gt;0,S$8&gt;INDEX(T_EMP[TERMINATION DATE],ROW($B49)-ROW($B$8))),"NE",IF(NOT(ISERROR(MATCH(S$8,L_HOLS,0))),"H",IF(INDEX(L_WKNDVAL,WEEKDAY(S$8,1))=1,"WKND",INDEX(T_LEAVE[LEAVE CODE],SUMPRODUCT(--(T_LEAVE[NAME]=$B49),--(T_LEAVE[DATE]&lt;=S$8),--(T_LEAVE[DATE]&gt;=S$8),ROW(T_LEAVE[LEAVE CODE]))-ROW(T_LEAVE[#Headers]))))))),"")</f>
        <v/>
      </c>
      <c r="T49" s="75" t="str">
        <f>IFERROR(IF(T$8="","NA",IF(T$8&lt;INDEX(T_EMP[START DATE],ROW($B49)-ROW($B$8)),"NE",IF(AND(INDEX(T_EMP[TERMINATION DATE],ROW($B49)-ROW($B$8))&gt;0,T$8&gt;INDEX(T_EMP[TERMINATION DATE],ROW($B49)-ROW($B$8))),"NE",IF(NOT(ISERROR(MATCH(T$8,L_HOLS,0))),"H",IF(INDEX(L_WKNDVAL,WEEKDAY(T$8,1))=1,"WKND",INDEX(T_LEAVE[LEAVE CODE],SUMPRODUCT(--(T_LEAVE[NAME]=$B49),--(T_LEAVE[DATE]&lt;=T$8),--(T_LEAVE[DATE]&gt;=T$8),ROW(T_LEAVE[LEAVE CODE]))-ROW(T_LEAVE[#Headers]))))))),"")</f>
        <v/>
      </c>
      <c r="U49" s="75" t="str">
        <f>IFERROR(IF(U$8="","NA",IF(U$8&lt;INDEX(T_EMP[START DATE],ROW($B49)-ROW($B$8)),"NE",IF(AND(INDEX(T_EMP[TERMINATION DATE],ROW($B49)-ROW($B$8))&gt;0,U$8&gt;INDEX(T_EMP[TERMINATION DATE],ROW($B49)-ROW($B$8))),"NE",IF(NOT(ISERROR(MATCH(U$8,L_HOLS,0))),"H",IF(INDEX(L_WKNDVAL,WEEKDAY(U$8,1))=1,"WKND",INDEX(T_LEAVE[LEAVE CODE],SUMPRODUCT(--(T_LEAVE[NAME]=$B49),--(T_LEAVE[DATE]&lt;=U$8),--(T_LEAVE[DATE]&gt;=U$8),ROW(T_LEAVE[LEAVE CODE]))-ROW(T_LEAVE[#Headers]))))))),"")</f>
        <v/>
      </c>
      <c r="V49" s="75" t="str">
        <f>IFERROR(IF(V$8="","NA",IF(V$8&lt;INDEX(T_EMP[START DATE],ROW($B49)-ROW($B$8)),"NE",IF(AND(INDEX(T_EMP[TERMINATION DATE],ROW($B49)-ROW($B$8))&gt;0,V$8&gt;INDEX(T_EMP[TERMINATION DATE],ROW($B49)-ROW($B$8))),"NE",IF(NOT(ISERROR(MATCH(V$8,L_HOLS,0))),"H",IF(INDEX(L_WKNDVAL,WEEKDAY(V$8,1))=1,"WKND",INDEX(T_LEAVE[LEAVE CODE],SUMPRODUCT(--(T_LEAVE[NAME]=$B49),--(T_LEAVE[DATE]&lt;=V$8),--(T_LEAVE[DATE]&gt;=V$8),ROW(T_LEAVE[LEAVE CODE]))-ROW(T_LEAVE[#Headers]))))))),"")</f>
        <v/>
      </c>
      <c r="W49" s="75" t="str">
        <f>IFERROR(IF(W$8="","NA",IF(W$8&lt;INDEX(T_EMP[START DATE],ROW($B49)-ROW($B$8)),"NE",IF(AND(INDEX(T_EMP[TERMINATION DATE],ROW($B49)-ROW($B$8))&gt;0,W$8&gt;INDEX(T_EMP[TERMINATION DATE],ROW($B49)-ROW($B$8))),"NE",IF(NOT(ISERROR(MATCH(W$8,L_HOLS,0))),"H",IF(INDEX(L_WKNDVAL,WEEKDAY(W$8,1))=1,"WKND",INDEX(T_LEAVE[LEAVE CODE],SUMPRODUCT(--(T_LEAVE[NAME]=$B49),--(T_LEAVE[DATE]&lt;=W$8),--(T_LEAVE[DATE]&gt;=W$8),ROW(T_LEAVE[LEAVE CODE]))-ROW(T_LEAVE[#Headers]))))))),"")</f>
        <v/>
      </c>
      <c r="X49" s="75" t="str">
        <f>IFERROR(IF(X$8="","NA",IF(X$8&lt;INDEX(T_EMP[START DATE],ROW($B49)-ROW($B$8)),"NE",IF(AND(INDEX(T_EMP[TERMINATION DATE],ROW($B49)-ROW($B$8))&gt;0,X$8&gt;INDEX(T_EMP[TERMINATION DATE],ROW($B49)-ROW($B$8))),"NE",IF(NOT(ISERROR(MATCH(X$8,L_HOLS,0))),"H",IF(INDEX(L_WKNDVAL,WEEKDAY(X$8,1))=1,"WKND",INDEX(T_LEAVE[LEAVE CODE],SUMPRODUCT(--(T_LEAVE[NAME]=$B49),--(T_LEAVE[DATE]&lt;=X$8),--(T_LEAVE[DATE]&gt;=X$8),ROW(T_LEAVE[LEAVE CODE]))-ROW(T_LEAVE[#Headers]))))))),"")</f>
        <v/>
      </c>
      <c r="Y49" s="75" t="str">
        <f>IFERROR(IF(Y$8="","NA",IF(Y$8&lt;INDEX(T_EMP[START DATE],ROW($B49)-ROW($B$8)),"NE",IF(AND(INDEX(T_EMP[TERMINATION DATE],ROW($B49)-ROW($B$8))&gt;0,Y$8&gt;INDEX(T_EMP[TERMINATION DATE],ROW($B49)-ROW($B$8))),"NE",IF(NOT(ISERROR(MATCH(Y$8,L_HOLS,0))),"H",IF(INDEX(L_WKNDVAL,WEEKDAY(Y$8,1))=1,"WKND",INDEX(T_LEAVE[LEAVE CODE],SUMPRODUCT(--(T_LEAVE[NAME]=$B49),--(T_LEAVE[DATE]&lt;=Y$8),--(T_LEAVE[DATE]&gt;=Y$8),ROW(T_LEAVE[LEAVE CODE]))-ROW(T_LEAVE[#Headers]))))))),"")</f>
        <v/>
      </c>
      <c r="Z49" s="75" t="str">
        <f>IFERROR(IF(Z$8="","NA",IF(Z$8&lt;INDEX(T_EMP[START DATE],ROW($B49)-ROW($B$8)),"NE",IF(AND(INDEX(T_EMP[TERMINATION DATE],ROW($B49)-ROW($B$8))&gt;0,Z$8&gt;INDEX(T_EMP[TERMINATION DATE],ROW($B49)-ROW($B$8))),"NE",IF(NOT(ISERROR(MATCH(Z$8,L_HOLS,0))),"H",IF(INDEX(L_WKNDVAL,WEEKDAY(Z$8,1))=1,"WKND",INDEX(T_LEAVE[LEAVE CODE],SUMPRODUCT(--(T_LEAVE[NAME]=$B49),--(T_LEAVE[DATE]&lt;=Z$8),--(T_LEAVE[DATE]&gt;=Z$8),ROW(T_LEAVE[LEAVE CODE]))-ROW(T_LEAVE[#Headers]))))))),"")</f>
        <v/>
      </c>
      <c r="AA49" s="75" t="str">
        <f>IFERROR(IF(AA$8="","NA",IF(AA$8&lt;INDEX(T_EMP[START DATE],ROW($B49)-ROW($B$8)),"NE",IF(AND(INDEX(T_EMP[TERMINATION DATE],ROW($B49)-ROW($B$8))&gt;0,AA$8&gt;INDEX(T_EMP[TERMINATION DATE],ROW($B49)-ROW($B$8))),"NE",IF(NOT(ISERROR(MATCH(AA$8,L_HOLS,0))),"H",IF(INDEX(L_WKNDVAL,WEEKDAY(AA$8,1))=1,"WKND",INDEX(T_LEAVE[LEAVE CODE],SUMPRODUCT(--(T_LEAVE[NAME]=$B49),--(T_LEAVE[DATE]&lt;=AA$8),--(T_LEAVE[DATE]&gt;=AA$8),ROW(T_LEAVE[LEAVE CODE]))-ROW(T_LEAVE[#Headers]))))))),"")</f>
        <v/>
      </c>
      <c r="AB49" s="75" t="str">
        <f>IFERROR(IF(AB$8="","NA",IF(AB$8&lt;INDEX(T_EMP[START DATE],ROW($B49)-ROW($B$8)),"NE",IF(AND(INDEX(T_EMP[TERMINATION DATE],ROW($B49)-ROW($B$8))&gt;0,AB$8&gt;INDEX(T_EMP[TERMINATION DATE],ROW($B49)-ROW($B$8))),"NE",IF(NOT(ISERROR(MATCH(AB$8,L_HOLS,0))),"H",IF(INDEX(L_WKNDVAL,WEEKDAY(AB$8,1))=1,"WKND",INDEX(T_LEAVE[LEAVE CODE],SUMPRODUCT(--(T_LEAVE[NAME]=$B49),--(T_LEAVE[DATE]&lt;=AB$8),--(T_LEAVE[DATE]&gt;=AB$8),ROW(T_LEAVE[LEAVE CODE]))-ROW(T_LEAVE[#Headers]))))))),"")</f>
        <v/>
      </c>
      <c r="AC49" s="75" t="str">
        <f>IFERROR(IF(AC$8="","NA",IF(AC$8&lt;INDEX(T_EMP[START DATE],ROW($B49)-ROW($B$8)),"NE",IF(AND(INDEX(T_EMP[TERMINATION DATE],ROW($B49)-ROW($B$8))&gt;0,AC$8&gt;INDEX(T_EMP[TERMINATION DATE],ROW($B49)-ROW($B$8))),"NE",IF(NOT(ISERROR(MATCH(AC$8,L_HOLS,0))),"H",IF(INDEX(L_WKNDVAL,WEEKDAY(AC$8,1))=1,"WKND",INDEX(T_LEAVE[LEAVE CODE],SUMPRODUCT(--(T_LEAVE[NAME]=$B49),--(T_LEAVE[DATE]&lt;=AC$8),--(T_LEAVE[DATE]&gt;=AC$8),ROW(T_LEAVE[LEAVE CODE]))-ROW(T_LEAVE[#Headers]))))))),"")</f>
        <v/>
      </c>
      <c r="AD49" s="75" t="str">
        <f>IFERROR(IF(AD$8="","NA",IF(AD$8&lt;INDEX(T_EMP[START DATE],ROW($B49)-ROW($B$8)),"NE",IF(AND(INDEX(T_EMP[TERMINATION DATE],ROW($B49)-ROW($B$8))&gt;0,AD$8&gt;INDEX(T_EMP[TERMINATION DATE],ROW($B49)-ROW($B$8))),"NE",IF(NOT(ISERROR(MATCH(AD$8,L_HOLS,0))),"H",IF(INDEX(L_WKNDVAL,WEEKDAY(AD$8,1))=1,"WKND",INDEX(T_LEAVE[LEAVE CODE],SUMPRODUCT(--(T_LEAVE[NAME]=$B49),--(T_LEAVE[DATE]&lt;=AD$8),--(T_LEAVE[DATE]&gt;=AD$8),ROW(T_LEAVE[LEAVE CODE]))-ROW(T_LEAVE[#Headers]))))))),"")</f>
        <v/>
      </c>
      <c r="AE49" s="75" t="str">
        <f>IFERROR(IF(AE$8="","NA",IF(AE$8&lt;INDEX(T_EMP[START DATE],ROW($B49)-ROW($B$8)),"NE",IF(AND(INDEX(T_EMP[TERMINATION DATE],ROW($B49)-ROW($B$8))&gt;0,AE$8&gt;INDEX(T_EMP[TERMINATION DATE],ROW($B49)-ROW($B$8))),"NE",IF(NOT(ISERROR(MATCH(AE$8,L_HOLS,0))),"H",IF(INDEX(L_WKNDVAL,WEEKDAY(AE$8,1))=1,"WKND",INDEX(T_LEAVE[LEAVE CODE],SUMPRODUCT(--(T_LEAVE[NAME]=$B49),--(T_LEAVE[DATE]&lt;=AE$8),--(T_LEAVE[DATE]&gt;=AE$8),ROW(T_LEAVE[LEAVE CODE]))-ROW(T_LEAVE[#Headers]))))))),"")</f>
        <v/>
      </c>
      <c r="AF49" s="75" t="str">
        <f>IFERROR(IF(AF$8="","NA",IF(AF$8&lt;INDEX(T_EMP[START DATE],ROW($B49)-ROW($B$8)),"NE",IF(AND(INDEX(T_EMP[TERMINATION DATE],ROW($B49)-ROW($B$8))&gt;0,AF$8&gt;INDEX(T_EMP[TERMINATION DATE],ROW($B49)-ROW($B$8))),"NE",IF(NOT(ISERROR(MATCH(AF$8,L_HOLS,0))),"H",IF(INDEX(L_WKNDVAL,WEEKDAY(AF$8,1))=1,"WKND",INDEX(T_LEAVE[LEAVE CODE],SUMPRODUCT(--(T_LEAVE[NAME]=$B49),--(T_LEAVE[DATE]&lt;=AF$8),--(T_LEAVE[DATE]&gt;=AF$8),ROW(T_LEAVE[LEAVE CODE]))-ROW(T_LEAVE[#Headers]))))))),"")</f>
        <v/>
      </c>
      <c r="AG49" s="75" t="str">
        <f>IFERROR(IF(AG$8="","NA",IF(AG$8&lt;INDEX(T_EMP[START DATE],ROW($B49)-ROW($B$8)),"NE",IF(AND(INDEX(T_EMP[TERMINATION DATE],ROW($B49)-ROW($B$8))&gt;0,AG$8&gt;INDEX(T_EMP[TERMINATION DATE],ROW($B49)-ROW($B$8))),"NE",IF(NOT(ISERROR(MATCH(AG$8,L_HOLS,0))),"H",IF(INDEX(L_WKNDVAL,WEEKDAY(AG$8,1))=1,"WKND",INDEX(T_LEAVE[LEAVE CODE],SUMPRODUCT(--(T_LEAVE[NAME]=$B49),--(T_LEAVE[DATE]&lt;=AG$8),--(T_LEAVE[DATE]&gt;=AG$8),ROW(T_LEAVE[LEAVE CODE]))-ROW(T_LEAVE[#Headers]))))))),"")</f>
        <v/>
      </c>
      <c r="AH49" s="75" t="str">
        <f>IFERROR(IF(AH$8="","NA",IF(AH$8&lt;INDEX(T_EMP[START DATE],ROW($B49)-ROW($B$8)),"NE",IF(AND(INDEX(T_EMP[TERMINATION DATE],ROW($B49)-ROW($B$8))&gt;0,AH$8&gt;INDEX(T_EMP[TERMINATION DATE],ROW($B49)-ROW($B$8))),"NE",IF(NOT(ISERROR(MATCH(AH$8,L_HOLS,0))),"H",IF(INDEX(L_WKNDVAL,WEEKDAY(AH$8,1))=1,"WKND",INDEX(T_LEAVE[LEAVE CODE],SUMPRODUCT(--(T_LEAVE[NAME]=$B49),--(T_LEAVE[DATE]&lt;=AH$8),--(T_LEAVE[DATE]&gt;=AH$8),ROW(T_LEAVE[LEAVE CODE]))-ROW(T_LEAVE[#Headers]))))))),"")</f>
        <v/>
      </c>
      <c r="AJ49" s="88">
        <f>IF(OR($B49="",AJ$8=""),"",COUNTIFS($D49:$AH49,AJ$8)*INDEX(T_LEAVETYPE[DAY VALUE],1))</f>
        <v>0</v>
      </c>
      <c r="AK49" s="88">
        <f>IF(OR($B49="",AK$8=""),"",COUNTIFS($D49:$AH49,AK$8)*INDEX(T_LEAVETYPE[DAY VALUE],1))</f>
        <v>0</v>
      </c>
      <c r="AL49" s="88">
        <f>IF(OR($B49="",AL$8=""),"",COUNTIFS($D49:$AH49,AL$8)*INDEX(T_LEAVETYPE[DAY VALUE],1))</f>
        <v>0</v>
      </c>
      <c r="AM49" s="88">
        <f>IF(OR($B49="",AM$8=""),"",COUNTIFS($D49:$AH49,AM$8)*INDEX(T_LEAVETYPE[DAY VALUE],1))</f>
        <v>0</v>
      </c>
      <c r="AN49" s="88">
        <f>IF(OR($B49="",AN$8=""),"",COUNTIFS($D49:$AH49,AN$8)*INDEX(T_LEAVETYPE[DAY VALUE],1))</f>
        <v>0</v>
      </c>
      <c r="AO49" s="88">
        <f>IF(OR($B49="",AO$8=""),"",COUNTIFS($D49:$AH49,AO$8)*INDEX(T_LEAVETYPE[DAY VALUE],6))</f>
        <v>0</v>
      </c>
      <c r="AP49" s="88">
        <f>IF(OR($B49="",AP$8=""),"",COUNTIFS($D49:$AH49,AP$8)*INDEX(T_LEAVETYPE[DAY VALUE],7))</f>
        <v>0</v>
      </c>
      <c r="AQ49" s="88">
        <f>IF(OR($B49="",AQ$8=""),"",COUNTIFS($D49:$AH49,AQ$8)*INDEX(T_LEAVETYPE[DAY VALUE],8))</f>
        <v>0</v>
      </c>
      <c r="AR49" s="89">
        <f t="shared" si="5"/>
        <v>0</v>
      </c>
    </row>
    <row r="50" spans="1:44" x14ac:dyDescent="0.25">
      <c r="A50" s="90">
        <f t="shared" si="4"/>
        <v>42</v>
      </c>
      <c r="B50" s="74" t="str">
        <f>IFERROR(INDEX(T_EMP[NAME],ROW(B50)-ROW($B$8)),"")</f>
        <v>MALIWANAG, DARYLL GEITY</v>
      </c>
      <c r="C50" s="91" t="str">
        <f>IFERROR(INDEX(T_EMP[DEPARTMENT],ROW(B50)-ROW($C$8)),"")</f>
        <v>OB SALES</v>
      </c>
      <c r="D50" s="75" t="str">
        <f>IFERROR(IF(D$8="","NA",IF(D$8&lt;INDEX(T_EMP[START DATE],ROW($B50)-ROW($B$8)),"NE",IF(AND(INDEX(T_EMP[TERMINATION DATE],ROW($B50)-ROW($B$8))&gt;0,D$8&gt;INDEX(T_EMP[TERMINATION DATE],ROW($B50)-ROW($B$8))),"NE",IF(NOT(ISERROR(MATCH(D$8,L_HOLS,0))),"H",IF(INDEX(L_WKNDVAL,WEEKDAY(D$8,1))=1,"WKND",INDEX(T_LEAVE[LEAVE CODE],SUMPRODUCT(--(T_LEAVE[NAME]=$B50),--(T_LEAVE[DATE]&lt;=D$8),--(T_LEAVE[DATE]&gt;=D$8),ROW(T_LEAVE[LEAVE CODE]))-ROW(T_LEAVE[#Headers]))))))),"")</f>
        <v>H</v>
      </c>
      <c r="E50" s="75" t="str">
        <f>IFERROR(IF(E$8="","NA",IF(E$8&lt;INDEX(T_EMP[START DATE],ROW($B50)-ROW($B$8)),"NE",IF(AND(INDEX(T_EMP[TERMINATION DATE],ROW($B50)-ROW($B$8))&gt;0,E$8&gt;INDEX(T_EMP[TERMINATION DATE],ROW($B50)-ROW($B$8))),"NE",IF(NOT(ISERROR(MATCH(E$8,L_HOLS,0))),"H",IF(INDEX(L_WKNDVAL,WEEKDAY(E$8,1))=1,"WKND",INDEX(T_LEAVE[LEAVE CODE],SUMPRODUCT(--(T_LEAVE[NAME]=$B50),--(T_LEAVE[DATE]&lt;=E$8),--(T_LEAVE[DATE]&gt;=E$8),ROW(T_LEAVE[LEAVE CODE]))-ROW(T_LEAVE[#Headers]))))))),"")</f>
        <v/>
      </c>
      <c r="F50" s="75" t="str">
        <f>IFERROR(IF(F$8="","NA",IF(F$8&lt;INDEX(T_EMP[START DATE],ROW($B50)-ROW($B$8)),"NE",IF(AND(INDEX(T_EMP[TERMINATION DATE],ROW($B50)-ROW($B$8))&gt;0,F$8&gt;INDEX(T_EMP[TERMINATION DATE],ROW($B50)-ROW($B$8))),"NE",IF(NOT(ISERROR(MATCH(F$8,L_HOLS,0))),"H",IF(INDEX(L_WKNDVAL,WEEKDAY(F$8,1))=1,"WKND",INDEX(T_LEAVE[LEAVE CODE],SUMPRODUCT(--(T_LEAVE[NAME]=$B50),--(T_LEAVE[DATE]&lt;=F$8),--(T_LEAVE[DATE]&gt;=F$8),ROW(T_LEAVE[LEAVE CODE]))-ROW(T_LEAVE[#Headers]))))))),"")</f>
        <v/>
      </c>
      <c r="G50" s="75" t="str">
        <f>IFERROR(IF(G$8="","NA",IF(G$8&lt;INDEX(T_EMP[START DATE],ROW($B50)-ROW($B$8)),"NE",IF(AND(INDEX(T_EMP[TERMINATION DATE],ROW($B50)-ROW($B$8))&gt;0,G$8&gt;INDEX(T_EMP[TERMINATION DATE],ROW($B50)-ROW($B$8))),"NE",IF(NOT(ISERROR(MATCH(G$8,L_HOLS,0))),"H",IF(INDEX(L_WKNDVAL,WEEKDAY(G$8,1))=1,"WKND",INDEX(T_LEAVE[LEAVE CODE],SUMPRODUCT(--(T_LEAVE[NAME]=$B50),--(T_LEAVE[DATE]&lt;=G$8),--(T_LEAVE[DATE]&gt;=G$8),ROW(T_LEAVE[LEAVE CODE]))-ROW(T_LEAVE[#Headers]))))))),"")</f>
        <v/>
      </c>
      <c r="H50" s="75" t="str">
        <f>IFERROR(IF(H$8="","NA",IF(H$8&lt;INDEX(T_EMP[START DATE],ROW($B50)-ROW($B$8)),"NE",IF(AND(INDEX(T_EMP[TERMINATION DATE],ROW($B50)-ROW($B$8))&gt;0,H$8&gt;INDEX(T_EMP[TERMINATION DATE],ROW($B50)-ROW($B$8))),"NE",IF(NOT(ISERROR(MATCH(H$8,L_HOLS,0))),"H",IF(INDEX(L_WKNDVAL,WEEKDAY(H$8,1))=1,"WKND",INDEX(T_LEAVE[LEAVE CODE],SUMPRODUCT(--(T_LEAVE[NAME]=$B50),--(T_LEAVE[DATE]&lt;=H$8),--(T_LEAVE[DATE]&gt;=H$8),ROW(T_LEAVE[LEAVE CODE]))-ROW(T_LEAVE[#Headers]))))))),"")</f>
        <v/>
      </c>
      <c r="I50" s="75" t="str">
        <f>IFERROR(IF(I$8="","NA",IF(I$8&lt;INDEX(T_EMP[START DATE],ROW($B50)-ROW($B$8)),"NE",IF(AND(INDEX(T_EMP[TERMINATION DATE],ROW($B50)-ROW($B$8))&gt;0,I$8&gt;INDEX(T_EMP[TERMINATION DATE],ROW($B50)-ROW($B$8))),"NE",IF(NOT(ISERROR(MATCH(I$8,L_HOLS,0))),"H",IF(INDEX(L_WKNDVAL,WEEKDAY(I$8,1))=1,"WKND",INDEX(T_LEAVE[LEAVE CODE],SUMPRODUCT(--(T_LEAVE[NAME]=$B50),--(T_LEAVE[DATE]&lt;=I$8),--(T_LEAVE[DATE]&gt;=I$8),ROW(T_LEAVE[LEAVE CODE]))-ROW(T_LEAVE[#Headers]))))))),"")</f>
        <v/>
      </c>
      <c r="J50" s="75" t="str">
        <f>IFERROR(IF(J$8="","NA",IF(J$8&lt;INDEX(T_EMP[START DATE],ROW($B50)-ROW($B$8)),"NE",IF(AND(INDEX(T_EMP[TERMINATION DATE],ROW($B50)-ROW($B$8))&gt;0,J$8&gt;INDEX(T_EMP[TERMINATION DATE],ROW($B50)-ROW($B$8))),"NE",IF(NOT(ISERROR(MATCH(J$8,L_HOLS,0))),"H",IF(INDEX(L_WKNDVAL,WEEKDAY(J$8,1))=1,"WKND",INDEX(T_LEAVE[LEAVE CODE],SUMPRODUCT(--(T_LEAVE[NAME]=$B50),--(T_LEAVE[DATE]&lt;=J$8),--(T_LEAVE[DATE]&gt;=J$8),ROW(T_LEAVE[LEAVE CODE]))-ROW(T_LEAVE[#Headers]))))))),"")</f>
        <v/>
      </c>
      <c r="K50" s="75" t="str">
        <f>IFERROR(IF(K$8="","NA",IF(K$8&lt;INDEX(T_EMP[START DATE],ROW($B50)-ROW($B$8)),"NE",IF(AND(INDEX(T_EMP[TERMINATION DATE],ROW($B50)-ROW($B$8))&gt;0,K$8&gt;INDEX(T_EMP[TERMINATION DATE],ROW($B50)-ROW($B$8))),"NE",IF(NOT(ISERROR(MATCH(K$8,L_HOLS,0))),"H",IF(INDEX(L_WKNDVAL,WEEKDAY(K$8,1))=1,"WKND",INDEX(T_LEAVE[LEAVE CODE],SUMPRODUCT(--(T_LEAVE[NAME]=$B50),--(T_LEAVE[DATE]&lt;=K$8),--(T_LEAVE[DATE]&gt;=K$8),ROW(T_LEAVE[LEAVE CODE]))-ROW(T_LEAVE[#Headers]))))))),"")</f>
        <v/>
      </c>
      <c r="L50" s="75" t="str">
        <f>IFERROR(IF(L$8="","NA",IF(L$8&lt;INDEX(T_EMP[START DATE],ROW($B50)-ROW($B$8)),"NE",IF(AND(INDEX(T_EMP[TERMINATION DATE],ROW($B50)-ROW($B$8))&gt;0,L$8&gt;INDEX(T_EMP[TERMINATION DATE],ROW($B50)-ROW($B$8))),"NE",IF(NOT(ISERROR(MATCH(L$8,L_HOLS,0))),"H",IF(INDEX(L_WKNDVAL,WEEKDAY(L$8,1))=1,"WKND",INDEX(T_LEAVE[LEAVE CODE],SUMPRODUCT(--(T_LEAVE[NAME]=$B50),--(T_LEAVE[DATE]&lt;=L$8),--(T_LEAVE[DATE]&gt;=L$8),ROW(T_LEAVE[LEAVE CODE]))-ROW(T_LEAVE[#Headers]))))))),"")</f>
        <v/>
      </c>
      <c r="M50" s="75" t="str">
        <f>IFERROR(IF(M$8="","NA",IF(M$8&lt;INDEX(T_EMP[START DATE],ROW($B50)-ROW($B$8)),"NE",IF(AND(INDEX(T_EMP[TERMINATION DATE],ROW($B50)-ROW($B$8))&gt;0,M$8&gt;INDEX(T_EMP[TERMINATION DATE],ROW($B50)-ROW($B$8))),"NE",IF(NOT(ISERROR(MATCH(M$8,L_HOLS,0))),"H",IF(INDEX(L_WKNDVAL,WEEKDAY(M$8,1))=1,"WKND",INDEX(T_LEAVE[LEAVE CODE],SUMPRODUCT(--(T_LEAVE[NAME]=$B50),--(T_LEAVE[DATE]&lt;=M$8),--(T_LEAVE[DATE]&gt;=M$8),ROW(T_LEAVE[LEAVE CODE]))-ROW(T_LEAVE[#Headers]))))))),"")</f>
        <v/>
      </c>
      <c r="N50" s="75" t="str">
        <f>IFERROR(IF(N$8="","NA",IF(N$8&lt;INDEX(T_EMP[START DATE],ROW($B50)-ROW($B$8)),"NE",IF(AND(INDEX(T_EMP[TERMINATION DATE],ROW($B50)-ROW($B$8))&gt;0,N$8&gt;INDEX(T_EMP[TERMINATION DATE],ROW($B50)-ROW($B$8))),"NE",IF(NOT(ISERROR(MATCH(N$8,L_HOLS,0))),"H",IF(INDEX(L_WKNDVAL,WEEKDAY(N$8,1))=1,"WKND",INDEX(T_LEAVE[LEAVE CODE],SUMPRODUCT(--(T_LEAVE[NAME]=$B50),--(T_LEAVE[DATE]&lt;=N$8),--(T_LEAVE[DATE]&gt;=N$8),ROW(T_LEAVE[LEAVE CODE]))-ROW(T_LEAVE[#Headers]))))))),"")</f>
        <v/>
      </c>
      <c r="O50" s="75" t="str">
        <f>IFERROR(IF(O$8="","NA",IF(O$8&lt;INDEX(T_EMP[START DATE],ROW($B50)-ROW($B$8)),"NE",IF(AND(INDEX(T_EMP[TERMINATION DATE],ROW($B50)-ROW($B$8))&gt;0,O$8&gt;INDEX(T_EMP[TERMINATION DATE],ROW($B50)-ROW($B$8))),"NE",IF(NOT(ISERROR(MATCH(O$8,L_HOLS,0))),"H",IF(INDEX(L_WKNDVAL,WEEKDAY(O$8,1))=1,"WKND",INDEX(T_LEAVE[LEAVE CODE],SUMPRODUCT(--(T_LEAVE[NAME]=$B50),--(T_LEAVE[DATE]&lt;=O$8),--(T_LEAVE[DATE]&gt;=O$8),ROW(T_LEAVE[LEAVE CODE]))-ROW(T_LEAVE[#Headers]))))))),"")</f>
        <v/>
      </c>
      <c r="P50" s="75" t="str">
        <f>IFERROR(IF(P$8="","NA",IF(P$8&lt;INDEX(T_EMP[START DATE],ROW($B50)-ROW($B$8)),"NE",IF(AND(INDEX(T_EMP[TERMINATION DATE],ROW($B50)-ROW($B$8))&gt;0,P$8&gt;INDEX(T_EMP[TERMINATION DATE],ROW($B50)-ROW($B$8))),"NE",IF(NOT(ISERROR(MATCH(P$8,L_HOLS,0))),"H",IF(INDEX(L_WKNDVAL,WEEKDAY(P$8,1))=1,"WKND",INDEX(T_LEAVE[LEAVE CODE],SUMPRODUCT(--(T_LEAVE[NAME]=$B50),--(T_LEAVE[DATE]&lt;=P$8),--(T_LEAVE[DATE]&gt;=P$8),ROW(T_LEAVE[LEAVE CODE]))-ROW(T_LEAVE[#Headers]))))))),"")</f>
        <v>H</v>
      </c>
      <c r="Q50" s="75" t="str">
        <f>IFERROR(IF(Q$8="","NA",IF(Q$8&lt;INDEX(T_EMP[START DATE],ROW($B50)-ROW($B$8)),"NE",IF(AND(INDEX(T_EMP[TERMINATION DATE],ROW($B50)-ROW($B$8))&gt;0,Q$8&gt;INDEX(T_EMP[TERMINATION DATE],ROW($B50)-ROW($B$8))),"NE",IF(NOT(ISERROR(MATCH(Q$8,L_HOLS,0))),"H",IF(INDEX(L_WKNDVAL,WEEKDAY(Q$8,1))=1,"WKND",INDEX(T_LEAVE[LEAVE CODE],SUMPRODUCT(--(T_LEAVE[NAME]=$B50),--(T_LEAVE[DATE]&lt;=Q$8),--(T_LEAVE[DATE]&gt;=Q$8),ROW(T_LEAVE[LEAVE CODE]))-ROW(T_LEAVE[#Headers]))))))),"")</f>
        <v/>
      </c>
      <c r="R50" s="75" t="str">
        <f>IFERROR(IF(R$8="","NA",IF(R$8&lt;INDEX(T_EMP[START DATE],ROW($B50)-ROW($B$8)),"NE",IF(AND(INDEX(T_EMP[TERMINATION DATE],ROW($B50)-ROW($B$8))&gt;0,R$8&gt;INDEX(T_EMP[TERMINATION DATE],ROW($B50)-ROW($B$8))),"NE",IF(NOT(ISERROR(MATCH(R$8,L_HOLS,0))),"H",IF(INDEX(L_WKNDVAL,WEEKDAY(R$8,1))=1,"WKND",INDEX(T_LEAVE[LEAVE CODE],SUMPRODUCT(--(T_LEAVE[NAME]=$B50),--(T_LEAVE[DATE]&lt;=R$8),--(T_LEAVE[DATE]&gt;=R$8),ROW(T_LEAVE[LEAVE CODE]))-ROW(T_LEAVE[#Headers]))))))),"")</f>
        <v/>
      </c>
      <c r="S50" s="75" t="str">
        <f>IFERROR(IF(S$8="","NA",IF(S$8&lt;INDEX(T_EMP[START DATE],ROW($B50)-ROW($B$8)),"NE",IF(AND(INDEX(T_EMP[TERMINATION DATE],ROW($B50)-ROW($B$8))&gt;0,S$8&gt;INDEX(T_EMP[TERMINATION DATE],ROW($B50)-ROW($B$8))),"NE",IF(NOT(ISERROR(MATCH(S$8,L_HOLS,0))),"H",IF(INDEX(L_WKNDVAL,WEEKDAY(S$8,1))=1,"WKND",INDEX(T_LEAVE[LEAVE CODE],SUMPRODUCT(--(T_LEAVE[NAME]=$B50),--(T_LEAVE[DATE]&lt;=S$8),--(T_LEAVE[DATE]&gt;=S$8),ROW(T_LEAVE[LEAVE CODE]))-ROW(T_LEAVE[#Headers]))))))),"")</f>
        <v/>
      </c>
      <c r="T50" s="75" t="str">
        <f>IFERROR(IF(T$8="","NA",IF(T$8&lt;INDEX(T_EMP[START DATE],ROW($B50)-ROW($B$8)),"NE",IF(AND(INDEX(T_EMP[TERMINATION DATE],ROW($B50)-ROW($B$8))&gt;0,T$8&gt;INDEX(T_EMP[TERMINATION DATE],ROW($B50)-ROW($B$8))),"NE",IF(NOT(ISERROR(MATCH(T$8,L_HOLS,0))),"H",IF(INDEX(L_WKNDVAL,WEEKDAY(T$8,1))=1,"WKND",INDEX(T_LEAVE[LEAVE CODE],SUMPRODUCT(--(T_LEAVE[NAME]=$B50),--(T_LEAVE[DATE]&lt;=T$8),--(T_LEAVE[DATE]&gt;=T$8),ROW(T_LEAVE[LEAVE CODE]))-ROW(T_LEAVE[#Headers]))))))),"")</f>
        <v/>
      </c>
      <c r="U50" s="75" t="str">
        <f>IFERROR(IF(U$8="","NA",IF(U$8&lt;INDEX(T_EMP[START DATE],ROW($B50)-ROW($B$8)),"NE",IF(AND(INDEX(T_EMP[TERMINATION DATE],ROW($B50)-ROW($B$8))&gt;0,U$8&gt;INDEX(T_EMP[TERMINATION DATE],ROW($B50)-ROW($B$8))),"NE",IF(NOT(ISERROR(MATCH(U$8,L_HOLS,0))),"H",IF(INDEX(L_WKNDVAL,WEEKDAY(U$8,1))=1,"WKND",INDEX(T_LEAVE[LEAVE CODE],SUMPRODUCT(--(T_LEAVE[NAME]=$B50),--(T_LEAVE[DATE]&lt;=U$8),--(T_LEAVE[DATE]&gt;=U$8),ROW(T_LEAVE[LEAVE CODE]))-ROW(T_LEAVE[#Headers]))))))),"")</f>
        <v/>
      </c>
      <c r="V50" s="75" t="str">
        <f>IFERROR(IF(V$8="","NA",IF(V$8&lt;INDEX(T_EMP[START DATE],ROW($B50)-ROW($B$8)),"NE",IF(AND(INDEX(T_EMP[TERMINATION DATE],ROW($B50)-ROW($B$8))&gt;0,V$8&gt;INDEX(T_EMP[TERMINATION DATE],ROW($B50)-ROW($B$8))),"NE",IF(NOT(ISERROR(MATCH(V$8,L_HOLS,0))),"H",IF(INDEX(L_WKNDVAL,WEEKDAY(V$8,1))=1,"WKND",INDEX(T_LEAVE[LEAVE CODE],SUMPRODUCT(--(T_LEAVE[NAME]=$B50),--(T_LEAVE[DATE]&lt;=V$8),--(T_LEAVE[DATE]&gt;=V$8),ROW(T_LEAVE[LEAVE CODE]))-ROW(T_LEAVE[#Headers]))))))),"")</f>
        <v/>
      </c>
      <c r="W50" s="75" t="str">
        <f>IFERROR(IF(W$8="","NA",IF(W$8&lt;INDEX(T_EMP[START DATE],ROW($B50)-ROW($B$8)),"NE",IF(AND(INDEX(T_EMP[TERMINATION DATE],ROW($B50)-ROW($B$8))&gt;0,W$8&gt;INDEX(T_EMP[TERMINATION DATE],ROW($B50)-ROW($B$8))),"NE",IF(NOT(ISERROR(MATCH(W$8,L_HOLS,0))),"H",IF(INDEX(L_WKNDVAL,WEEKDAY(W$8,1))=1,"WKND",INDEX(T_LEAVE[LEAVE CODE],SUMPRODUCT(--(T_LEAVE[NAME]=$B50),--(T_LEAVE[DATE]&lt;=W$8),--(T_LEAVE[DATE]&gt;=W$8),ROW(T_LEAVE[LEAVE CODE]))-ROW(T_LEAVE[#Headers]))))))),"")</f>
        <v/>
      </c>
      <c r="X50" s="75" t="str">
        <f>IFERROR(IF(X$8="","NA",IF(X$8&lt;INDEX(T_EMP[START DATE],ROW($B50)-ROW($B$8)),"NE",IF(AND(INDEX(T_EMP[TERMINATION DATE],ROW($B50)-ROW($B$8))&gt;0,X$8&gt;INDEX(T_EMP[TERMINATION DATE],ROW($B50)-ROW($B$8))),"NE",IF(NOT(ISERROR(MATCH(X$8,L_HOLS,0))),"H",IF(INDEX(L_WKNDVAL,WEEKDAY(X$8,1))=1,"WKND",INDEX(T_LEAVE[LEAVE CODE],SUMPRODUCT(--(T_LEAVE[NAME]=$B50),--(T_LEAVE[DATE]&lt;=X$8),--(T_LEAVE[DATE]&gt;=X$8),ROW(T_LEAVE[LEAVE CODE]))-ROW(T_LEAVE[#Headers]))))))),"")</f>
        <v/>
      </c>
      <c r="Y50" s="75" t="str">
        <f>IFERROR(IF(Y$8="","NA",IF(Y$8&lt;INDEX(T_EMP[START DATE],ROW($B50)-ROW($B$8)),"NE",IF(AND(INDEX(T_EMP[TERMINATION DATE],ROW($B50)-ROW($B$8))&gt;0,Y$8&gt;INDEX(T_EMP[TERMINATION DATE],ROW($B50)-ROW($B$8))),"NE",IF(NOT(ISERROR(MATCH(Y$8,L_HOLS,0))),"H",IF(INDEX(L_WKNDVAL,WEEKDAY(Y$8,1))=1,"WKND",INDEX(T_LEAVE[LEAVE CODE],SUMPRODUCT(--(T_LEAVE[NAME]=$B50),--(T_LEAVE[DATE]&lt;=Y$8),--(T_LEAVE[DATE]&gt;=Y$8),ROW(T_LEAVE[LEAVE CODE]))-ROW(T_LEAVE[#Headers]))))))),"")</f>
        <v/>
      </c>
      <c r="Z50" s="75" t="str">
        <f>IFERROR(IF(Z$8="","NA",IF(Z$8&lt;INDEX(T_EMP[START DATE],ROW($B50)-ROW($B$8)),"NE",IF(AND(INDEX(T_EMP[TERMINATION DATE],ROW($B50)-ROW($B$8))&gt;0,Z$8&gt;INDEX(T_EMP[TERMINATION DATE],ROW($B50)-ROW($B$8))),"NE",IF(NOT(ISERROR(MATCH(Z$8,L_HOLS,0))),"H",IF(INDEX(L_WKNDVAL,WEEKDAY(Z$8,1))=1,"WKND",INDEX(T_LEAVE[LEAVE CODE],SUMPRODUCT(--(T_LEAVE[NAME]=$B50),--(T_LEAVE[DATE]&lt;=Z$8),--(T_LEAVE[DATE]&gt;=Z$8),ROW(T_LEAVE[LEAVE CODE]))-ROW(T_LEAVE[#Headers]))))))),"")</f>
        <v/>
      </c>
      <c r="AA50" s="75" t="str">
        <f>IFERROR(IF(AA$8="","NA",IF(AA$8&lt;INDEX(T_EMP[START DATE],ROW($B50)-ROW($B$8)),"NE",IF(AND(INDEX(T_EMP[TERMINATION DATE],ROW($B50)-ROW($B$8))&gt;0,AA$8&gt;INDEX(T_EMP[TERMINATION DATE],ROW($B50)-ROW($B$8))),"NE",IF(NOT(ISERROR(MATCH(AA$8,L_HOLS,0))),"H",IF(INDEX(L_WKNDVAL,WEEKDAY(AA$8,1))=1,"WKND",INDEX(T_LEAVE[LEAVE CODE],SUMPRODUCT(--(T_LEAVE[NAME]=$B50),--(T_LEAVE[DATE]&lt;=AA$8),--(T_LEAVE[DATE]&gt;=AA$8),ROW(T_LEAVE[LEAVE CODE]))-ROW(T_LEAVE[#Headers]))))))),"")</f>
        <v/>
      </c>
      <c r="AB50" s="75" t="str">
        <f>IFERROR(IF(AB$8="","NA",IF(AB$8&lt;INDEX(T_EMP[START DATE],ROW($B50)-ROW($B$8)),"NE",IF(AND(INDEX(T_EMP[TERMINATION DATE],ROW($B50)-ROW($B$8))&gt;0,AB$8&gt;INDEX(T_EMP[TERMINATION DATE],ROW($B50)-ROW($B$8))),"NE",IF(NOT(ISERROR(MATCH(AB$8,L_HOLS,0))),"H",IF(INDEX(L_WKNDVAL,WEEKDAY(AB$8,1))=1,"WKND",INDEX(T_LEAVE[LEAVE CODE],SUMPRODUCT(--(T_LEAVE[NAME]=$B50),--(T_LEAVE[DATE]&lt;=AB$8),--(T_LEAVE[DATE]&gt;=AB$8),ROW(T_LEAVE[LEAVE CODE]))-ROW(T_LEAVE[#Headers]))))))),"")</f>
        <v/>
      </c>
      <c r="AC50" s="75" t="str">
        <f>IFERROR(IF(AC$8="","NA",IF(AC$8&lt;INDEX(T_EMP[START DATE],ROW($B50)-ROW($B$8)),"NE",IF(AND(INDEX(T_EMP[TERMINATION DATE],ROW($B50)-ROW($B$8))&gt;0,AC$8&gt;INDEX(T_EMP[TERMINATION DATE],ROW($B50)-ROW($B$8))),"NE",IF(NOT(ISERROR(MATCH(AC$8,L_HOLS,0))),"H",IF(INDEX(L_WKNDVAL,WEEKDAY(AC$8,1))=1,"WKND",INDEX(T_LEAVE[LEAVE CODE],SUMPRODUCT(--(T_LEAVE[NAME]=$B50),--(T_LEAVE[DATE]&lt;=AC$8),--(T_LEAVE[DATE]&gt;=AC$8),ROW(T_LEAVE[LEAVE CODE]))-ROW(T_LEAVE[#Headers]))))))),"")</f>
        <v/>
      </c>
      <c r="AD50" s="75" t="str">
        <f>IFERROR(IF(AD$8="","NA",IF(AD$8&lt;INDEX(T_EMP[START DATE],ROW($B50)-ROW($B$8)),"NE",IF(AND(INDEX(T_EMP[TERMINATION DATE],ROW($B50)-ROW($B$8))&gt;0,AD$8&gt;INDEX(T_EMP[TERMINATION DATE],ROW($B50)-ROW($B$8))),"NE",IF(NOT(ISERROR(MATCH(AD$8,L_HOLS,0))),"H",IF(INDEX(L_WKNDVAL,WEEKDAY(AD$8,1))=1,"WKND",INDEX(T_LEAVE[LEAVE CODE],SUMPRODUCT(--(T_LEAVE[NAME]=$B50),--(T_LEAVE[DATE]&lt;=AD$8),--(T_LEAVE[DATE]&gt;=AD$8),ROW(T_LEAVE[LEAVE CODE]))-ROW(T_LEAVE[#Headers]))))))),"")</f>
        <v/>
      </c>
      <c r="AE50" s="75" t="str">
        <f>IFERROR(IF(AE$8="","NA",IF(AE$8&lt;INDEX(T_EMP[START DATE],ROW($B50)-ROW($B$8)),"NE",IF(AND(INDEX(T_EMP[TERMINATION DATE],ROW($B50)-ROW($B$8))&gt;0,AE$8&gt;INDEX(T_EMP[TERMINATION DATE],ROW($B50)-ROW($B$8))),"NE",IF(NOT(ISERROR(MATCH(AE$8,L_HOLS,0))),"H",IF(INDEX(L_WKNDVAL,WEEKDAY(AE$8,1))=1,"WKND",INDEX(T_LEAVE[LEAVE CODE],SUMPRODUCT(--(T_LEAVE[NAME]=$B50),--(T_LEAVE[DATE]&lt;=AE$8),--(T_LEAVE[DATE]&gt;=AE$8),ROW(T_LEAVE[LEAVE CODE]))-ROW(T_LEAVE[#Headers]))))))),"")</f>
        <v/>
      </c>
      <c r="AF50" s="75" t="str">
        <f>IFERROR(IF(AF$8="","NA",IF(AF$8&lt;INDEX(T_EMP[START DATE],ROW($B50)-ROW($B$8)),"NE",IF(AND(INDEX(T_EMP[TERMINATION DATE],ROW($B50)-ROW($B$8))&gt;0,AF$8&gt;INDEX(T_EMP[TERMINATION DATE],ROW($B50)-ROW($B$8))),"NE",IF(NOT(ISERROR(MATCH(AF$8,L_HOLS,0))),"H",IF(INDEX(L_WKNDVAL,WEEKDAY(AF$8,1))=1,"WKND",INDEX(T_LEAVE[LEAVE CODE],SUMPRODUCT(--(T_LEAVE[NAME]=$B50),--(T_LEAVE[DATE]&lt;=AF$8),--(T_LEAVE[DATE]&gt;=AF$8),ROW(T_LEAVE[LEAVE CODE]))-ROW(T_LEAVE[#Headers]))))))),"")</f>
        <v/>
      </c>
      <c r="AG50" s="75" t="str">
        <f>IFERROR(IF(AG$8="","NA",IF(AG$8&lt;INDEX(T_EMP[START DATE],ROW($B50)-ROW($B$8)),"NE",IF(AND(INDEX(T_EMP[TERMINATION DATE],ROW($B50)-ROW($B$8))&gt;0,AG$8&gt;INDEX(T_EMP[TERMINATION DATE],ROW($B50)-ROW($B$8))),"NE",IF(NOT(ISERROR(MATCH(AG$8,L_HOLS,0))),"H",IF(INDEX(L_WKNDVAL,WEEKDAY(AG$8,1))=1,"WKND",INDEX(T_LEAVE[LEAVE CODE],SUMPRODUCT(--(T_LEAVE[NAME]=$B50),--(T_LEAVE[DATE]&lt;=AG$8),--(T_LEAVE[DATE]&gt;=AG$8),ROW(T_LEAVE[LEAVE CODE]))-ROW(T_LEAVE[#Headers]))))))),"")</f>
        <v/>
      </c>
      <c r="AH50" s="75" t="str">
        <f>IFERROR(IF(AH$8="","NA",IF(AH$8&lt;INDEX(T_EMP[START DATE],ROW($B50)-ROW($B$8)),"NE",IF(AND(INDEX(T_EMP[TERMINATION DATE],ROW($B50)-ROW($B$8))&gt;0,AH$8&gt;INDEX(T_EMP[TERMINATION DATE],ROW($B50)-ROW($B$8))),"NE",IF(NOT(ISERROR(MATCH(AH$8,L_HOLS,0))),"H",IF(INDEX(L_WKNDVAL,WEEKDAY(AH$8,1))=1,"WKND",INDEX(T_LEAVE[LEAVE CODE],SUMPRODUCT(--(T_LEAVE[NAME]=$B50),--(T_LEAVE[DATE]&lt;=AH$8),--(T_LEAVE[DATE]&gt;=AH$8),ROW(T_LEAVE[LEAVE CODE]))-ROW(T_LEAVE[#Headers]))))))),"")</f>
        <v/>
      </c>
      <c r="AJ50" s="88">
        <f>IF(OR($B50="",AJ$8=""),"",COUNTIFS($D50:$AH50,AJ$8)*INDEX(T_LEAVETYPE[DAY VALUE],1))</f>
        <v>0</v>
      </c>
      <c r="AK50" s="88">
        <f>IF(OR($B50="",AK$8=""),"",COUNTIFS($D50:$AH50,AK$8)*INDEX(T_LEAVETYPE[DAY VALUE],1))</f>
        <v>0</v>
      </c>
      <c r="AL50" s="88">
        <f>IF(OR($B50="",AL$8=""),"",COUNTIFS($D50:$AH50,AL$8)*INDEX(T_LEAVETYPE[DAY VALUE],1))</f>
        <v>0</v>
      </c>
      <c r="AM50" s="88">
        <f>IF(OR($B50="",AM$8=""),"",COUNTIFS($D50:$AH50,AM$8)*INDEX(T_LEAVETYPE[DAY VALUE],1))</f>
        <v>0</v>
      </c>
      <c r="AN50" s="88">
        <f>IF(OR($B50="",AN$8=""),"",COUNTIFS($D50:$AH50,AN$8)*INDEX(T_LEAVETYPE[DAY VALUE],1))</f>
        <v>0</v>
      </c>
      <c r="AO50" s="88">
        <f>IF(OR($B50="",AO$8=""),"",COUNTIFS($D50:$AH50,AO$8)*INDEX(T_LEAVETYPE[DAY VALUE],6))</f>
        <v>0</v>
      </c>
      <c r="AP50" s="88">
        <f>IF(OR($B50="",AP$8=""),"",COUNTIFS($D50:$AH50,AP$8)*INDEX(T_LEAVETYPE[DAY VALUE],7))</f>
        <v>0</v>
      </c>
      <c r="AQ50" s="88">
        <f>IF(OR($B50="",AQ$8=""),"",COUNTIFS($D50:$AH50,AQ$8)*INDEX(T_LEAVETYPE[DAY VALUE],8))</f>
        <v>0</v>
      </c>
      <c r="AR50" s="89">
        <f t="shared" si="5"/>
        <v>0</v>
      </c>
    </row>
    <row r="51" spans="1:44" x14ac:dyDescent="0.25">
      <c r="A51" s="90">
        <f t="shared" si="4"/>
        <v>43</v>
      </c>
      <c r="B51" s="74" t="str">
        <f>IFERROR(INDEX(T_EMP[NAME],ROW(B51)-ROW($B$8)),"")</f>
        <v>CONSTANTINO, IAN ARCHIMEDES</v>
      </c>
      <c r="C51" s="91" t="str">
        <f>IFERROR(INDEX(T_EMP[DEPARTMENT],ROW(B51)-ROW($C$8)),"")</f>
        <v>OB SALES</v>
      </c>
      <c r="D51" s="75" t="str">
        <f>IFERROR(IF(D$8="","NA",IF(D$8&lt;INDEX(T_EMP[START DATE],ROW($B51)-ROW($B$8)),"NE",IF(AND(INDEX(T_EMP[TERMINATION DATE],ROW($B51)-ROW($B$8))&gt;0,D$8&gt;INDEX(T_EMP[TERMINATION DATE],ROW($B51)-ROW($B$8))),"NE",IF(NOT(ISERROR(MATCH(D$8,L_HOLS,0))),"H",IF(INDEX(L_WKNDVAL,WEEKDAY(D$8,1))=1,"WKND",INDEX(T_LEAVE[LEAVE CODE],SUMPRODUCT(--(T_LEAVE[NAME]=$B51),--(T_LEAVE[DATE]&lt;=D$8),--(T_LEAVE[DATE]&gt;=D$8),ROW(T_LEAVE[LEAVE CODE]))-ROW(T_LEAVE[#Headers]))))))),"")</f>
        <v>H</v>
      </c>
      <c r="E51" s="75" t="str">
        <f>IFERROR(IF(E$8="","NA",IF(E$8&lt;INDEX(T_EMP[START DATE],ROW($B51)-ROW($B$8)),"NE",IF(AND(INDEX(T_EMP[TERMINATION DATE],ROW($B51)-ROW($B$8))&gt;0,E$8&gt;INDEX(T_EMP[TERMINATION DATE],ROW($B51)-ROW($B$8))),"NE",IF(NOT(ISERROR(MATCH(E$8,L_HOLS,0))),"H",IF(INDEX(L_WKNDVAL,WEEKDAY(E$8,1))=1,"WKND",INDEX(T_LEAVE[LEAVE CODE],SUMPRODUCT(--(T_LEAVE[NAME]=$B51),--(T_LEAVE[DATE]&lt;=E$8),--(T_LEAVE[DATE]&gt;=E$8),ROW(T_LEAVE[LEAVE CODE]))-ROW(T_LEAVE[#Headers]))))))),"")</f>
        <v/>
      </c>
      <c r="F51" s="75" t="str">
        <f>IFERROR(IF(F$8="","NA",IF(F$8&lt;INDEX(T_EMP[START DATE],ROW($B51)-ROW($B$8)),"NE",IF(AND(INDEX(T_EMP[TERMINATION DATE],ROW($B51)-ROW($B$8))&gt;0,F$8&gt;INDEX(T_EMP[TERMINATION DATE],ROW($B51)-ROW($B$8))),"NE",IF(NOT(ISERROR(MATCH(F$8,L_HOLS,0))),"H",IF(INDEX(L_WKNDVAL,WEEKDAY(F$8,1))=1,"WKND",INDEX(T_LEAVE[LEAVE CODE],SUMPRODUCT(--(T_LEAVE[NAME]=$B51),--(T_LEAVE[DATE]&lt;=F$8),--(T_LEAVE[DATE]&gt;=F$8),ROW(T_LEAVE[LEAVE CODE]))-ROW(T_LEAVE[#Headers]))))))),"")</f>
        <v/>
      </c>
      <c r="G51" s="75" t="str">
        <f>IFERROR(IF(G$8="","NA",IF(G$8&lt;INDEX(T_EMP[START DATE],ROW($B51)-ROW($B$8)),"NE",IF(AND(INDEX(T_EMP[TERMINATION DATE],ROW($B51)-ROW($B$8))&gt;0,G$8&gt;INDEX(T_EMP[TERMINATION DATE],ROW($B51)-ROW($B$8))),"NE",IF(NOT(ISERROR(MATCH(G$8,L_HOLS,0))),"H",IF(INDEX(L_WKNDVAL,WEEKDAY(G$8,1))=1,"WKND",INDEX(T_LEAVE[LEAVE CODE],SUMPRODUCT(--(T_LEAVE[NAME]=$B51),--(T_LEAVE[DATE]&lt;=G$8),--(T_LEAVE[DATE]&gt;=G$8),ROW(T_LEAVE[LEAVE CODE]))-ROW(T_LEAVE[#Headers]))))))),"")</f>
        <v/>
      </c>
      <c r="H51" s="75" t="str">
        <f>IFERROR(IF(H$8="","NA",IF(H$8&lt;INDEX(T_EMP[START DATE],ROW($B51)-ROW($B$8)),"NE",IF(AND(INDEX(T_EMP[TERMINATION DATE],ROW($B51)-ROW($B$8))&gt;0,H$8&gt;INDEX(T_EMP[TERMINATION DATE],ROW($B51)-ROW($B$8))),"NE",IF(NOT(ISERROR(MATCH(H$8,L_HOLS,0))),"H",IF(INDEX(L_WKNDVAL,WEEKDAY(H$8,1))=1,"WKND",INDEX(T_LEAVE[LEAVE CODE],SUMPRODUCT(--(T_LEAVE[NAME]=$B51),--(T_LEAVE[DATE]&lt;=H$8),--(T_LEAVE[DATE]&gt;=H$8),ROW(T_LEAVE[LEAVE CODE]))-ROW(T_LEAVE[#Headers]))))))),"")</f>
        <v/>
      </c>
      <c r="I51" s="75" t="str">
        <f>IFERROR(IF(I$8="","NA",IF(I$8&lt;INDEX(T_EMP[START DATE],ROW($B51)-ROW($B$8)),"NE",IF(AND(INDEX(T_EMP[TERMINATION DATE],ROW($B51)-ROW($B$8))&gt;0,I$8&gt;INDEX(T_EMP[TERMINATION DATE],ROW($B51)-ROW($B$8))),"NE",IF(NOT(ISERROR(MATCH(I$8,L_HOLS,0))),"H",IF(INDEX(L_WKNDVAL,WEEKDAY(I$8,1))=1,"WKND",INDEX(T_LEAVE[LEAVE CODE],SUMPRODUCT(--(T_LEAVE[NAME]=$B51),--(T_LEAVE[DATE]&lt;=I$8),--(T_LEAVE[DATE]&gt;=I$8),ROW(T_LEAVE[LEAVE CODE]))-ROW(T_LEAVE[#Headers]))))))),"")</f>
        <v/>
      </c>
      <c r="J51" s="75" t="str">
        <f>IFERROR(IF(J$8="","NA",IF(J$8&lt;INDEX(T_EMP[START DATE],ROW($B51)-ROW($B$8)),"NE",IF(AND(INDEX(T_EMP[TERMINATION DATE],ROW($B51)-ROW($B$8))&gt;0,J$8&gt;INDEX(T_EMP[TERMINATION DATE],ROW($B51)-ROW($B$8))),"NE",IF(NOT(ISERROR(MATCH(J$8,L_HOLS,0))),"H",IF(INDEX(L_WKNDVAL,WEEKDAY(J$8,1))=1,"WKND",INDEX(T_LEAVE[LEAVE CODE],SUMPRODUCT(--(T_LEAVE[NAME]=$B51),--(T_LEAVE[DATE]&lt;=J$8),--(T_LEAVE[DATE]&gt;=J$8),ROW(T_LEAVE[LEAVE CODE]))-ROW(T_LEAVE[#Headers]))))))),"")</f>
        <v/>
      </c>
      <c r="K51" s="75" t="str">
        <f>IFERROR(IF(K$8="","NA",IF(K$8&lt;INDEX(T_EMP[START DATE],ROW($B51)-ROW($B$8)),"NE",IF(AND(INDEX(T_EMP[TERMINATION DATE],ROW($B51)-ROW($B$8))&gt;0,K$8&gt;INDEX(T_EMP[TERMINATION DATE],ROW($B51)-ROW($B$8))),"NE",IF(NOT(ISERROR(MATCH(K$8,L_HOLS,0))),"H",IF(INDEX(L_WKNDVAL,WEEKDAY(K$8,1))=1,"WKND",INDEX(T_LEAVE[LEAVE CODE],SUMPRODUCT(--(T_LEAVE[NAME]=$B51),--(T_LEAVE[DATE]&lt;=K$8),--(T_LEAVE[DATE]&gt;=K$8),ROW(T_LEAVE[LEAVE CODE]))-ROW(T_LEAVE[#Headers]))))))),"")</f>
        <v/>
      </c>
      <c r="L51" s="75" t="str">
        <f>IFERROR(IF(L$8="","NA",IF(L$8&lt;INDEX(T_EMP[START DATE],ROW($B51)-ROW($B$8)),"NE",IF(AND(INDEX(T_EMP[TERMINATION DATE],ROW($B51)-ROW($B$8))&gt;0,L$8&gt;INDEX(T_EMP[TERMINATION DATE],ROW($B51)-ROW($B$8))),"NE",IF(NOT(ISERROR(MATCH(L$8,L_HOLS,0))),"H",IF(INDEX(L_WKNDVAL,WEEKDAY(L$8,1))=1,"WKND",INDEX(T_LEAVE[LEAVE CODE],SUMPRODUCT(--(T_LEAVE[NAME]=$B51),--(T_LEAVE[DATE]&lt;=L$8),--(T_LEAVE[DATE]&gt;=L$8),ROW(T_LEAVE[LEAVE CODE]))-ROW(T_LEAVE[#Headers]))))))),"")</f>
        <v/>
      </c>
      <c r="M51" s="75" t="str">
        <f>IFERROR(IF(M$8="","NA",IF(M$8&lt;INDEX(T_EMP[START DATE],ROW($B51)-ROW($B$8)),"NE",IF(AND(INDEX(T_EMP[TERMINATION DATE],ROW($B51)-ROW($B$8))&gt;0,M$8&gt;INDEX(T_EMP[TERMINATION DATE],ROW($B51)-ROW($B$8))),"NE",IF(NOT(ISERROR(MATCH(M$8,L_HOLS,0))),"H",IF(INDEX(L_WKNDVAL,WEEKDAY(M$8,1))=1,"WKND",INDEX(T_LEAVE[LEAVE CODE],SUMPRODUCT(--(T_LEAVE[NAME]=$B51),--(T_LEAVE[DATE]&lt;=M$8),--(T_LEAVE[DATE]&gt;=M$8),ROW(T_LEAVE[LEAVE CODE]))-ROW(T_LEAVE[#Headers]))))))),"")</f>
        <v/>
      </c>
      <c r="N51" s="75" t="str">
        <f>IFERROR(IF(N$8="","NA",IF(N$8&lt;INDEX(T_EMP[START DATE],ROW($B51)-ROW($B$8)),"NE",IF(AND(INDEX(T_EMP[TERMINATION DATE],ROW($B51)-ROW($B$8))&gt;0,N$8&gt;INDEX(T_EMP[TERMINATION DATE],ROW($B51)-ROW($B$8))),"NE",IF(NOT(ISERROR(MATCH(N$8,L_HOLS,0))),"H",IF(INDEX(L_WKNDVAL,WEEKDAY(N$8,1))=1,"WKND",INDEX(T_LEAVE[LEAVE CODE],SUMPRODUCT(--(T_LEAVE[NAME]=$B51),--(T_LEAVE[DATE]&lt;=N$8),--(T_LEAVE[DATE]&gt;=N$8),ROW(T_LEAVE[LEAVE CODE]))-ROW(T_LEAVE[#Headers]))))))),"")</f>
        <v/>
      </c>
      <c r="O51" s="75" t="str">
        <f>IFERROR(IF(O$8="","NA",IF(O$8&lt;INDEX(T_EMP[START DATE],ROW($B51)-ROW($B$8)),"NE",IF(AND(INDEX(T_EMP[TERMINATION DATE],ROW($B51)-ROW($B$8))&gt;0,O$8&gt;INDEX(T_EMP[TERMINATION DATE],ROW($B51)-ROW($B$8))),"NE",IF(NOT(ISERROR(MATCH(O$8,L_HOLS,0))),"H",IF(INDEX(L_WKNDVAL,WEEKDAY(O$8,1))=1,"WKND",INDEX(T_LEAVE[LEAVE CODE],SUMPRODUCT(--(T_LEAVE[NAME]=$B51),--(T_LEAVE[DATE]&lt;=O$8),--(T_LEAVE[DATE]&gt;=O$8),ROW(T_LEAVE[LEAVE CODE]))-ROW(T_LEAVE[#Headers]))))))),"")</f>
        <v/>
      </c>
      <c r="P51" s="75" t="str">
        <f>IFERROR(IF(P$8="","NA",IF(P$8&lt;INDEX(T_EMP[START DATE],ROW($B51)-ROW($B$8)),"NE",IF(AND(INDEX(T_EMP[TERMINATION DATE],ROW($B51)-ROW($B$8))&gt;0,P$8&gt;INDEX(T_EMP[TERMINATION DATE],ROW($B51)-ROW($B$8))),"NE",IF(NOT(ISERROR(MATCH(P$8,L_HOLS,0))),"H",IF(INDEX(L_WKNDVAL,WEEKDAY(P$8,1))=1,"WKND",INDEX(T_LEAVE[LEAVE CODE],SUMPRODUCT(--(T_LEAVE[NAME]=$B51),--(T_LEAVE[DATE]&lt;=P$8),--(T_LEAVE[DATE]&gt;=P$8),ROW(T_LEAVE[LEAVE CODE]))-ROW(T_LEAVE[#Headers]))))))),"")</f>
        <v>H</v>
      </c>
      <c r="Q51" s="75" t="str">
        <f>IFERROR(IF(Q$8="","NA",IF(Q$8&lt;INDEX(T_EMP[START DATE],ROW($B51)-ROW($B$8)),"NE",IF(AND(INDEX(T_EMP[TERMINATION DATE],ROW($B51)-ROW($B$8))&gt;0,Q$8&gt;INDEX(T_EMP[TERMINATION DATE],ROW($B51)-ROW($B$8))),"NE",IF(NOT(ISERROR(MATCH(Q$8,L_HOLS,0))),"H",IF(INDEX(L_WKNDVAL,WEEKDAY(Q$8,1))=1,"WKND",INDEX(T_LEAVE[LEAVE CODE],SUMPRODUCT(--(T_LEAVE[NAME]=$B51),--(T_LEAVE[DATE]&lt;=Q$8),--(T_LEAVE[DATE]&gt;=Q$8),ROW(T_LEAVE[LEAVE CODE]))-ROW(T_LEAVE[#Headers]))))))),"")</f>
        <v/>
      </c>
      <c r="R51" s="75" t="str">
        <f>IFERROR(IF(R$8="","NA",IF(R$8&lt;INDEX(T_EMP[START DATE],ROW($B51)-ROW($B$8)),"NE",IF(AND(INDEX(T_EMP[TERMINATION DATE],ROW($B51)-ROW($B$8))&gt;0,R$8&gt;INDEX(T_EMP[TERMINATION DATE],ROW($B51)-ROW($B$8))),"NE",IF(NOT(ISERROR(MATCH(R$8,L_HOLS,0))),"H",IF(INDEX(L_WKNDVAL,WEEKDAY(R$8,1))=1,"WKND",INDEX(T_LEAVE[LEAVE CODE],SUMPRODUCT(--(T_LEAVE[NAME]=$B51),--(T_LEAVE[DATE]&lt;=R$8),--(T_LEAVE[DATE]&gt;=R$8),ROW(T_LEAVE[LEAVE CODE]))-ROW(T_LEAVE[#Headers]))))))),"")</f>
        <v/>
      </c>
      <c r="S51" s="75" t="str">
        <f>IFERROR(IF(S$8="","NA",IF(S$8&lt;INDEX(T_EMP[START DATE],ROW($B51)-ROW($B$8)),"NE",IF(AND(INDEX(T_EMP[TERMINATION DATE],ROW($B51)-ROW($B$8))&gt;0,S$8&gt;INDEX(T_EMP[TERMINATION DATE],ROW($B51)-ROW($B$8))),"NE",IF(NOT(ISERROR(MATCH(S$8,L_HOLS,0))),"H",IF(INDEX(L_WKNDVAL,WEEKDAY(S$8,1))=1,"WKND",INDEX(T_LEAVE[LEAVE CODE],SUMPRODUCT(--(T_LEAVE[NAME]=$B51),--(T_LEAVE[DATE]&lt;=S$8),--(T_LEAVE[DATE]&gt;=S$8),ROW(T_LEAVE[LEAVE CODE]))-ROW(T_LEAVE[#Headers]))))))),"")</f>
        <v/>
      </c>
      <c r="T51" s="75" t="str">
        <f>IFERROR(IF(T$8="","NA",IF(T$8&lt;INDEX(T_EMP[START DATE],ROW($B51)-ROW($B$8)),"NE",IF(AND(INDEX(T_EMP[TERMINATION DATE],ROW($B51)-ROW($B$8))&gt;0,T$8&gt;INDEX(T_EMP[TERMINATION DATE],ROW($B51)-ROW($B$8))),"NE",IF(NOT(ISERROR(MATCH(T$8,L_HOLS,0))),"H",IF(INDEX(L_WKNDVAL,WEEKDAY(T$8,1))=1,"WKND",INDEX(T_LEAVE[LEAVE CODE],SUMPRODUCT(--(T_LEAVE[NAME]=$B51),--(T_LEAVE[DATE]&lt;=T$8),--(T_LEAVE[DATE]&gt;=T$8),ROW(T_LEAVE[LEAVE CODE]))-ROW(T_LEAVE[#Headers]))))))),"")</f>
        <v/>
      </c>
      <c r="U51" s="75" t="str">
        <f>IFERROR(IF(U$8="","NA",IF(U$8&lt;INDEX(T_EMP[START DATE],ROW($B51)-ROW($B$8)),"NE",IF(AND(INDEX(T_EMP[TERMINATION DATE],ROW($B51)-ROW($B$8))&gt;0,U$8&gt;INDEX(T_EMP[TERMINATION DATE],ROW($B51)-ROW($B$8))),"NE",IF(NOT(ISERROR(MATCH(U$8,L_HOLS,0))),"H",IF(INDEX(L_WKNDVAL,WEEKDAY(U$8,1))=1,"WKND",INDEX(T_LEAVE[LEAVE CODE],SUMPRODUCT(--(T_LEAVE[NAME]=$B51),--(T_LEAVE[DATE]&lt;=U$8),--(T_LEAVE[DATE]&gt;=U$8),ROW(T_LEAVE[LEAVE CODE]))-ROW(T_LEAVE[#Headers]))))))),"")</f>
        <v/>
      </c>
      <c r="V51" s="75" t="str">
        <f>IFERROR(IF(V$8="","NA",IF(V$8&lt;INDEX(T_EMP[START DATE],ROW($B51)-ROW($B$8)),"NE",IF(AND(INDEX(T_EMP[TERMINATION DATE],ROW($B51)-ROW($B$8))&gt;0,V$8&gt;INDEX(T_EMP[TERMINATION DATE],ROW($B51)-ROW($B$8))),"NE",IF(NOT(ISERROR(MATCH(V$8,L_HOLS,0))),"H",IF(INDEX(L_WKNDVAL,WEEKDAY(V$8,1))=1,"WKND",INDEX(T_LEAVE[LEAVE CODE],SUMPRODUCT(--(T_LEAVE[NAME]=$B51),--(T_LEAVE[DATE]&lt;=V$8),--(T_LEAVE[DATE]&gt;=V$8),ROW(T_LEAVE[LEAVE CODE]))-ROW(T_LEAVE[#Headers]))))))),"")</f>
        <v/>
      </c>
      <c r="W51" s="75" t="str">
        <f>IFERROR(IF(W$8="","NA",IF(W$8&lt;INDEX(T_EMP[START DATE],ROW($B51)-ROW($B$8)),"NE",IF(AND(INDEX(T_EMP[TERMINATION DATE],ROW($B51)-ROW($B$8))&gt;0,W$8&gt;INDEX(T_EMP[TERMINATION DATE],ROW($B51)-ROW($B$8))),"NE",IF(NOT(ISERROR(MATCH(W$8,L_HOLS,0))),"H",IF(INDEX(L_WKNDVAL,WEEKDAY(W$8,1))=1,"WKND",INDEX(T_LEAVE[LEAVE CODE],SUMPRODUCT(--(T_LEAVE[NAME]=$B51),--(T_LEAVE[DATE]&lt;=W$8),--(T_LEAVE[DATE]&gt;=W$8),ROW(T_LEAVE[LEAVE CODE]))-ROW(T_LEAVE[#Headers]))))))),"")</f>
        <v/>
      </c>
      <c r="X51" s="75" t="str">
        <f>IFERROR(IF(X$8="","NA",IF(X$8&lt;INDEX(T_EMP[START DATE],ROW($B51)-ROW($B$8)),"NE",IF(AND(INDEX(T_EMP[TERMINATION DATE],ROW($B51)-ROW($B$8))&gt;0,X$8&gt;INDEX(T_EMP[TERMINATION DATE],ROW($B51)-ROW($B$8))),"NE",IF(NOT(ISERROR(MATCH(X$8,L_HOLS,0))),"H",IF(INDEX(L_WKNDVAL,WEEKDAY(X$8,1))=1,"WKND",INDEX(T_LEAVE[LEAVE CODE],SUMPRODUCT(--(T_LEAVE[NAME]=$B51),--(T_LEAVE[DATE]&lt;=X$8),--(T_LEAVE[DATE]&gt;=X$8),ROW(T_LEAVE[LEAVE CODE]))-ROW(T_LEAVE[#Headers]))))))),"")</f>
        <v/>
      </c>
      <c r="Y51" s="75" t="str">
        <f>IFERROR(IF(Y$8="","NA",IF(Y$8&lt;INDEX(T_EMP[START DATE],ROW($B51)-ROW($B$8)),"NE",IF(AND(INDEX(T_EMP[TERMINATION DATE],ROW($B51)-ROW($B$8))&gt;0,Y$8&gt;INDEX(T_EMP[TERMINATION DATE],ROW($B51)-ROW($B$8))),"NE",IF(NOT(ISERROR(MATCH(Y$8,L_HOLS,0))),"H",IF(INDEX(L_WKNDVAL,WEEKDAY(Y$8,1))=1,"WKND",INDEX(T_LEAVE[LEAVE CODE],SUMPRODUCT(--(T_LEAVE[NAME]=$B51),--(T_LEAVE[DATE]&lt;=Y$8),--(T_LEAVE[DATE]&gt;=Y$8),ROW(T_LEAVE[LEAVE CODE]))-ROW(T_LEAVE[#Headers]))))))),"")</f>
        <v/>
      </c>
      <c r="Z51" s="75" t="str">
        <f>IFERROR(IF(Z$8="","NA",IF(Z$8&lt;INDEX(T_EMP[START DATE],ROW($B51)-ROW($B$8)),"NE",IF(AND(INDEX(T_EMP[TERMINATION DATE],ROW($B51)-ROW($B$8))&gt;0,Z$8&gt;INDEX(T_EMP[TERMINATION DATE],ROW($B51)-ROW($B$8))),"NE",IF(NOT(ISERROR(MATCH(Z$8,L_HOLS,0))),"H",IF(INDEX(L_WKNDVAL,WEEKDAY(Z$8,1))=1,"WKND",INDEX(T_LEAVE[LEAVE CODE],SUMPRODUCT(--(T_LEAVE[NAME]=$B51),--(T_LEAVE[DATE]&lt;=Z$8),--(T_LEAVE[DATE]&gt;=Z$8),ROW(T_LEAVE[LEAVE CODE]))-ROW(T_LEAVE[#Headers]))))))),"")</f>
        <v/>
      </c>
      <c r="AA51" s="75" t="str">
        <f>IFERROR(IF(AA$8="","NA",IF(AA$8&lt;INDEX(T_EMP[START DATE],ROW($B51)-ROW($B$8)),"NE",IF(AND(INDEX(T_EMP[TERMINATION DATE],ROW($B51)-ROW($B$8))&gt;0,AA$8&gt;INDEX(T_EMP[TERMINATION DATE],ROW($B51)-ROW($B$8))),"NE",IF(NOT(ISERROR(MATCH(AA$8,L_HOLS,0))),"H",IF(INDEX(L_WKNDVAL,WEEKDAY(AA$8,1))=1,"WKND",INDEX(T_LEAVE[LEAVE CODE],SUMPRODUCT(--(T_LEAVE[NAME]=$B51),--(T_LEAVE[DATE]&lt;=AA$8),--(T_LEAVE[DATE]&gt;=AA$8),ROW(T_LEAVE[LEAVE CODE]))-ROW(T_LEAVE[#Headers]))))))),"")</f>
        <v/>
      </c>
      <c r="AB51" s="75" t="str">
        <f>IFERROR(IF(AB$8="","NA",IF(AB$8&lt;INDEX(T_EMP[START DATE],ROW($B51)-ROW($B$8)),"NE",IF(AND(INDEX(T_EMP[TERMINATION DATE],ROW($B51)-ROW($B$8))&gt;0,AB$8&gt;INDEX(T_EMP[TERMINATION DATE],ROW($B51)-ROW($B$8))),"NE",IF(NOT(ISERROR(MATCH(AB$8,L_HOLS,0))),"H",IF(INDEX(L_WKNDVAL,WEEKDAY(AB$8,1))=1,"WKND",INDEX(T_LEAVE[LEAVE CODE],SUMPRODUCT(--(T_LEAVE[NAME]=$B51),--(T_LEAVE[DATE]&lt;=AB$8),--(T_LEAVE[DATE]&gt;=AB$8),ROW(T_LEAVE[LEAVE CODE]))-ROW(T_LEAVE[#Headers]))))))),"")</f>
        <v/>
      </c>
      <c r="AC51" s="75" t="str">
        <f>IFERROR(IF(AC$8="","NA",IF(AC$8&lt;INDEX(T_EMP[START DATE],ROW($B51)-ROW($B$8)),"NE",IF(AND(INDEX(T_EMP[TERMINATION DATE],ROW($B51)-ROW($B$8))&gt;0,AC$8&gt;INDEX(T_EMP[TERMINATION DATE],ROW($B51)-ROW($B$8))),"NE",IF(NOT(ISERROR(MATCH(AC$8,L_HOLS,0))),"H",IF(INDEX(L_WKNDVAL,WEEKDAY(AC$8,1))=1,"WKND",INDEX(T_LEAVE[LEAVE CODE],SUMPRODUCT(--(T_LEAVE[NAME]=$B51),--(T_LEAVE[DATE]&lt;=AC$8),--(T_LEAVE[DATE]&gt;=AC$8),ROW(T_LEAVE[LEAVE CODE]))-ROW(T_LEAVE[#Headers]))))))),"")</f>
        <v/>
      </c>
      <c r="AD51" s="75" t="str">
        <f>IFERROR(IF(AD$8="","NA",IF(AD$8&lt;INDEX(T_EMP[START DATE],ROW($B51)-ROW($B$8)),"NE",IF(AND(INDEX(T_EMP[TERMINATION DATE],ROW($B51)-ROW($B$8))&gt;0,AD$8&gt;INDEX(T_EMP[TERMINATION DATE],ROW($B51)-ROW($B$8))),"NE",IF(NOT(ISERROR(MATCH(AD$8,L_HOLS,0))),"H",IF(INDEX(L_WKNDVAL,WEEKDAY(AD$8,1))=1,"WKND",INDEX(T_LEAVE[LEAVE CODE],SUMPRODUCT(--(T_LEAVE[NAME]=$B51),--(T_LEAVE[DATE]&lt;=AD$8),--(T_LEAVE[DATE]&gt;=AD$8),ROW(T_LEAVE[LEAVE CODE]))-ROW(T_LEAVE[#Headers]))))))),"")</f>
        <v/>
      </c>
      <c r="AE51" s="75" t="str">
        <f>IFERROR(IF(AE$8="","NA",IF(AE$8&lt;INDEX(T_EMP[START DATE],ROW($B51)-ROW($B$8)),"NE",IF(AND(INDEX(T_EMP[TERMINATION DATE],ROW($B51)-ROW($B$8))&gt;0,AE$8&gt;INDEX(T_EMP[TERMINATION DATE],ROW($B51)-ROW($B$8))),"NE",IF(NOT(ISERROR(MATCH(AE$8,L_HOLS,0))),"H",IF(INDEX(L_WKNDVAL,WEEKDAY(AE$8,1))=1,"WKND",INDEX(T_LEAVE[LEAVE CODE],SUMPRODUCT(--(T_LEAVE[NAME]=$B51),--(T_LEAVE[DATE]&lt;=AE$8),--(T_LEAVE[DATE]&gt;=AE$8),ROW(T_LEAVE[LEAVE CODE]))-ROW(T_LEAVE[#Headers]))))))),"")</f>
        <v/>
      </c>
      <c r="AF51" s="75" t="str">
        <f>IFERROR(IF(AF$8="","NA",IF(AF$8&lt;INDEX(T_EMP[START DATE],ROW($B51)-ROW($B$8)),"NE",IF(AND(INDEX(T_EMP[TERMINATION DATE],ROW($B51)-ROW($B$8))&gt;0,AF$8&gt;INDEX(T_EMP[TERMINATION DATE],ROW($B51)-ROW($B$8))),"NE",IF(NOT(ISERROR(MATCH(AF$8,L_HOLS,0))),"H",IF(INDEX(L_WKNDVAL,WEEKDAY(AF$8,1))=1,"WKND",INDEX(T_LEAVE[LEAVE CODE],SUMPRODUCT(--(T_LEAVE[NAME]=$B51),--(T_LEAVE[DATE]&lt;=AF$8),--(T_LEAVE[DATE]&gt;=AF$8),ROW(T_LEAVE[LEAVE CODE]))-ROW(T_LEAVE[#Headers]))))))),"")</f>
        <v/>
      </c>
      <c r="AG51" s="75" t="str">
        <f>IFERROR(IF(AG$8="","NA",IF(AG$8&lt;INDEX(T_EMP[START DATE],ROW($B51)-ROW($B$8)),"NE",IF(AND(INDEX(T_EMP[TERMINATION DATE],ROW($B51)-ROW($B$8))&gt;0,AG$8&gt;INDEX(T_EMP[TERMINATION DATE],ROW($B51)-ROW($B$8))),"NE",IF(NOT(ISERROR(MATCH(AG$8,L_HOLS,0))),"H",IF(INDEX(L_WKNDVAL,WEEKDAY(AG$8,1))=1,"WKND",INDEX(T_LEAVE[LEAVE CODE],SUMPRODUCT(--(T_LEAVE[NAME]=$B51),--(T_LEAVE[DATE]&lt;=AG$8),--(T_LEAVE[DATE]&gt;=AG$8),ROW(T_LEAVE[LEAVE CODE]))-ROW(T_LEAVE[#Headers]))))))),"")</f>
        <v/>
      </c>
      <c r="AH51" s="75" t="str">
        <f>IFERROR(IF(AH$8="","NA",IF(AH$8&lt;INDEX(T_EMP[START DATE],ROW($B51)-ROW($B$8)),"NE",IF(AND(INDEX(T_EMP[TERMINATION DATE],ROW($B51)-ROW($B$8))&gt;0,AH$8&gt;INDEX(T_EMP[TERMINATION DATE],ROW($B51)-ROW($B$8))),"NE",IF(NOT(ISERROR(MATCH(AH$8,L_HOLS,0))),"H",IF(INDEX(L_WKNDVAL,WEEKDAY(AH$8,1))=1,"WKND",INDEX(T_LEAVE[LEAVE CODE],SUMPRODUCT(--(T_LEAVE[NAME]=$B51),--(T_LEAVE[DATE]&lt;=AH$8),--(T_LEAVE[DATE]&gt;=AH$8),ROW(T_LEAVE[LEAVE CODE]))-ROW(T_LEAVE[#Headers]))))))),"")</f>
        <v/>
      </c>
      <c r="AJ51" s="88">
        <f>IF(OR($B51="",AJ$8=""),"",COUNTIFS($D51:$AH51,AJ$8)*INDEX(T_LEAVETYPE[DAY VALUE],1))</f>
        <v>0</v>
      </c>
      <c r="AK51" s="88">
        <f>IF(OR($B51="",AK$8=""),"",COUNTIFS($D51:$AH51,AK$8)*INDEX(T_LEAVETYPE[DAY VALUE],1))</f>
        <v>0</v>
      </c>
      <c r="AL51" s="88">
        <f>IF(OR($B51="",AL$8=""),"",COUNTIFS($D51:$AH51,AL$8)*INDEX(T_LEAVETYPE[DAY VALUE],1))</f>
        <v>0</v>
      </c>
      <c r="AM51" s="88">
        <f>IF(OR($B51="",AM$8=""),"",COUNTIFS($D51:$AH51,AM$8)*INDEX(T_LEAVETYPE[DAY VALUE],1))</f>
        <v>0</v>
      </c>
      <c r="AN51" s="88">
        <f>IF(OR($B51="",AN$8=""),"",COUNTIFS($D51:$AH51,AN$8)*INDEX(T_LEAVETYPE[DAY VALUE],1))</f>
        <v>0</v>
      </c>
      <c r="AO51" s="88">
        <f>IF(OR($B51="",AO$8=""),"",COUNTIFS($D51:$AH51,AO$8)*INDEX(T_LEAVETYPE[DAY VALUE],6))</f>
        <v>0</v>
      </c>
      <c r="AP51" s="88">
        <f>IF(OR($B51="",AP$8=""),"",COUNTIFS($D51:$AH51,AP$8)*INDEX(T_LEAVETYPE[DAY VALUE],7))</f>
        <v>0</v>
      </c>
      <c r="AQ51" s="88">
        <f>IF(OR($B51="",AQ$8=""),"",COUNTIFS($D51:$AH51,AQ$8)*INDEX(T_LEAVETYPE[DAY VALUE],8))</f>
        <v>0</v>
      </c>
      <c r="AR51" s="89">
        <f t="shared" si="5"/>
        <v>0</v>
      </c>
    </row>
    <row r="52" spans="1:44" x14ac:dyDescent="0.25">
      <c r="A52" s="90">
        <f t="shared" si="4"/>
        <v>44</v>
      </c>
      <c r="B52" s="74" t="str">
        <f>IFERROR(INDEX(T_EMP[NAME],ROW(B52)-ROW($B$8)),"")</f>
        <v>CARDONA, JEFFREY</v>
      </c>
      <c r="C52" s="91" t="str">
        <f>IFERROR(INDEX(T_EMP[DEPARTMENT],ROW(B52)-ROW($C$8)),"")</f>
        <v>OB SALES</v>
      </c>
      <c r="D52" s="75" t="str">
        <f>IFERROR(IF(D$8="","NA",IF(D$8&lt;INDEX(T_EMP[START DATE],ROW($B52)-ROW($B$8)),"NE",IF(AND(INDEX(T_EMP[TERMINATION DATE],ROW($B52)-ROW($B$8))&gt;0,D$8&gt;INDEX(T_EMP[TERMINATION DATE],ROW($B52)-ROW($B$8))),"NE",IF(NOT(ISERROR(MATCH(D$8,L_HOLS,0))),"H",IF(INDEX(L_WKNDVAL,WEEKDAY(D$8,1))=1,"WKND",INDEX(T_LEAVE[LEAVE CODE],SUMPRODUCT(--(T_LEAVE[NAME]=$B52),--(T_LEAVE[DATE]&lt;=D$8),--(T_LEAVE[DATE]&gt;=D$8),ROW(T_LEAVE[LEAVE CODE]))-ROW(T_LEAVE[#Headers]))))))),"")</f>
        <v>H</v>
      </c>
      <c r="E52" s="75" t="str">
        <f>IFERROR(IF(E$8="","NA",IF(E$8&lt;INDEX(T_EMP[START DATE],ROW($B52)-ROW($B$8)),"NE",IF(AND(INDEX(T_EMP[TERMINATION DATE],ROW($B52)-ROW($B$8))&gt;0,E$8&gt;INDEX(T_EMP[TERMINATION DATE],ROW($B52)-ROW($B$8))),"NE",IF(NOT(ISERROR(MATCH(E$8,L_HOLS,0))),"H",IF(INDEX(L_WKNDVAL,WEEKDAY(E$8,1))=1,"WKND",INDEX(T_LEAVE[LEAVE CODE],SUMPRODUCT(--(T_LEAVE[NAME]=$B52),--(T_LEAVE[DATE]&lt;=E$8),--(T_LEAVE[DATE]&gt;=E$8),ROW(T_LEAVE[LEAVE CODE]))-ROW(T_LEAVE[#Headers]))))))),"")</f>
        <v/>
      </c>
      <c r="F52" s="75" t="str">
        <f>IFERROR(IF(F$8="","NA",IF(F$8&lt;INDEX(T_EMP[START DATE],ROW($B52)-ROW($B$8)),"NE",IF(AND(INDEX(T_EMP[TERMINATION DATE],ROW($B52)-ROW($B$8))&gt;0,F$8&gt;INDEX(T_EMP[TERMINATION DATE],ROW($B52)-ROW($B$8))),"NE",IF(NOT(ISERROR(MATCH(F$8,L_HOLS,0))),"H",IF(INDEX(L_WKNDVAL,WEEKDAY(F$8,1))=1,"WKND",INDEX(T_LEAVE[LEAVE CODE],SUMPRODUCT(--(T_LEAVE[NAME]=$B52),--(T_LEAVE[DATE]&lt;=F$8),--(T_LEAVE[DATE]&gt;=F$8),ROW(T_LEAVE[LEAVE CODE]))-ROW(T_LEAVE[#Headers]))))))),"")</f>
        <v/>
      </c>
      <c r="G52" s="75" t="str">
        <f>IFERROR(IF(G$8="","NA",IF(G$8&lt;INDEX(T_EMP[START DATE],ROW($B52)-ROW($B$8)),"NE",IF(AND(INDEX(T_EMP[TERMINATION DATE],ROW($B52)-ROW($B$8))&gt;0,G$8&gt;INDEX(T_EMP[TERMINATION DATE],ROW($B52)-ROW($B$8))),"NE",IF(NOT(ISERROR(MATCH(G$8,L_HOLS,0))),"H",IF(INDEX(L_WKNDVAL,WEEKDAY(G$8,1))=1,"WKND",INDEX(T_LEAVE[LEAVE CODE],SUMPRODUCT(--(T_LEAVE[NAME]=$B52),--(T_LEAVE[DATE]&lt;=G$8),--(T_LEAVE[DATE]&gt;=G$8),ROW(T_LEAVE[LEAVE CODE]))-ROW(T_LEAVE[#Headers]))))))),"")</f>
        <v/>
      </c>
      <c r="H52" s="75" t="str">
        <f>IFERROR(IF(H$8="","NA",IF(H$8&lt;INDEX(T_EMP[START DATE],ROW($B52)-ROW($B$8)),"NE",IF(AND(INDEX(T_EMP[TERMINATION DATE],ROW($B52)-ROW($B$8))&gt;0,H$8&gt;INDEX(T_EMP[TERMINATION DATE],ROW($B52)-ROW($B$8))),"NE",IF(NOT(ISERROR(MATCH(H$8,L_HOLS,0))),"H",IF(INDEX(L_WKNDVAL,WEEKDAY(H$8,1))=1,"WKND",INDEX(T_LEAVE[LEAVE CODE],SUMPRODUCT(--(T_LEAVE[NAME]=$B52),--(T_LEAVE[DATE]&lt;=H$8),--(T_LEAVE[DATE]&gt;=H$8),ROW(T_LEAVE[LEAVE CODE]))-ROW(T_LEAVE[#Headers]))))))),"")</f>
        <v/>
      </c>
      <c r="I52" s="75" t="str">
        <f>IFERROR(IF(I$8="","NA",IF(I$8&lt;INDEX(T_EMP[START DATE],ROW($B52)-ROW($B$8)),"NE",IF(AND(INDEX(T_EMP[TERMINATION DATE],ROW($B52)-ROW($B$8))&gt;0,I$8&gt;INDEX(T_EMP[TERMINATION DATE],ROW($B52)-ROW($B$8))),"NE",IF(NOT(ISERROR(MATCH(I$8,L_HOLS,0))),"H",IF(INDEX(L_WKNDVAL,WEEKDAY(I$8,1))=1,"WKND",INDEX(T_LEAVE[LEAVE CODE],SUMPRODUCT(--(T_LEAVE[NAME]=$B52),--(T_LEAVE[DATE]&lt;=I$8),--(T_LEAVE[DATE]&gt;=I$8),ROW(T_LEAVE[LEAVE CODE]))-ROW(T_LEAVE[#Headers]))))))),"")</f>
        <v/>
      </c>
      <c r="J52" s="75" t="str">
        <f>IFERROR(IF(J$8="","NA",IF(J$8&lt;INDEX(T_EMP[START DATE],ROW($B52)-ROW($B$8)),"NE",IF(AND(INDEX(T_EMP[TERMINATION DATE],ROW($B52)-ROW($B$8))&gt;0,J$8&gt;INDEX(T_EMP[TERMINATION DATE],ROW($B52)-ROW($B$8))),"NE",IF(NOT(ISERROR(MATCH(J$8,L_HOLS,0))),"H",IF(INDEX(L_WKNDVAL,WEEKDAY(J$8,1))=1,"WKND",INDEX(T_LEAVE[LEAVE CODE],SUMPRODUCT(--(T_LEAVE[NAME]=$B52),--(T_LEAVE[DATE]&lt;=J$8),--(T_LEAVE[DATE]&gt;=J$8),ROW(T_LEAVE[LEAVE CODE]))-ROW(T_LEAVE[#Headers]))))))),"")</f>
        <v/>
      </c>
      <c r="K52" s="75" t="str">
        <f>IFERROR(IF(K$8="","NA",IF(K$8&lt;INDEX(T_EMP[START DATE],ROW($B52)-ROW($B$8)),"NE",IF(AND(INDEX(T_EMP[TERMINATION DATE],ROW($B52)-ROW($B$8))&gt;0,K$8&gt;INDEX(T_EMP[TERMINATION DATE],ROW($B52)-ROW($B$8))),"NE",IF(NOT(ISERROR(MATCH(K$8,L_HOLS,0))),"H",IF(INDEX(L_WKNDVAL,WEEKDAY(K$8,1))=1,"WKND",INDEX(T_LEAVE[LEAVE CODE],SUMPRODUCT(--(T_LEAVE[NAME]=$B52),--(T_LEAVE[DATE]&lt;=K$8),--(T_LEAVE[DATE]&gt;=K$8),ROW(T_LEAVE[LEAVE CODE]))-ROW(T_LEAVE[#Headers]))))))),"")</f>
        <v/>
      </c>
      <c r="L52" s="75" t="str">
        <f>IFERROR(IF(L$8="","NA",IF(L$8&lt;INDEX(T_EMP[START DATE],ROW($B52)-ROW($B$8)),"NE",IF(AND(INDEX(T_EMP[TERMINATION DATE],ROW($B52)-ROW($B$8))&gt;0,L$8&gt;INDEX(T_EMP[TERMINATION DATE],ROW($B52)-ROW($B$8))),"NE",IF(NOT(ISERROR(MATCH(L$8,L_HOLS,0))),"H",IF(INDEX(L_WKNDVAL,WEEKDAY(L$8,1))=1,"WKND",INDEX(T_LEAVE[LEAVE CODE],SUMPRODUCT(--(T_LEAVE[NAME]=$B52),--(T_LEAVE[DATE]&lt;=L$8),--(T_LEAVE[DATE]&gt;=L$8),ROW(T_LEAVE[LEAVE CODE]))-ROW(T_LEAVE[#Headers]))))))),"")</f>
        <v/>
      </c>
      <c r="M52" s="75" t="str">
        <f>IFERROR(IF(M$8="","NA",IF(M$8&lt;INDEX(T_EMP[START DATE],ROW($B52)-ROW($B$8)),"NE",IF(AND(INDEX(T_EMP[TERMINATION DATE],ROW($B52)-ROW($B$8))&gt;0,M$8&gt;INDEX(T_EMP[TERMINATION DATE],ROW($B52)-ROW($B$8))),"NE",IF(NOT(ISERROR(MATCH(M$8,L_HOLS,0))),"H",IF(INDEX(L_WKNDVAL,WEEKDAY(M$8,1))=1,"WKND",INDEX(T_LEAVE[LEAVE CODE],SUMPRODUCT(--(T_LEAVE[NAME]=$B52),--(T_LEAVE[DATE]&lt;=M$8),--(T_LEAVE[DATE]&gt;=M$8),ROW(T_LEAVE[LEAVE CODE]))-ROW(T_LEAVE[#Headers]))))))),"")</f>
        <v/>
      </c>
      <c r="N52" s="75" t="str">
        <f>IFERROR(IF(N$8="","NA",IF(N$8&lt;INDEX(T_EMP[START DATE],ROW($B52)-ROW($B$8)),"NE",IF(AND(INDEX(T_EMP[TERMINATION DATE],ROW($B52)-ROW($B$8))&gt;0,N$8&gt;INDEX(T_EMP[TERMINATION DATE],ROW($B52)-ROW($B$8))),"NE",IF(NOT(ISERROR(MATCH(N$8,L_HOLS,0))),"H",IF(INDEX(L_WKNDVAL,WEEKDAY(N$8,1))=1,"WKND",INDEX(T_LEAVE[LEAVE CODE],SUMPRODUCT(--(T_LEAVE[NAME]=$B52),--(T_LEAVE[DATE]&lt;=N$8),--(T_LEAVE[DATE]&gt;=N$8),ROW(T_LEAVE[LEAVE CODE]))-ROW(T_LEAVE[#Headers]))))))),"")</f>
        <v/>
      </c>
      <c r="O52" s="75" t="str">
        <f>IFERROR(IF(O$8="","NA",IF(O$8&lt;INDEX(T_EMP[START DATE],ROW($B52)-ROW($B$8)),"NE",IF(AND(INDEX(T_EMP[TERMINATION DATE],ROW($B52)-ROW($B$8))&gt;0,O$8&gt;INDEX(T_EMP[TERMINATION DATE],ROW($B52)-ROW($B$8))),"NE",IF(NOT(ISERROR(MATCH(O$8,L_HOLS,0))),"H",IF(INDEX(L_WKNDVAL,WEEKDAY(O$8,1))=1,"WKND",INDEX(T_LEAVE[LEAVE CODE],SUMPRODUCT(--(T_LEAVE[NAME]=$B52),--(T_LEAVE[DATE]&lt;=O$8),--(T_LEAVE[DATE]&gt;=O$8),ROW(T_LEAVE[LEAVE CODE]))-ROW(T_LEAVE[#Headers]))))))),"")</f>
        <v/>
      </c>
      <c r="P52" s="75" t="str">
        <f>IFERROR(IF(P$8="","NA",IF(P$8&lt;INDEX(T_EMP[START DATE],ROW($B52)-ROW($B$8)),"NE",IF(AND(INDEX(T_EMP[TERMINATION DATE],ROW($B52)-ROW($B$8))&gt;0,P$8&gt;INDEX(T_EMP[TERMINATION DATE],ROW($B52)-ROW($B$8))),"NE",IF(NOT(ISERROR(MATCH(P$8,L_HOLS,0))),"H",IF(INDEX(L_WKNDVAL,WEEKDAY(P$8,1))=1,"WKND",INDEX(T_LEAVE[LEAVE CODE],SUMPRODUCT(--(T_LEAVE[NAME]=$B52),--(T_LEAVE[DATE]&lt;=P$8),--(T_LEAVE[DATE]&gt;=P$8),ROW(T_LEAVE[LEAVE CODE]))-ROW(T_LEAVE[#Headers]))))))),"")</f>
        <v>H</v>
      </c>
      <c r="Q52" s="75" t="str">
        <f>IFERROR(IF(Q$8="","NA",IF(Q$8&lt;INDEX(T_EMP[START DATE],ROW($B52)-ROW($B$8)),"NE",IF(AND(INDEX(T_EMP[TERMINATION DATE],ROW($B52)-ROW($B$8))&gt;0,Q$8&gt;INDEX(T_EMP[TERMINATION DATE],ROW($B52)-ROW($B$8))),"NE",IF(NOT(ISERROR(MATCH(Q$8,L_HOLS,0))),"H",IF(INDEX(L_WKNDVAL,WEEKDAY(Q$8,1))=1,"WKND",INDEX(T_LEAVE[LEAVE CODE],SUMPRODUCT(--(T_LEAVE[NAME]=$B52),--(T_LEAVE[DATE]&lt;=Q$8),--(T_LEAVE[DATE]&gt;=Q$8),ROW(T_LEAVE[LEAVE CODE]))-ROW(T_LEAVE[#Headers]))))))),"")</f>
        <v/>
      </c>
      <c r="R52" s="75" t="str">
        <f>IFERROR(IF(R$8="","NA",IF(R$8&lt;INDEX(T_EMP[START DATE],ROW($B52)-ROW($B$8)),"NE",IF(AND(INDEX(T_EMP[TERMINATION DATE],ROW($B52)-ROW($B$8))&gt;0,R$8&gt;INDEX(T_EMP[TERMINATION DATE],ROW($B52)-ROW($B$8))),"NE",IF(NOT(ISERROR(MATCH(R$8,L_HOLS,0))),"H",IF(INDEX(L_WKNDVAL,WEEKDAY(R$8,1))=1,"WKND",INDEX(T_LEAVE[LEAVE CODE],SUMPRODUCT(--(T_LEAVE[NAME]=$B52),--(T_LEAVE[DATE]&lt;=R$8),--(T_LEAVE[DATE]&gt;=R$8),ROW(T_LEAVE[LEAVE CODE]))-ROW(T_LEAVE[#Headers]))))))),"")</f>
        <v/>
      </c>
      <c r="S52" s="75" t="str">
        <f>IFERROR(IF(S$8="","NA",IF(S$8&lt;INDEX(T_EMP[START DATE],ROW($B52)-ROW($B$8)),"NE",IF(AND(INDEX(T_EMP[TERMINATION DATE],ROW($B52)-ROW($B$8))&gt;0,S$8&gt;INDEX(T_EMP[TERMINATION DATE],ROW($B52)-ROW($B$8))),"NE",IF(NOT(ISERROR(MATCH(S$8,L_HOLS,0))),"H",IF(INDEX(L_WKNDVAL,WEEKDAY(S$8,1))=1,"WKND",INDEX(T_LEAVE[LEAVE CODE],SUMPRODUCT(--(T_LEAVE[NAME]=$B52),--(T_LEAVE[DATE]&lt;=S$8),--(T_LEAVE[DATE]&gt;=S$8),ROW(T_LEAVE[LEAVE CODE]))-ROW(T_LEAVE[#Headers]))))))),"")</f>
        <v/>
      </c>
      <c r="T52" s="75" t="str">
        <f>IFERROR(IF(T$8="","NA",IF(T$8&lt;INDEX(T_EMP[START DATE],ROW($B52)-ROW($B$8)),"NE",IF(AND(INDEX(T_EMP[TERMINATION DATE],ROW($B52)-ROW($B$8))&gt;0,T$8&gt;INDEX(T_EMP[TERMINATION DATE],ROW($B52)-ROW($B$8))),"NE",IF(NOT(ISERROR(MATCH(T$8,L_HOLS,0))),"H",IF(INDEX(L_WKNDVAL,WEEKDAY(T$8,1))=1,"WKND",INDEX(T_LEAVE[LEAVE CODE],SUMPRODUCT(--(T_LEAVE[NAME]=$B52),--(T_LEAVE[DATE]&lt;=T$8),--(T_LEAVE[DATE]&gt;=T$8),ROW(T_LEAVE[LEAVE CODE]))-ROW(T_LEAVE[#Headers]))))))),"")</f>
        <v/>
      </c>
      <c r="U52" s="75" t="str">
        <f>IFERROR(IF(U$8="","NA",IF(U$8&lt;INDEX(T_EMP[START DATE],ROW($B52)-ROW($B$8)),"NE",IF(AND(INDEX(T_EMP[TERMINATION DATE],ROW($B52)-ROW($B$8))&gt;0,U$8&gt;INDEX(T_EMP[TERMINATION DATE],ROW($B52)-ROW($B$8))),"NE",IF(NOT(ISERROR(MATCH(U$8,L_HOLS,0))),"H",IF(INDEX(L_WKNDVAL,WEEKDAY(U$8,1))=1,"WKND",INDEX(T_LEAVE[LEAVE CODE],SUMPRODUCT(--(T_LEAVE[NAME]=$B52),--(T_LEAVE[DATE]&lt;=U$8),--(T_LEAVE[DATE]&gt;=U$8),ROW(T_LEAVE[LEAVE CODE]))-ROW(T_LEAVE[#Headers]))))))),"")</f>
        <v/>
      </c>
      <c r="V52" s="75" t="str">
        <f>IFERROR(IF(V$8="","NA",IF(V$8&lt;INDEX(T_EMP[START DATE],ROW($B52)-ROW($B$8)),"NE",IF(AND(INDEX(T_EMP[TERMINATION DATE],ROW($B52)-ROW($B$8))&gt;0,V$8&gt;INDEX(T_EMP[TERMINATION DATE],ROW($B52)-ROW($B$8))),"NE",IF(NOT(ISERROR(MATCH(V$8,L_HOLS,0))),"H",IF(INDEX(L_WKNDVAL,WEEKDAY(V$8,1))=1,"WKND",INDEX(T_LEAVE[LEAVE CODE],SUMPRODUCT(--(T_LEAVE[NAME]=$B52),--(T_LEAVE[DATE]&lt;=V$8),--(T_LEAVE[DATE]&gt;=V$8),ROW(T_LEAVE[LEAVE CODE]))-ROW(T_LEAVE[#Headers]))))))),"")</f>
        <v/>
      </c>
      <c r="W52" s="75" t="str">
        <f>IFERROR(IF(W$8="","NA",IF(W$8&lt;INDEX(T_EMP[START DATE],ROW($B52)-ROW($B$8)),"NE",IF(AND(INDEX(T_EMP[TERMINATION DATE],ROW($B52)-ROW($B$8))&gt;0,W$8&gt;INDEX(T_EMP[TERMINATION DATE],ROW($B52)-ROW($B$8))),"NE",IF(NOT(ISERROR(MATCH(W$8,L_HOLS,0))),"H",IF(INDEX(L_WKNDVAL,WEEKDAY(W$8,1))=1,"WKND",INDEX(T_LEAVE[LEAVE CODE],SUMPRODUCT(--(T_LEAVE[NAME]=$B52),--(T_LEAVE[DATE]&lt;=W$8),--(T_LEAVE[DATE]&gt;=W$8),ROW(T_LEAVE[LEAVE CODE]))-ROW(T_LEAVE[#Headers]))))))),"")</f>
        <v/>
      </c>
      <c r="X52" s="75" t="str">
        <f>IFERROR(IF(X$8="","NA",IF(X$8&lt;INDEX(T_EMP[START DATE],ROW($B52)-ROW($B$8)),"NE",IF(AND(INDEX(T_EMP[TERMINATION DATE],ROW($B52)-ROW($B$8))&gt;0,X$8&gt;INDEX(T_EMP[TERMINATION DATE],ROW($B52)-ROW($B$8))),"NE",IF(NOT(ISERROR(MATCH(X$8,L_HOLS,0))),"H",IF(INDEX(L_WKNDVAL,WEEKDAY(X$8,1))=1,"WKND",INDEX(T_LEAVE[LEAVE CODE],SUMPRODUCT(--(T_LEAVE[NAME]=$B52),--(T_LEAVE[DATE]&lt;=X$8),--(T_LEAVE[DATE]&gt;=X$8),ROW(T_LEAVE[LEAVE CODE]))-ROW(T_LEAVE[#Headers]))))))),"")</f>
        <v/>
      </c>
      <c r="Y52" s="75" t="str">
        <f>IFERROR(IF(Y$8="","NA",IF(Y$8&lt;INDEX(T_EMP[START DATE],ROW($B52)-ROW($B$8)),"NE",IF(AND(INDEX(T_EMP[TERMINATION DATE],ROW($B52)-ROW($B$8))&gt;0,Y$8&gt;INDEX(T_EMP[TERMINATION DATE],ROW($B52)-ROW($B$8))),"NE",IF(NOT(ISERROR(MATCH(Y$8,L_HOLS,0))),"H",IF(INDEX(L_WKNDVAL,WEEKDAY(Y$8,1))=1,"WKND",INDEX(T_LEAVE[LEAVE CODE],SUMPRODUCT(--(T_LEAVE[NAME]=$B52),--(T_LEAVE[DATE]&lt;=Y$8),--(T_LEAVE[DATE]&gt;=Y$8),ROW(T_LEAVE[LEAVE CODE]))-ROW(T_LEAVE[#Headers]))))))),"")</f>
        <v/>
      </c>
      <c r="Z52" s="75" t="str">
        <f>IFERROR(IF(Z$8="","NA",IF(Z$8&lt;INDEX(T_EMP[START DATE],ROW($B52)-ROW($B$8)),"NE",IF(AND(INDEX(T_EMP[TERMINATION DATE],ROW($B52)-ROW($B$8))&gt;0,Z$8&gt;INDEX(T_EMP[TERMINATION DATE],ROW($B52)-ROW($B$8))),"NE",IF(NOT(ISERROR(MATCH(Z$8,L_HOLS,0))),"H",IF(INDEX(L_WKNDVAL,WEEKDAY(Z$8,1))=1,"WKND",INDEX(T_LEAVE[LEAVE CODE],SUMPRODUCT(--(T_LEAVE[NAME]=$B52),--(T_LEAVE[DATE]&lt;=Z$8),--(T_LEAVE[DATE]&gt;=Z$8),ROW(T_LEAVE[LEAVE CODE]))-ROW(T_LEAVE[#Headers]))))))),"")</f>
        <v/>
      </c>
      <c r="AA52" s="75" t="str">
        <f>IFERROR(IF(AA$8="","NA",IF(AA$8&lt;INDEX(T_EMP[START DATE],ROW($B52)-ROW($B$8)),"NE",IF(AND(INDEX(T_EMP[TERMINATION DATE],ROW($B52)-ROW($B$8))&gt;0,AA$8&gt;INDEX(T_EMP[TERMINATION DATE],ROW($B52)-ROW($B$8))),"NE",IF(NOT(ISERROR(MATCH(AA$8,L_HOLS,0))),"H",IF(INDEX(L_WKNDVAL,WEEKDAY(AA$8,1))=1,"WKND",INDEX(T_LEAVE[LEAVE CODE],SUMPRODUCT(--(T_LEAVE[NAME]=$B52),--(T_LEAVE[DATE]&lt;=AA$8),--(T_LEAVE[DATE]&gt;=AA$8),ROW(T_LEAVE[LEAVE CODE]))-ROW(T_LEAVE[#Headers]))))))),"")</f>
        <v/>
      </c>
      <c r="AB52" s="75" t="str">
        <f>IFERROR(IF(AB$8="","NA",IF(AB$8&lt;INDEX(T_EMP[START DATE],ROW($B52)-ROW($B$8)),"NE",IF(AND(INDEX(T_EMP[TERMINATION DATE],ROW($B52)-ROW($B$8))&gt;0,AB$8&gt;INDEX(T_EMP[TERMINATION DATE],ROW($B52)-ROW($B$8))),"NE",IF(NOT(ISERROR(MATCH(AB$8,L_HOLS,0))),"H",IF(INDEX(L_WKNDVAL,WEEKDAY(AB$8,1))=1,"WKND",INDEX(T_LEAVE[LEAVE CODE],SUMPRODUCT(--(T_LEAVE[NAME]=$B52),--(T_LEAVE[DATE]&lt;=AB$8),--(T_LEAVE[DATE]&gt;=AB$8),ROW(T_LEAVE[LEAVE CODE]))-ROW(T_LEAVE[#Headers]))))))),"")</f>
        <v/>
      </c>
      <c r="AC52" s="75" t="str">
        <f>IFERROR(IF(AC$8="","NA",IF(AC$8&lt;INDEX(T_EMP[START DATE],ROW($B52)-ROW($B$8)),"NE",IF(AND(INDEX(T_EMP[TERMINATION DATE],ROW($B52)-ROW($B$8))&gt;0,AC$8&gt;INDEX(T_EMP[TERMINATION DATE],ROW($B52)-ROW($B$8))),"NE",IF(NOT(ISERROR(MATCH(AC$8,L_HOLS,0))),"H",IF(INDEX(L_WKNDVAL,WEEKDAY(AC$8,1))=1,"WKND",INDEX(T_LEAVE[LEAVE CODE],SUMPRODUCT(--(T_LEAVE[NAME]=$B52),--(T_LEAVE[DATE]&lt;=AC$8),--(T_LEAVE[DATE]&gt;=AC$8),ROW(T_LEAVE[LEAVE CODE]))-ROW(T_LEAVE[#Headers]))))))),"")</f>
        <v/>
      </c>
      <c r="AD52" s="75" t="str">
        <f>IFERROR(IF(AD$8="","NA",IF(AD$8&lt;INDEX(T_EMP[START DATE],ROW($B52)-ROW($B$8)),"NE",IF(AND(INDEX(T_EMP[TERMINATION DATE],ROW($B52)-ROW($B$8))&gt;0,AD$8&gt;INDEX(T_EMP[TERMINATION DATE],ROW($B52)-ROW($B$8))),"NE",IF(NOT(ISERROR(MATCH(AD$8,L_HOLS,0))),"H",IF(INDEX(L_WKNDVAL,WEEKDAY(AD$8,1))=1,"WKND",INDEX(T_LEAVE[LEAVE CODE],SUMPRODUCT(--(T_LEAVE[NAME]=$B52),--(T_LEAVE[DATE]&lt;=AD$8),--(T_LEAVE[DATE]&gt;=AD$8),ROW(T_LEAVE[LEAVE CODE]))-ROW(T_LEAVE[#Headers]))))))),"")</f>
        <v/>
      </c>
      <c r="AE52" s="75" t="str">
        <f>IFERROR(IF(AE$8="","NA",IF(AE$8&lt;INDEX(T_EMP[START DATE],ROW($B52)-ROW($B$8)),"NE",IF(AND(INDEX(T_EMP[TERMINATION DATE],ROW($B52)-ROW($B$8))&gt;0,AE$8&gt;INDEX(T_EMP[TERMINATION DATE],ROW($B52)-ROW($B$8))),"NE",IF(NOT(ISERROR(MATCH(AE$8,L_HOLS,0))),"H",IF(INDEX(L_WKNDVAL,WEEKDAY(AE$8,1))=1,"WKND",INDEX(T_LEAVE[LEAVE CODE],SUMPRODUCT(--(T_LEAVE[NAME]=$B52),--(T_LEAVE[DATE]&lt;=AE$8),--(T_LEAVE[DATE]&gt;=AE$8),ROW(T_LEAVE[LEAVE CODE]))-ROW(T_LEAVE[#Headers]))))))),"")</f>
        <v/>
      </c>
      <c r="AF52" s="75" t="str">
        <f>IFERROR(IF(AF$8="","NA",IF(AF$8&lt;INDEX(T_EMP[START DATE],ROW($B52)-ROW($B$8)),"NE",IF(AND(INDEX(T_EMP[TERMINATION DATE],ROW($B52)-ROW($B$8))&gt;0,AF$8&gt;INDEX(T_EMP[TERMINATION DATE],ROW($B52)-ROW($B$8))),"NE",IF(NOT(ISERROR(MATCH(AF$8,L_HOLS,0))),"H",IF(INDEX(L_WKNDVAL,WEEKDAY(AF$8,1))=1,"WKND",INDEX(T_LEAVE[LEAVE CODE],SUMPRODUCT(--(T_LEAVE[NAME]=$B52),--(T_LEAVE[DATE]&lt;=AF$8),--(T_LEAVE[DATE]&gt;=AF$8),ROW(T_LEAVE[LEAVE CODE]))-ROW(T_LEAVE[#Headers]))))))),"")</f>
        <v/>
      </c>
      <c r="AG52" s="75" t="str">
        <f>IFERROR(IF(AG$8="","NA",IF(AG$8&lt;INDEX(T_EMP[START DATE],ROW($B52)-ROW($B$8)),"NE",IF(AND(INDEX(T_EMP[TERMINATION DATE],ROW($B52)-ROW($B$8))&gt;0,AG$8&gt;INDEX(T_EMP[TERMINATION DATE],ROW($B52)-ROW($B$8))),"NE",IF(NOT(ISERROR(MATCH(AG$8,L_HOLS,0))),"H",IF(INDEX(L_WKNDVAL,WEEKDAY(AG$8,1))=1,"WKND",INDEX(T_LEAVE[LEAVE CODE],SUMPRODUCT(--(T_LEAVE[NAME]=$B52),--(T_LEAVE[DATE]&lt;=AG$8),--(T_LEAVE[DATE]&gt;=AG$8),ROW(T_LEAVE[LEAVE CODE]))-ROW(T_LEAVE[#Headers]))))))),"")</f>
        <v/>
      </c>
      <c r="AH52" s="75" t="str">
        <f>IFERROR(IF(AH$8="","NA",IF(AH$8&lt;INDEX(T_EMP[START DATE],ROW($B52)-ROW($B$8)),"NE",IF(AND(INDEX(T_EMP[TERMINATION DATE],ROW($B52)-ROW($B$8))&gt;0,AH$8&gt;INDEX(T_EMP[TERMINATION DATE],ROW($B52)-ROW($B$8))),"NE",IF(NOT(ISERROR(MATCH(AH$8,L_HOLS,0))),"H",IF(INDEX(L_WKNDVAL,WEEKDAY(AH$8,1))=1,"WKND",INDEX(T_LEAVE[LEAVE CODE],SUMPRODUCT(--(T_LEAVE[NAME]=$B52),--(T_LEAVE[DATE]&lt;=AH$8),--(T_LEAVE[DATE]&gt;=AH$8),ROW(T_LEAVE[LEAVE CODE]))-ROW(T_LEAVE[#Headers]))))))),"")</f>
        <v/>
      </c>
      <c r="AJ52" s="88">
        <f>IF(OR($B52="",AJ$8=""),"",COUNTIFS($D52:$AH52,AJ$8)*INDEX(T_LEAVETYPE[DAY VALUE],1))</f>
        <v>0</v>
      </c>
      <c r="AK52" s="88">
        <f>IF(OR($B52="",AK$8=""),"",COUNTIFS($D52:$AH52,AK$8)*INDEX(T_LEAVETYPE[DAY VALUE],1))</f>
        <v>0</v>
      </c>
      <c r="AL52" s="88">
        <f>IF(OR($B52="",AL$8=""),"",COUNTIFS($D52:$AH52,AL$8)*INDEX(T_LEAVETYPE[DAY VALUE],1))</f>
        <v>0</v>
      </c>
      <c r="AM52" s="88">
        <f>IF(OR($B52="",AM$8=""),"",COUNTIFS($D52:$AH52,AM$8)*INDEX(T_LEAVETYPE[DAY VALUE],1))</f>
        <v>0</v>
      </c>
      <c r="AN52" s="88">
        <f>IF(OR($B52="",AN$8=""),"",COUNTIFS($D52:$AH52,AN$8)*INDEX(T_LEAVETYPE[DAY VALUE],1))</f>
        <v>0</v>
      </c>
      <c r="AO52" s="88">
        <f>IF(OR($B52="",AO$8=""),"",COUNTIFS($D52:$AH52,AO$8)*INDEX(T_LEAVETYPE[DAY VALUE],6))</f>
        <v>0</v>
      </c>
      <c r="AP52" s="88">
        <f>IF(OR($B52="",AP$8=""),"",COUNTIFS($D52:$AH52,AP$8)*INDEX(T_LEAVETYPE[DAY VALUE],7))</f>
        <v>0</v>
      </c>
      <c r="AQ52" s="88">
        <f>IF(OR($B52="",AQ$8=""),"",COUNTIFS($D52:$AH52,AQ$8)*INDEX(T_LEAVETYPE[DAY VALUE],8))</f>
        <v>0</v>
      </c>
      <c r="AR52" s="89">
        <f t="shared" si="5"/>
        <v>0</v>
      </c>
    </row>
    <row r="53" spans="1:44" x14ac:dyDescent="0.25">
      <c r="A53" s="90">
        <f t="shared" si="4"/>
        <v>45</v>
      </c>
      <c r="B53" s="74" t="str">
        <f>IFERROR(INDEX(T_EMP[NAME],ROW(B53)-ROW($B$8)),"")</f>
        <v>TABUNAN, LIZEL</v>
      </c>
      <c r="C53" s="91" t="str">
        <f>IFERROR(INDEX(T_EMP[DEPARTMENT],ROW(B53)-ROW($C$8)),"")</f>
        <v>OB SALES</v>
      </c>
      <c r="D53" s="75" t="str">
        <f>IFERROR(IF(D$8="","NA",IF(D$8&lt;INDEX(T_EMP[START DATE],ROW($B53)-ROW($B$8)),"NE",IF(AND(INDEX(T_EMP[TERMINATION DATE],ROW($B53)-ROW($B$8))&gt;0,D$8&gt;INDEX(T_EMP[TERMINATION DATE],ROW($B53)-ROW($B$8))),"NE",IF(NOT(ISERROR(MATCH(D$8,L_HOLS,0))),"H",IF(INDEX(L_WKNDVAL,WEEKDAY(D$8,1))=1,"WKND",INDEX(T_LEAVE[LEAVE CODE],SUMPRODUCT(--(T_LEAVE[NAME]=$B53),--(T_LEAVE[DATE]&lt;=D$8),--(T_LEAVE[DATE]&gt;=D$8),ROW(T_LEAVE[LEAVE CODE]))-ROW(T_LEAVE[#Headers]))))))),"")</f>
        <v>H</v>
      </c>
      <c r="E53" s="75" t="str">
        <f>IFERROR(IF(E$8="","NA",IF(E$8&lt;INDEX(T_EMP[START DATE],ROW($B53)-ROW($B$8)),"NE",IF(AND(INDEX(T_EMP[TERMINATION DATE],ROW($B53)-ROW($B$8))&gt;0,E$8&gt;INDEX(T_EMP[TERMINATION DATE],ROW($B53)-ROW($B$8))),"NE",IF(NOT(ISERROR(MATCH(E$8,L_HOLS,0))),"H",IF(INDEX(L_WKNDVAL,WEEKDAY(E$8,1))=1,"WKND",INDEX(T_LEAVE[LEAVE CODE],SUMPRODUCT(--(T_LEAVE[NAME]=$B53),--(T_LEAVE[DATE]&lt;=E$8),--(T_LEAVE[DATE]&gt;=E$8),ROW(T_LEAVE[LEAVE CODE]))-ROW(T_LEAVE[#Headers]))))))),"")</f>
        <v/>
      </c>
      <c r="F53" s="75" t="str">
        <f>IFERROR(IF(F$8="","NA",IF(F$8&lt;INDEX(T_EMP[START DATE],ROW($B53)-ROW($B$8)),"NE",IF(AND(INDEX(T_EMP[TERMINATION DATE],ROW($B53)-ROW($B$8))&gt;0,F$8&gt;INDEX(T_EMP[TERMINATION DATE],ROW($B53)-ROW($B$8))),"NE",IF(NOT(ISERROR(MATCH(F$8,L_HOLS,0))),"H",IF(INDEX(L_WKNDVAL,WEEKDAY(F$8,1))=1,"WKND",INDEX(T_LEAVE[LEAVE CODE],SUMPRODUCT(--(T_LEAVE[NAME]=$B53),--(T_LEAVE[DATE]&lt;=F$8),--(T_LEAVE[DATE]&gt;=F$8),ROW(T_LEAVE[LEAVE CODE]))-ROW(T_LEAVE[#Headers]))))))),"")</f>
        <v/>
      </c>
      <c r="G53" s="75" t="str">
        <f>IFERROR(IF(G$8="","NA",IF(G$8&lt;INDEX(T_EMP[START DATE],ROW($B53)-ROW($B$8)),"NE",IF(AND(INDEX(T_EMP[TERMINATION DATE],ROW($B53)-ROW($B$8))&gt;0,G$8&gt;INDEX(T_EMP[TERMINATION DATE],ROW($B53)-ROW($B$8))),"NE",IF(NOT(ISERROR(MATCH(G$8,L_HOLS,0))),"H",IF(INDEX(L_WKNDVAL,WEEKDAY(G$8,1))=1,"WKND",INDEX(T_LEAVE[LEAVE CODE],SUMPRODUCT(--(T_LEAVE[NAME]=$B53),--(T_LEAVE[DATE]&lt;=G$8),--(T_LEAVE[DATE]&gt;=G$8),ROW(T_LEAVE[LEAVE CODE]))-ROW(T_LEAVE[#Headers]))))))),"")</f>
        <v/>
      </c>
      <c r="H53" s="75" t="str">
        <f>IFERROR(IF(H$8="","NA",IF(H$8&lt;INDEX(T_EMP[START DATE],ROW($B53)-ROW($B$8)),"NE",IF(AND(INDEX(T_EMP[TERMINATION DATE],ROW($B53)-ROW($B$8))&gt;0,H$8&gt;INDEX(T_EMP[TERMINATION DATE],ROW($B53)-ROW($B$8))),"NE",IF(NOT(ISERROR(MATCH(H$8,L_HOLS,0))),"H",IF(INDEX(L_WKNDVAL,WEEKDAY(H$8,1))=1,"WKND",INDEX(T_LEAVE[LEAVE CODE],SUMPRODUCT(--(T_LEAVE[NAME]=$B53),--(T_LEAVE[DATE]&lt;=H$8),--(T_LEAVE[DATE]&gt;=H$8),ROW(T_LEAVE[LEAVE CODE]))-ROW(T_LEAVE[#Headers]))))))),"")</f>
        <v/>
      </c>
      <c r="I53" s="75" t="str">
        <f>IFERROR(IF(I$8="","NA",IF(I$8&lt;INDEX(T_EMP[START DATE],ROW($B53)-ROW($B$8)),"NE",IF(AND(INDEX(T_EMP[TERMINATION DATE],ROW($B53)-ROW($B$8))&gt;0,I$8&gt;INDEX(T_EMP[TERMINATION DATE],ROW($B53)-ROW($B$8))),"NE",IF(NOT(ISERROR(MATCH(I$8,L_HOLS,0))),"H",IF(INDEX(L_WKNDVAL,WEEKDAY(I$8,1))=1,"WKND",INDEX(T_LEAVE[LEAVE CODE],SUMPRODUCT(--(T_LEAVE[NAME]=$B53),--(T_LEAVE[DATE]&lt;=I$8),--(T_LEAVE[DATE]&gt;=I$8),ROW(T_LEAVE[LEAVE CODE]))-ROW(T_LEAVE[#Headers]))))))),"")</f>
        <v/>
      </c>
      <c r="J53" s="75" t="str">
        <f>IFERROR(IF(J$8="","NA",IF(J$8&lt;INDEX(T_EMP[START DATE],ROW($B53)-ROW($B$8)),"NE",IF(AND(INDEX(T_EMP[TERMINATION DATE],ROW($B53)-ROW($B$8))&gt;0,J$8&gt;INDEX(T_EMP[TERMINATION DATE],ROW($B53)-ROW($B$8))),"NE",IF(NOT(ISERROR(MATCH(J$8,L_HOLS,0))),"H",IF(INDEX(L_WKNDVAL,WEEKDAY(J$8,1))=1,"WKND",INDEX(T_LEAVE[LEAVE CODE],SUMPRODUCT(--(T_LEAVE[NAME]=$B53),--(T_LEAVE[DATE]&lt;=J$8),--(T_LEAVE[DATE]&gt;=J$8),ROW(T_LEAVE[LEAVE CODE]))-ROW(T_LEAVE[#Headers]))))))),"")</f>
        <v/>
      </c>
      <c r="K53" s="75" t="str">
        <f>IFERROR(IF(K$8="","NA",IF(K$8&lt;INDEX(T_EMP[START DATE],ROW($B53)-ROW($B$8)),"NE",IF(AND(INDEX(T_EMP[TERMINATION DATE],ROW($B53)-ROW($B$8))&gt;0,K$8&gt;INDEX(T_EMP[TERMINATION DATE],ROW($B53)-ROW($B$8))),"NE",IF(NOT(ISERROR(MATCH(K$8,L_HOLS,0))),"H",IF(INDEX(L_WKNDVAL,WEEKDAY(K$8,1))=1,"WKND",INDEX(T_LEAVE[LEAVE CODE],SUMPRODUCT(--(T_LEAVE[NAME]=$B53),--(T_LEAVE[DATE]&lt;=K$8),--(T_LEAVE[DATE]&gt;=K$8),ROW(T_LEAVE[LEAVE CODE]))-ROW(T_LEAVE[#Headers]))))))),"")</f>
        <v/>
      </c>
      <c r="L53" s="75" t="str">
        <f>IFERROR(IF(L$8="","NA",IF(L$8&lt;INDEX(T_EMP[START DATE],ROW($B53)-ROW($B$8)),"NE",IF(AND(INDEX(T_EMP[TERMINATION DATE],ROW($B53)-ROW($B$8))&gt;0,L$8&gt;INDEX(T_EMP[TERMINATION DATE],ROW($B53)-ROW($B$8))),"NE",IF(NOT(ISERROR(MATCH(L$8,L_HOLS,0))),"H",IF(INDEX(L_WKNDVAL,WEEKDAY(L$8,1))=1,"WKND",INDEX(T_LEAVE[LEAVE CODE],SUMPRODUCT(--(T_LEAVE[NAME]=$B53),--(T_LEAVE[DATE]&lt;=L$8),--(T_LEAVE[DATE]&gt;=L$8),ROW(T_LEAVE[LEAVE CODE]))-ROW(T_LEAVE[#Headers]))))))),"")</f>
        <v/>
      </c>
      <c r="M53" s="75" t="str">
        <f>IFERROR(IF(M$8="","NA",IF(M$8&lt;INDEX(T_EMP[START DATE],ROW($B53)-ROW($B$8)),"NE",IF(AND(INDEX(T_EMP[TERMINATION DATE],ROW($B53)-ROW($B$8))&gt;0,M$8&gt;INDEX(T_EMP[TERMINATION DATE],ROW($B53)-ROW($B$8))),"NE",IF(NOT(ISERROR(MATCH(M$8,L_HOLS,0))),"H",IF(INDEX(L_WKNDVAL,WEEKDAY(M$8,1))=1,"WKND",INDEX(T_LEAVE[LEAVE CODE],SUMPRODUCT(--(T_LEAVE[NAME]=$B53),--(T_LEAVE[DATE]&lt;=M$8),--(T_LEAVE[DATE]&gt;=M$8),ROW(T_LEAVE[LEAVE CODE]))-ROW(T_LEAVE[#Headers]))))))),"")</f>
        <v/>
      </c>
      <c r="N53" s="75" t="str">
        <f>IFERROR(IF(N$8="","NA",IF(N$8&lt;INDEX(T_EMP[START DATE],ROW($B53)-ROW($B$8)),"NE",IF(AND(INDEX(T_EMP[TERMINATION DATE],ROW($B53)-ROW($B$8))&gt;0,N$8&gt;INDEX(T_EMP[TERMINATION DATE],ROW($B53)-ROW($B$8))),"NE",IF(NOT(ISERROR(MATCH(N$8,L_HOLS,0))),"H",IF(INDEX(L_WKNDVAL,WEEKDAY(N$8,1))=1,"WKND",INDEX(T_LEAVE[LEAVE CODE],SUMPRODUCT(--(T_LEAVE[NAME]=$B53),--(T_LEAVE[DATE]&lt;=N$8),--(T_LEAVE[DATE]&gt;=N$8),ROW(T_LEAVE[LEAVE CODE]))-ROW(T_LEAVE[#Headers]))))))),"")</f>
        <v/>
      </c>
      <c r="O53" s="75" t="str">
        <f>IFERROR(IF(O$8="","NA",IF(O$8&lt;INDEX(T_EMP[START DATE],ROW($B53)-ROW($B$8)),"NE",IF(AND(INDEX(T_EMP[TERMINATION DATE],ROW($B53)-ROW($B$8))&gt;0,O$8&gt;INDEX(T_EMP[TERMINATION DATE],ROW($B53)-ROW($B$8))),"NE",IF(NOT(ISERROR(MATCH(O$8,L_HOLS,0))),"H",IF(INDEX(L_WKNDVAL,WEEKDAY(O$8,1))=1,"WKND",INDEX(T_LEAVE[LEAVE CODE],SUMPRODUCT(--(T_LEAVE[NAME]=$B53),--(T_LEAVE[DATE]&lt;=O$8),--(T_LEAVE[DATE]&gt;=O$8),ROW(T_LEAVE[LEAVE CODE]))-ROW(T_LEAVE[#Headers]))))))),"")</f>
        <v/>
      </c>
      <c r="P53" s="75" t="str">
        <f>IFERROR(IF(P$8="","NA",IF(P$8&lt;INDEX(T_EMP[START DATE],ROW($B53)-ROW($B$8)),"NE",IF(AND(INDEX(T_EMP[TERMINATION DATE],ROW($B53)-ROW($B$8))&gt;0,P$8&gt;INDEX(T_EMP[TERMINATION DATE],ROW($B53)-ROW($B$8))),"NE",IF(NOT(ISERROR(MATCH(P$8,L_HOLS,0))),"H",IF(INDEX(L_WKNDVAL,WEEKDAY(P$8,1))=1,"WKND",INDEX(T_LEAVE[LEAVE CODE],SUMPRODUCT(--(T_LEAVE[NAME]=$B53),--(T_LEAVE[DATE]&lt;=P$8),--(T_LEAVE[DATE]&gt;=P$8),ROW(T_LEAVE[LEAVE CODE]))-ROW(T_LEAVE[#Headers]))))))),"")</f>
        <v>H</v>
      </c>
      <c r="Q53" s="75" t="str">
        <f>IFERROR(IF(Q$8="","NA",IF(Q$8&lt;INDEX(T_EMP[START DATE],ROW($B53)-ROW($B$8)),"NE",IF(AND(INDEX(T_EMP[TERMINATION DATE],ROW($B53)-ROW($B$8))&gt;0,Q$8&gt;INDEX(T_EMP[TERMINATION DATE],ROW($B53)-ROW($B$8))),"NE",IF(NOT(ISERROR(MATCH(Q$8,L_HOLS,0))),"H",IF(INDEX(L_WKNDVAL,WEEKDAY(Q$8,1))=1,"WKND",INDEX(T_LEAVE[LEAVE CODE],SUMPRODUCT(--(T_LEAVE[NAME]=$B53),--(T_LEAVE[DATE]&lt;=Q$8),--(T_LEAVE[DATE]&gt;=Q$8),ROW(T_LEAVE[LEAVE CODE]))-ROW(T_LEAVE[#Headers]))))))),"")</f>
        <v/>
      </c>
      <c r="R53" s="75" t="str">
        <f>IFERROR(IF(R$8="","NA",IF(R$8&lt;INDEX(T_EMP[START DATE],ROW($B53)-ROW($B$8)),"NE",IF(AND(INDEX(T_EMP[TERMINATION DATE],ROW($B53)-ROW($B$8))&gt;0,R$8&gt;INDEX(T_EMP[TERMINATION DATE],ROW($B53)-ROW($B$8))),"NE",IF(NOT(ISERROR(MATCH(R$8,L_HOLS,0))),"H",IF(INDEX(L_WKNDVAL,WEEKDAY(R$8,1))=1,"WKND",INDEX(T_LEAVE[LEAVE CODE],SUMPRODUCT(--(T_LEAVE[NAME]=$B53),--(T_LEAVE[DATE]&lt;=R$8),--(T_LEAVE[DATE]&gt;=R$8),ROW(T_LEAVE[LEAVE CODE]))-ROW(T_LEAVE[#Headers]))))))),"")</f>
        <v/>
      </c>
      <c r="S53" s="75" t="str">
        <f>IFERROR(IF(S$8="","NA",IF(S$8&lt;INDEX(T_EMP[START DATE],ROW($B53)-ROW($B$8)),"NE",IF(AND(INDEX(T_EMP[TERMINATION DATE],ROW($B53)-ROW($B$8))&gt;0,S$8&gt;INDEX(T_EMP[TERMINATION DATE],ROW($B53)-ROW($B$8))),"NE",IF(NOT(ISERROR(MATCH(S$8,L_HOLS,0))),"H",IF(INDEX(L_WKNDVAL,WEEKDAY(S$8,1))=1,"WKND",INDEX(T_LEAVE[LEAVE CODE],SUMPRODUCT(--(T_LEAVE[NAME]=$B53),--(T_LEAVE[DATE]&lt;=S$8),--(T_LEAVE[DATE]&gt;=S$8),ROW(T_LEAVE[LEAVE CODE]))-ROW(T_LEAVE[#Headers]))))))),"")</f>
        <v/>
      </c>
      <c r="T53" s="75" t="str">
        <f>IFERROR(IF(T$8="","NA",IF(T$8&lt;INDEX(T_EMP[START DATE],ROW($B53)-ROW($B$8)),"NE",IF(AND(INDEX(T_EMP[TERMINATION DATE],ROW($B53)-ROW($B$8))&gt;0,T$8&gt;INDEX(T_EMP[TERMINATION DATE],ROW($B53)-ROW($B$8))),"NE",IF(NOT(ISERROR(MATCH(T$8,L_HOLS,0))),"H",IF(INDEX(L_WKNDVAL,WEEKDAY(T$8,1))=1,"WKND",INDEX(T_LEAVE[LEAVE CODE],SUMPRODUCT(--(T_LEAVE[NAME]=$B53),--(T_LEAVE[DATE]&lt;=T$8),--(T_LEAVE[DATE]&gt;=T$8),ROW(T_LEAVE[LEAVE CODE]))-ROW(T_LEAVE[#Headers]))))))),"")</f>
        <v/>
      </c>
      <c r="U53" s="75" t="str">
        <f>IFERROR(IF(U$8="","NA",IF(U$8&lt;INDEX(T_EMP[START DATE],ROW($B53)-ROW($B$8)),"NE",IF(AND(INDEX(T_EMP[TERMINATION DATE],ROW($B53)-ROW($B$8))&gt;0,U$8&gt;INDEX(T_EMP[TERMINATION DATE],ROW($B53)-ROW($B$8))),"NE",IF(NOT(ISERROR(MATCH(U$8,L_HOLS,0))),"H",IF(INDEX(L_WKNDVAL,WEEKDAY(U$8,1))=1,"WKND",INDEX(T_LEAVE[LEAVE CODE],SUMPRODUCT(--(T_LEAVE[NAME]=$B53),--(T_LEAVE[DATE]&lt;=U$8),--(T_LEAVE[DATE]&gt;=U$8),ROW(T_LEAVE[LEAVE CODE]))-ROW(T_LEAVE[#Headers]))))))),"")</f>
        <v/>
      </c>
      <c r="V53" s="75" t="str">
        <f>IFERROR(IF(V$8="","NA",IF(V$8&lt;INDEX(T_EMP[START DATE],ROW($B53)-ROW($B$8)),"NE",IF(AND(INDEX(T_EMP[TERMINATION DATE],ROW($B53)-ROW($B$8))&gt;0,V$8&gt;INDEX(T_EMP[TERMINATION DATE],ROW($B53)-ROW($B$8))),"NE",IF(NOT(ISERROR(MATCH(V$8,L_HOLS,0))),"H",IF(INDEX(L_WKNDVAL,WEEKDAY(V$8,1))=1,"WKND",INDEX(T_LEAVE[LEAVE CODE],SUMPRODUCT(--(T_LEAVE[NAME]=$B53),--(T_LEAVE[DATE]&lt;=V$8),--(T_LEAVE[DATE]&gt;=V$8),ROW(T_LEAVE[LEAVE CODE]))-ROW(T_LEAVE[#Headers]))))))),"")</f>
        <v/>
      </c>
      <c r="W53" s="75" t="str">
        <f>IFERROR(IF(W$8="","NA",IF(W$8&lt;INDEX(T_EMP[START DATE],ROW($B53)-ROW($B$8)),"NE",IF(AND(INDEX(T_EMP[TERMINATION DATE],ROW($B53)-ROW($B$8))&gt;0,W$8&gt;INDEX(T_EMP[TERMINATION DATE],ROW($B53)-ROW($B$8))),"NE",IF(NOT(ISERROR(MATCH(W$8,L_HOLS,0))),"H",IF(INDEX(L_WKNDVAL,WEEKDAY(W$8,1))=1,"WKND",INDEX(T_LEAVE[LEAVE CODE],SUMPRODUCT(--(T_LEAVE[NAME]=$B53),--(T_LEAVE[DATE]&lt;=W$8),--(T_LEAVE[DATE]&gt;=W$8),ROW(T_LEAVE[LEAVE CODE]))-ROW(T_LEAVE[#Headers]))))))),"")</f>
        <v/>
      </c>
      <c r="X53" s="75" t="str">
        <f>IFERROR(IF(X$8="","NA",IF(X$8&lt;INDEX(T_EMP[START DATE],ROW($B53)-ROW($B$8)),"NE",IF(AND(INDEX(T_EMP[TERMINATION DATE],ROW($B53)-ROW($B$8))&gt;0,X$8&gt;INDEX(T_EMP[TERMINATION DATE],ROW($B53)-ROW($B$8))),"NE",IF(NOT(ISERROR(MATCH(X$8,L_HOLS,0))),"H",IF(INDEX(L_WKNDVAL,WEEKDAY(X$8,1))=1,"WKND",INDEX(T_LEAVE[LEAVE CODE],SUMPRODUCT(--(T_LEAVE[NAME]=$B53),--(T_LEAVE[DATE]&lt;=X$8),--(T_LEAVE[DATE]&gt;=X$8),ROW(T_LEAVE[LEAVE CODE]))-ROW(T_LEAVE[#Headers]))))))),"")</f>
        <v/>
      </c>
      <c r="Y53" s="75" t="str">
        <f>IFERROR(IF(Y$8="","NA",IF(Y$8&lt;INDEX(T_EMP[START DATE],ROW($B53)-ROW($B$8)),"NE",IF(AND(INDEX(T_EMP[TERMINATION DATE],ROW($B53)-ROW($B$8))&gt;0,Y$8&gt;INDEX(T_EMP[TERMINATION DATE],ROW($B53)-ROW($B$8))),"NE",IF(NOT(ISERROR(MATCH(Y$8,L_HOLS,0))),"H",IF(INDEX(L_WKNDVAL,WEEKDAY(Y$8,1))=1,"WKND",INDEX(T_LEAVE[LEAVE CODE],SUMPRODUCT(--(T_LEAVE[NAME]=$B53),--(T_LEAVE[DATE]&lt;=Y$8),--(T_LEAVE[DATE]&gt;=Y$8),ROW(T_LEAVE[LEAVE CODE]))-ROW(T_LEAVE[#Headers]))))))),"")</f>
        <v/>
      </c>
      <c r="Z53" s="75" t="str">
        <f>IFERROR(IF(Z$8="","NA",IF(Z$8&lt;INDEX(T_EMP[START DATE],ROW($B53)-ROW($B$8)),"NE",IF(AND(INDEX(T_EMP[TERMINATION DATE],ROW($B53)-ROW($B$8))&gt;0,Z$8&gt;INDEX(T_EMP[TERMINATION DATE],ROW($B53)-ROW($B$8))),"NE",IF(NOT(ISERROR(MATCH(Z$8,L_HOLS,0))),"H",IF(INDEX(L_WKNDVAL,WEEKDAY(Z$8,1))=1,"WKND",INDEX(T_LEAVE[LEAVE CODE],SUMPRODUCT(--(T_LEAVE[NAME]=$B53),--(T_LEAVE[DATE]&lt;=Z$8),--(T_LEAVE[DATE]&gt;=Z$8),ROW(T_LEAVE[LEAVE CODE]))-ROW(T_LEAVE[#Headers]))))))),"")</f>
        <v/>
      </c>
      <c r="AA53" s="75" t="str">
        <f>IFERROR(IF(AA$8="","NA",IF(AA$8&lt;INDEX(T_EMP[START DATE],ROW($B53)-ROW($B$8)),"NE",IF(AND(INDEX(T_EMP[TERMINATION DATE],ROW($B53)-ROW($B$8))&gt;0,AA$8&gt;INDEX(T_EMP[TERMINATION DATE],ROW($B53)-ROW($B$8))),"NE",IF(NOT(ISERROR(MATCH(AA$8,L_HOLS,0))),"H",IF(INDEX(L_WKNDVAL,WEEKDAY(AA$8,1))=1,"WKND",INDEX(T_LEAVE[LEAVE CODE],SUMPRODUCT(--(T_LEAVE[NAME]=$B53),--(T_LEAVE[DATE]&lt;=AA$8),--(T_LEAVE[DATE]&gt;=AA$8),ROW(T_LEAVE[LEAVE CODE]))-ROW(T_LEAVE[#Headers]))))))),"")</f>
        <v/>
      </c>
      <c r="AB53" s="75" t="str">
        <f>IFERROR(IF(AB$8="","NA",IF(AB$8&lt;INDEX(T_EMP[START DATE],ROW($B53)-ROW($B$8)),"NE",IF(AND(INDEX(T_EMP[TERMINATION DATE],ROW($B53)-ROW($B$8))&gt;0,AB$8&gt;INDEX(T_EMP[TERMINATION DATE],ROW($B53)-ROW($B$8))),"NE",IF(NOT(ISERROR(MATCH(AB$8,L_HOLS,0))),"H",IF(INDEX(L_WKNDVAL,WEEKDAY(AB$8,1))=1,"WKND",INDEX(T_LEAVE[LEAVE CODE],SUMPRODUCT(--(T_LEAVE[NAME]=$B53),--(T_LEAVE[DATE]&lt;=AB$8),--(T_LEAVE[DATE]&gt;=AB$8),ROW(T_LEAVE[LEAVE CODE]))-ROW(T_LEAVE[#Headers]))))))),"")</f>
        <v/>
      </c>
      <c r="AC53" s="75" t="str">
        <f>IFERROR(IF(AC$8="","NA",IF(AC$8&lt;INDEX(T_EMP[START DATE],ROW($B53)-ROW($B$8)),"NE",IF(AND(INDEX(T_EMP[TERMINATION DATE],ROW($B53)-ROW($B$8))&gt;0,AC$8&gt;INDEX(T_EMP[TERMINATION DATE],ROW($B53)-ROW($B$8))),"NE",IF(NOT(ISERROR(MATCH(AC$8,L_HOLS,0))),"H",IF(INDEX(L_WKNDVAL,WEEKDAY(AC$8,1))=1,"WKND",INDEX(T_LEAVE[LEAVE CODE],SUMPRODUCT(--(T_LEAVE[NAME]=$B53),--(T_LEAVE[DATE]&lt;=AC$8),--(T_LEAVE[DATE]&gt;=AC$8),ROW(T_LEAVE[LEAVE CODE]))-ROW(T_LEAVE[#Headers]))))))),"")</f>
        <v/>
      </c>
      <c r="AD53" s="75" t="str">
        <f>IFERROR(IF(AD$8="","NA",IF(AD$8&lt;INDEX(T_EMP[START DATE],ROW($B53)-ROW($B$8)),"NE",IF(AND(INDEX(T_EMP[TERMINATION DATE],ROW($B53)-ROW($B$8))&gt;0,AD$8&gt;INDEX(T_EMP[TERMINATION DATE],ROW($B53)-ROW($B$8))),"NE",IF(NOT(ISERROR(MATCH(AD$8,L_HOLS,0))),"H",IF(INDEX(L_WKNDVAL,WEEKDAY(AD$8,1))=1,"WKND",INDEX(T_LEAVE[LEAVE CODE],SUMPRODUCT(--(T_LEAVE[NAME]=$B53),--(T_LEAVE[DATE]&lt;=AD$8),--(T_LEAVE[DATE]&gt;=AD$8),ROW(T_LEAVE[LEAVE CODE]))-ROW(T_LEAVE[#Headers]))))))),"")</f>
        <v/>
      </c>
      <c r="AE53" s="75" t="str">
        <f>IFERROR(IF(AE$8="","NA",IF(AE$8&lt;INDEX(T_EMP[START DATE],ROW($B53)-ROW($B$8)),"NE",IF(AND(INDEX(T_EMP[TERMINATION DATE],ROW($B53)-ROW($B$8))&gt;0,AE$8&gt;INDEX(T_EMP[TERMINATION DATE],ROW($B53)-ROW($B$8))),"NE",IF(NOT(ISERROR(MATCH(AE$8,L_HOLS,0))),"H",IF(INDEX(L_WKNDVAL,WEEKDAY(AE$8,1))=1,"WKND",INDEX(T_LEAVE[LEAVE CODE],SUMPRODUCT(--(T_LEAVE[NAME]=$B53),--(T_LEAVE[DATE]&lt;=AE$8),--(T_LEAVE[DATE]&gt;=AE$8),ROW(T_LEAVE[LEAVE CODE]))-ROW(T_LEAVE[#Headers]))))))),"")</f>
        <v/>
      </c>
      <c r="AF53" s="75" t="str">
        <f>IFERROR(IF(AF$8="","NA",IF(AF$8&lt;INDEX(T_EMP[START DATE],ROW($B53)-ROW($B$8)),"NE",IF(AND(INDEX(T_EMP[TERMINATION DATE],ROW($B53)-ROW($B$8))&gt;0,AF$8&gt;INDEX(T_EMP[TERMINATION DATE],ROW($B53)-ROW($B$8))),"NE",IF(NOT(ISERROR(MATCH(AF$8,L_HOLS,0))),"H",IF(INDEX(L_WKNDVAL,WEEKDAY(AF$8,1))=1,"WKND",INDEX(T_LEAVE[LEAVE CODE],SUMPRODUCT(--(T_LEAVE[NAME]=$B53),--(T_LEAVE[DATE]&lt;=AF$8),--(T_LEAVE[DATE]&gt;=AF$8),ROW(T_LEAVE[LEAVE CODE]))-ROW(T_LEAVE[#Headers]))))))),"")</f>
        <v/>
      </c>
      <c r="AG53" s="75" t="str">
        <f>IFERROR(IF(AG$8="","NA",IF(AG$8&lt;INDEX(T_EMP[START DATE],ROW($B53)-ROW($B$8)),"NE",IF(AND(INDEX(T_EMP[TERMINATION DATE],ROW($B53)-ROW($B$8))&gt;0,AG$8&gt;INDEX(T_EMP[TERMINATION DATE],ROW($B53)-ROW($B$8))),"NE",IF(NOT(ISERROR(MATCH(AG$8,L_HOLS,0))),"H",IF(INDEX(L_WKNDVAL,WEEKDAY(AG$8,1))=1,"WKND",INDEX(T_LEAVE[LEAVE CODE],SUMPRODUCT(--(T_LEAVE[NAME]=$B53),--(T_LEAVE[DATE]&lt;=AG$8),--(T_LEAVE[DATE]&gt;=AG$8),ROW(T_LEAVE[LEAVE CODE]))-ROW(T_LEAVE[#Headers]))))))),"")</f>
        <v/>
      </c>
      <c r="AH53" s="75" t="str">
        <f>IFERROR(IF(AH$8="","NA",IF(AH$8&lt;INDEX(T_EMP[START DATE],ROW($B53)-ROW($B$8)),"NE",IF(AND(INDEX(T_EMP[TERMINATION DATE],ROW($B53)-ROW($B$8))&gt;0,AH$8&gt;INDEX(T_EMP[TERMINATION DATE],ROW($B53)-ROW($B$8))),"NE",IF(NOT(ISERROR(MATCH(AH$8,L_HOLS,0))),"H",IF(INDEX(L_WKNDVAL,WEEKDAY(AH$8,1))=1,"WKND",INDEX(T_LEAVE[LEAVE CODE],SUMPRODUCT(--(T_LEAVE[NAME]=$B53),--(T_LEAVE[DATE]&lt;=AH$8),--(T_LEAVE[DATE]&gt;=AH$8),ROW(T_LEAVE[LEAVE CODE]))-ROW(T_LEAVE[#Headers]))))))),"")</f>
        <v/>
      </c>
      <c r="AJ53" s="88">
        <f>IF(OR($B53="",AJ$8=""),"",COUNTIFS($D53:$AH53,AJ$8)*INDEX(T_LEAVETYPE[DAY VALUE],1))</f>
        <v>0</v>
      </c>
      <c r="AK53" s="88">
        <f>IF(OR($B53="",AK$8=""),"",COUNTIFS($D53:$AH53,AK$8)*INDEX(T_LEAVETYPE[DAY VALUE],1))</f>
        <v>0</v>
      </c>
      <c r="AL53" s="88">
        <f>IF(OR($B53="",AL$8=""),"",COUNTIFS($D53:$AH53,AL$8)*INDEX(T_LEAVETYPE[DAY VALUE],1))</f>
        <v>0</v>
      </c>
      <c r="AM53" s="88">
        <f>IF(OR($B53="",AM$8=""),"",COUNTIFS($D53:$AH53,AM$8)*INDEX(T_LEAVETYPE[DAY VALUE],1))</f>
        <v>0</v>
      </c>
      <c r="AN53" s="88">
        <f>IF(OR($B53="",AN$8=""),"",COUNTIFS($D53:$AH53,AN$8)*INDEX(T_LEAVETYPE[DAY VALUE],1))</f>
        <v>0</v>
      </c>
      <c r="AO53" s="88">
        <f>IF(OR($B53="",AO$8=""),"",COUNTIFS($D53:$AH53,AO$8)*INDEX(T_LEAVETYPE[DAY VALUE],6))</f>
        <v>0</v>
      </c>
      <c r="AP53" s="88">
        <f>IF(OR($B53="",AP$8=""),"",COUNTIFS($D53:$AH53,AP$8)*INDEX(T_LEAVETYPE[DAY VALUE],7))</f>
        <v>0</v>
      </c>
      <c r="AQ53" s="88">
        <f>IF(OR($B53="",AQ$8=""),"",COUNTIFS($D53:$AH53,AQ$8)*INDEX(T_LEAVETYPE[DAY VALUE],8))</f>
        <v>0</v>
      </c>
      <c r="AR53" s="89">
        <f t="shared" si="5"/>
        <v>0</v>
      </c>
    </row>
    <row r="54" spans="1:44" x14ac:dyDescent="0.25">
      <c r="A54" s="90">
        <f t="shared" si="4"/>
        <v>46</v>
      </c>
      <c r="B54" s="74" t="str">
        <f>IFERROR(INDEX(T_EMP[NAME],ROW(B54)-ROW($B$8)),"")</f>
        <v>LEDESMA, LYNDON JOHN</v>
      </c>
      <c r="C54" s="91" t="str">
        <f>IFERROR(INDEX(T_EMP[DEPARTMENT],ROW(B54)-ROW($C$8)),"")</f>
        <v>OB SALES</v>
      </c>
      <c r="D54" s="75" t="str">
        <f>IFERROR(IF(D$8="","NA",IF(D$8&lt;INDEX(T_EMP[START DATE],ROW($B54)-ROW($B$8)),"NE",IF(AND(INDEX(T_EMP[TERMINATION DATE],ROW($B54)-ROW($B$8))&gt;0,D$8&gt;INDEX(T_EMP[TERMINATION DATE],ROW($B54)-ROW($B$8))),"NE",IF(NOT(ISERROR(MATCH(D$8,L_HOLS,0))),"H",IF(INDEX(L_WKNDVAL,WEEKDAY(D$8,1))=1,"WKND",INDEX(T_LEAVE[LEAVE CODE],SUMPRODUCT(--(T_LEAVE[NAME]=$B54),--(T_LEAVE[DATE]&lt;=D$8),--(T_LEAVE[DATE]&gt;=D$8),ROW(T_LEAVE[LEAVE CODE]))-ROW(T_LEAVE[#Headers]))))))),"")</f>
        <v>H</v>
      </c>
      <c r="E54" s="75" t="str">
        <f>IFERROR(IF(E$8="","NA",IF(E$8&lt;INDEX(T_EMP[START DATE],ROW($B54)-ROW($B$8)),"NE",IF(AND(INDEX(T_EMP[TERMINATION DATE],ROW($B54)-ROW($B$8))&gt;0,E$8&gt;INDEX(T_EMP[TERMINATION DATE],ROW($B54)-ROW($B$8))),"NE",IF(NOT(ISERROR(MATCH(E$8,L_HOLS,0))),"H",IF(INDEX(L_WKNDVAL,WEEKDAY(E$8,1))=1,"WKND",INDEX(T_LEAVE[LEAVE CODE],SUMPRODUCT(--(T_LEAVE[NAME]=$B54),--(T_LEAVE[DATE]&lt;=E$8),--(T_LEAVE[DATE]&gt;=E$8),ROW(T_LEAVE[LEAVE CODE]))-ROW(T_LEAVE[#Headers]))))))),"")</f>
        <v/>
      </c>
      <c r="F54" s="75" t="str">
        <f>IFERROR(IF(F$8="","NA",IF(F$8&lt;INDEX(T_EMP[START DATE],ROW($B54)-ROW($B$8)),"NE",IF(AND(INDEX(T_EMP[TERMINATION DATE],ROW($B54)-ROW($B$8))&gt;0,F$8&gt;INDEX(T_EMP[TERMINATION DATE],ROW($B54)-ROW($B$8))),"NE",IF(NOT(ISERROR(MATCH(F$8,L_HOLS,0))),"H",IF(INDEX(L_WKNDVAL,WEEKDAY(F$8,1))=1,"WKND",INDEX(T_LEAVE[LEAVE CODE],SUMPRODUCT(--(T_LEAVE[NAME]=$B54),--(T_LEAVE[DATE]&lt;=F$8),--(T_LEAVE[DATE]&gt;=F$8),ROW(T_LEAVE[LEAVE CODE]))-ROW(T_LEAVE[#Headers]))))))),"")</f>
        <v/>
      </c>
      <c r="G54" s="75" t="str">
        <f>IFERROR(IF(G$8="","NA",IF(G$8&lt;INDEX(T_EMP[START DATE],ROW($B54)-ROW($B$8)),"NE",IF(AND(INDEX(T_EMP[TERMINATION DATE],ROW($B54)-ROW($B$8))&gt;0,G$8&gt;INDEX(T_EMP[TERMINATION DATE],ROW($B54)-ROW($B$8))),"NE",IF(NOT(ISERROR(MATCH(G$8,L_HOLS,0))),"H",IF(INDEX(L_WKNDVAL,WEEKDAY(G$8,1))=1,"WKND",INDEX(T_LEAVE[LEAVE CODE],SUMPRODUCT(--(T_LEAVE[NAME]=$B54),--(T_LEAVE[DATE]&lt;=G$8),--(T_LEAVE[DATE]&gt;=G$8),ROW(T_LEAVE[LEAVE CODE]))-ROW(T_LEAVE[#Headers]))))))),"")</f>
        <v/>
      </c>
      <c r="H54" s="75" t="str">
        <f>IFERROR(IF(H$8="","NA",IF(H$8&lt;INDEX(T_EMP[START DATE],ROW($B54)-ROW($B$8)),"NE",IF(AND(INDEX(T_EMP[TERMINATION DATE],ROW($B54)-ROW($B$8))&gt;0,H$8&gt;INDEX(T_EMP[TERMINATION DATE],ROW($B54)-ROW($B$8))),"NE",IF(NOT(ISERROR(MATCH(H$8,L_HOLS,0))),"H",IF(INDEX(L_WKNDVAL,WEEKDAY(H$8,1))=1,"WKND",INDEX(T_LEAVE[LEAVE CODE],SUMPRODUCT(--(T_LEAVE[NAME]=$B54),--(T_LEAVE[DATE]&lt;=H$8),--(T_LEAVE[DATE]&gt;=H$8),ROW(T_LEAVE[LEAVE CODE]))-ROW(T_LEAVE[#Headers]))))))),"")</f>
        <v/>
      </c>
      <c r="I54" s="75" t="str">
        <f>IFERROR(IF(I$8="","NA",IF(I$8&lt;INDEX(T_EMP[START DATE],ROW($B54)-ROW($B$8)),"NE",IF(AND(INDEX(T_EMP[TERMINATION DATE],ROW($B54)-ROW($B$8))&gt;0,I$8&gt;INDEX(T_EMP[TERMINATION DATE],ROW($B54)-ROW($B$8))),"NE",IF(NOT(ISERROR(MATCH(I$8,L_HOLS,0))),"H",IF(INDEX(L_WKNDVAL,WEEKDAY(I$8,1))=1,"WKND",INDEX(T_LEAVE[LEAVE CODE],SUMPRODUCT(--(T_LEAVE[NAME]=$B54),--(T_LEAVE[DATE]&lt;=I$8),--(T_LEAVE[DATE]&gt;=I$8),ROW(T_LEAVE[LEAVE CODE]))-ROW(T_LEAVE[#Headers]))))))),"")</f>
        <v/>
      </c>
      <c r="J54" s="75" t="str">
        <f>IFERROR(IF(J$8="","NA",IF(J$8&lt;INDEX(T_EMP[START DATE],ROW($B54)-ROW($B$8)),"NE",IF(AND(INDEX(T_EMP[TERMINATION DATE],ROW($B54)-ROW($B$8))&gt;0,J$8&gt;INDEX(T_EMP[TERMINATION DATE],ROW($B54)-ROW($B$8))),"NE",IF(NOT(ISERROR(MATCH(J$8,L_HOLS,0))),"H",IF(INDEX(L_WKNDVAL,WEEKDAY(J$8,1))=1,"WKND",INDEX(T_LEAVE[LEAVE CODE],SUMPRODUCT(--(T_LEAVE[NAME]=$B54),--(T_LEAVE[DATE]&lt;=J$8),--(T_LEAVE[DATE]&gt;=J$8),ROW(T_LEAVE[LEAVE CODE]))-ROW(T_LEAVE[#Headers]))))))),"")</f>
        <v/>
      </c>
      <c r="K54" s="75" t="str">
        <f>IFERROR(IF(K$8="","NA",IF(K$8&lt;INDEX(T_EMP[START DATE],ROW($B54)-ROW($B$8)),"NE",IF(AND(INDEX(T_EMP[TERMINATION DATE],ROW($B54)-ROW($B$8))&gt;0,K$8&gt;INDEX(T_EMP[TERMINATION DATE],ROW($B54)-ROW($B$8))),"NE",IF(NOT(ISERROR(MATCH(K$8,L_HOLS,0))),"H",IF(INDEX(L_WKNDVAL,WEEKDAY(K$8,1))=1,"WKND",INDEX(T_LEAVE[LEAVE CODE],SUMPRODUCT(--(T_LEAVE[NAME]=$B54),--(T_LEAVE[DATE]&lt;=K$8),--(T_LEAVE[DATE]&gt;=K$8),ROW(T_LEAVE[LEAVE CODE]))-ROW(T_LEAVE[#Headers]))))))),"")</f>
        <v/>
      </c>
      <c r="L54" s="75" t="str">
        <f>IFERROR(IF(L$8="","NA",IF(L$8&lt;INDEX(T_EMP[START DATE],ROW($B54)-ROW($B$8)),"NE",IF(AND(INDEX(T_EMP[TERMINATION DATE],ROW($B54)-ROW($B$8))&gt;0,L$8&gt;INDEX(T_EMP[TERMINATION DATE],ROW($B54)-ROW($B$8))),"NE",IF(NOT(ISERROR(MATCH(L$8,L_HOLS,0))),"H",IF(INDEX(L_WKNDVAL,WEEKDAY(L$8,1))=1,"WKND",INDEX(T_LEAVE[LEAVE CODE],SUMPRODUCT(--(T_LEAVE[NAME]=$B54),--(T_LEAVE[DATE]&lt;=L$8),--(T_LEAVE[DATE]&gt;=L$8),ROW(T_LEAVE[LEAVE CODE]))-ROW(T_LEAVE[#Headers]))))))),"")</f>
        <v/>
      </c>
      <c r="M54" s="75" t="str">
        <f>IFERROR(IF(M$8="","NA",IF(M$8&lt;INDEX(T_EMP[START DATE],ROW($B54)-ROW($B$8)),"NE",IF(AND(INDEX(T_EMP[TERMINATION DATE],ROW($B54)-ROW($B$8))&gt;0,M$8&gt;INDEX(T_EMP[TERMINATION DATE],ROW($B54)-ROW($B$8))),"NE",IF(NOT(ISERROR(MATCH(M$8,L_HOLS,0))),"H",IF(INDEX(L_WKNDVAL,WEEKDAY(M$8,1))=1,"WKND",INDEX(T_LEAVE[LEAVE CODE],SUMPRODUCT(--(T_LEAVE[NAME]=$B54),--(T_LEAVE[DATE]&lt;=M$8),--(T_LEAVE[DATE]&gt;=M$8),ROW(T_LEAVE[LEAVE CODE]))-ROW(T_LEAVE[#Headers]))))))),"")</f>
        <v/>
      </c>
      <c r="N54" s="75" t="str">
        <f>IFERROR(IF(N$8="","NA",IF(N$8&lt;INDEX(T_EMP[START DATE],ROW($B54)-ROW($B$8)),"NE",IF(AND(INDEX(T_EMP[TERMINATION DATE],ROW($B54)-ROW($B$8))&gt;0,N$8&gt;INDEX(T_EMP[TERMINATION DATE],ROW($B54)-ROW($B$8))),"NE",IF(NOT(ISERROR(MATCH(N$8,L_HOLS,0))),"H",IF(INDEX(L_WKNDVAL,WEEKDAY(N$8,1))=1,"WKND",INDEX(T_LEAVE[LEAVE CODE],SUMPRODUCT(--(T_LEAVE[NAME]=$B54),--(T_LEAVE[DATE]&lt;=N$8),--(T_LEAVE[DATE]&gt;=N$8),ROW(T_LEAVE[LEAVE CODE]))-ROW(T_LEAVE[#Headers]))))))),"")</f>
        <v/>
      </c>
      <c r="O54" s="75" t="str">
        <f>IFERROR(IF(O$8="","NA",IF(O$8&lt;INDEX(T_EMP[START DATE],ROW($B54)-ROW($B$8)),"NE",IF(AND(INDEX(T_EMP[TERMINATION DATE],ROW($B54)-ROW($B$8))&gt;0,O$8&gt;INDEX(T_EMP[TERMINATION DATE],ROW($B54)-ROW($B$8))),"NE",IF(NOT(ISERROR(MATCH(O$8,L_HOLS,0))),"H",IF(INDEX(L_WKNDVAL,WEEKDAY(O$8,1))=1,"WKND",INDEX(T_LEAVE[LEAVE CODE],SUMPRODUCT(--(T_LEAVE[NAME]=$B54),--(T_LEAVE[DATE]&lt;=O$8),--(T_LEAVE[DATE]&gt;=O$8),ROW(T_LEAVE[LEAVE CODE]))-ROW(T_LEAVE[#Headers]))))))),"")</f>
        <v/>
      </c>
      <c r="P54" s="75" t="str">
        <f>IFERROR(IF(P$8="","NA",IF(P$8&lt;INDEX(T_EMP[START DATE],ROW($B54)-ROW($B$8)),"NE",IF(AND(INDEX(T_EMP[TERMINATION DATE],ROW($B54)-ROW($B$8))&gt;0,P$8&gt;INDEX(T_EMP[TERMINATION DATE],ROW($B54)-ROW($B$8))),"NE",IF(NOT(ISERROR(MATCH(P$8,L_HOLS,0))),"H",IF(INDEX(L_WKNDVAL,WEEKDAY(P$8,1))=1,"WKND",INDEX(T_LEAVE[LEAVE CODE],SUMPRODUCT(--(T_LEAVE[NAME]=$B54),--(T_LEAVE[DATE]&lt;=P$8),--(T_LEAVE[DATE]&gt;=P$8),ROW(T_LEAVE[LEAVE CODE]))-ROW(T_LEAVE[#Headers]))))))),"")</f>
        <v>H</v>
      </c>
      <c r="Q54" s="75" t="str">
        <f>IFERROR(IF(Q$8="","NA",IF(Q$8&lt;INDEX(T_EMP[START DATE],ROW($B54)-ROW($B$8)),"NE",IF(AND(INDEX(T_EMP[TERMINATION DATE],ROW($B54)-ROW($B$8))&gt;0,Q$8&gt;INDEX(T_EMP[TERMINATION DATE],ROW($B54)-ROW($B$8))),"NE",IF(NOT(ISERROR(MATCH(Q$8,L_HOLS,0))),"H",IF(INDEX(L_WKNDVAL,WEEKDAY(Q$8,1))=1,"WKND",INDEX(T_LEAVE[LEAVE CODE],SUMPRODUCT(--(T_LEAVE[NAME]=$B54),--(T_LEAVE[DATE]&lt;=Q$8),--(T_LEAVE[DATE]&gt;=Q$8),ROW(T_LEAVE[LEAVE CODE]))-ROW(T_LEAVE[#Headers]))))))),"")</f>
        <v/>
      </c>
      <c r="R54" s="75" t="str">
        <f>IFERROR(IF(R$8="","NA",IF(R$8&lt;INDEX(T_EMP[START DATE],ROW($B54)-ROW($B$8)),"NE",IF(AND(INDEX(T_EMP[TERMINATION DATE],ROW($B54)-ROW($B$8))&gt;0,R$8&gt;INDEX(T_EMP[TERMINATION DATE],ROW($B54)-ROW($B$8))),"NE",IF(NOT(ISERROR(MATCH(R$8,L_HOLS,0))),"H",IF(INDEX(L_WKNDVAL,WEEKDAY(R$8,1))=1,"WKND",INDEX(T_LEAVE[LEAVE CODE],SUMPRODUCT(--(T_LEAVE[NAME]=$B54),--(T_LEAVE[DATE]&lt;=R$8),--(T_LEAVE[DATE]&gt;=R$8),ROW(T_LEAVE[LEAVE CODE]))-ROW(T_LEAVE[#Headers]))))))),"")</f>
        <v/>
      </c>
      <c r="S54" s="75" t="str">
        <f>IFERROR(IF(S$8="","NA",IF(S$8&lt;INDEX(T_EMP[START DATE],ROW($B54)-ROW($B$8)),"NE",IF(AND(INDEX(T_EMP[TERMINATION DATE],ROW($B54)-ROW($B$8))&gt;0,S$8&gt;INDEX(T_EMP[TERMINATION DATE],ROW($B54)-ROW($B$8))),"NE",IF(NOT(ISERROR(MATCH(S$8,L_HOLS,0))),"H",IF(INDEX(L_WKNDVAL,WEEKDAY(S$8,1))=1,"WKND",INDEX(T_LEAVE[LEAVE CODE],SUMPRODUCT(--(T_LEAVE[NAME]=$B54),--(T_LEAVE[DATE]&lt;=S$8),--(T_LEAVE[DATE]&gt;=S$8),ROW(T_LEAVE[LEAVE CODE]))-ROW(T_LEAVE[#Headers]))))))),"")</f>
        <v/>
      </c>
      <c r="T54" s="75" t="str">
        <f>IFERROR(IF(T$8="","NA",IF(T$8&lt;INDEX(T_EMP[START DATE],ROW($B54)-ROW($B$8)),"NE",IF(AND(INDEX(T_EMP[TERMINATION DATE],ROW($B54)-ROW($B$8))&gt;0,T$8&gt;INDEX(T_EMP[TERMINATION DATE],ROW($B54)-ROW($B$8))),"NE",IF(NOT(ISERROR(MATCH(T$8,L_HOLS,0))),"H",IF(INDEX(L_WKNDVAL,WEEKDAY(T$8,1))=1,"WKND",INDEX(T_LEAVE[LEAVE CODE],SUMPRODUCT(--(T_LEAVE[NAME]=$B54),--(T_LEAVE[DATE]&lt;=T$8),--(T_LEAVE[DATE]&gt;=T$8),ROW(T_LEAVE[LEAVE CODE]))-ROW(T_LEAVE[#Headers]))))))),"")</f>
        <v/>
      </c>
      <c r="U54" s="75" t="str">
        <f>IFERROR(IF(U$8="","NA",IF(U$8&lt;INDEX(T_EMP[START DATE],ROW($B54)-ROW($B$8)),"NE",IF(AND(INDEX(T_EMP[TERMINATION DATE],ROW($B54)-ROW($B$8))&gt;0,U$8&gt;INDEX(T_EMP[TERMINATION DATE],ROW($B54)-ROW($B$8))),"NE",IF(NOT(ISERROR(MATCH(U$8,L_HOLS,0))),"H",IF(INDEX(L_WKNDVAL,WEEKDAY(U$8,1))=1,"WKND",INDEX(T_LEAVE[LEAVE CODE],SUMPRODUCT(--(T_LEAVE[NAME]=$B54),--(T_LEAVE[DATE]&lt;=U$8),--(T_LEAVE[DATE]&gt;=U$8),ROW(T_LEAVE[LEAVE CODE]))-ROW(T_LEAVE[#Headers]))))))),"")</f>
        <v/>
      </c>
      <c r="V54" s="75" t="str">
        <f>IFERROR(IF(V$8="","NA",IF(V$8&lt;INDEX(T_EMP[START DATE],ROW($B54)-ROW($B$8)),"NE",IF(AND(INDEX(T_EMP[TERMINATION DATE],ROW($B54)-ROW($B$8))&gt;0,V$8&gt;INDEX(T_EMP[TERMINATION DATE],ROW($B54)-ROW($B$8))),"NE",IF(NOT(ISERROR(MATCH(V$8,L_HOLS,0))),"H",IF(INDEX(L_WKNDVAL,WEEKDAY(V$8,1))=1,"WKND",INDEX(T_LEAVE[LEAVE CODE],SUMPRODUCT(--(T_LEAVE[NAME]=$B54),--(T_LEAVE[DATE]&lt;=V$8),--(T_LEAVE[DATE]&gt;=V$8),ROW(T_LEAVE[LEAVE CODE]))-ROW(T_LEAVE[#Headers]))))))),"")</f>
        <v/>
      </c>
      <c r="W54" s="75" t="str">
        <f>IFERROR(IF(W$8="","NA",IF(W$8&lt;INDEX(T_EMP[START DATE],ROW($B54)-ROW($B$8)),"NE",IF(AND(INDEX(T_EMP[TERMINATION DATE],ROW($B54)-ROW($B$8))&gt;0,W$8&gt;INDEX(T_EMP[TERMINATION DATE],ROW($B54)-ROW($B$8))),"NE",IF(NOT(ISERROR(MATCH(W$8,L_HOLS,0))),"H",IF(INDEX(L_WKNDVAL,WEEKDAY(W$8,1))=1,"WKND",INDEX(T_LEAVE[LEAVE CODE],SUMPRODUCT(--(T_LEAVE[NAME]=$B54),--(T_LEAVE[DATE]&lt;=W$8),--(T_LEAVE[DATE]&gt;=W$8),ROW(T_LEAVE[LEAVE CODE]))-ROW(T_LEAVE[#Headers]))))))),"")</f>
        <v/>
      </c>
      <c r="X54" s="75" t="str">
        <f>IFERROR(IF(X$8="","NA",IF(X$8&lt;INDEX(T_EMP[START DATE],ROW($B54)-ROW($B$8)),"NE",IF(AND(INDEX(T_EMP[TERMINATION DATE],ROW($B54)-ROW($B$8))&gt;0,X$8&gt;INDEX(T_EMP[TERMINATION DATE],ROW($B54)-ROW($B$8))),"NE",IF(NOT(ISERROR(MATCH(X$8,L_HOLS,0))),"H",IF(INDEX(L_WKNDVAL,WEEKDAY(X$8,1))=1,"WKND",INDEX(T_LEAVE[LEAVE CODE],SUMPRODUCT(--(T_LEAVE[NAME]=$B54),--(T_LEAVE[DATE]&lt;=X$8),--(T_LEAVE[DATE]&gt;=X$8),ROW(T_LEAVE[LEAVE CODE]))-ROW(T_LEAVE[#Headers]))))))),"")</f>
        <v/>
      </c>
      <c r="Y54" s="75" t="str">
        <f>IFERROR(IF(Y$8="","NA",IF(Y$8&lt;INDEX(T_EMP[START DATE],ROW($B54)-ROW($B$8)),"NE",IF(AND(INDEX(T_EMP[TERMINATION DATE],ROW($B54)-ROW($B$8))&gt;0,Y$8&gt;INDEX(T_EMP[TERMINATION DATE],ROW($B54)-ROW($B$8))),"NE",IF(NOT(ISERROR(MATCH(Y$8,L_HOLS,0))),"H",IF(INDEX(L_WKNDVAL,WEEKDAY(Y$8,1))=1,"WKND",INDEX(T_LEAVE[LEAVE CODE],SUMPRODUCT(--(T_LEAVE[NAME]=$B54),--(T_LEAVE[DATE]&lt;=Y$8),--(T_LEAVE[DATE]&gt;=Y$8),ROW(T_LEAVE[LEAVE CODE]))-ROW(T_LEAVE[#Headers]))))))),"")</f>
        <v/>
      </c>
      <c r="Z54" s="75" t="str">
        <f>IFERROR(IF(Z$8="","NA",IF(Z$8&lt;INDEX(T_EMP[START DATE],ROW($B54)-ROW($B$8)),"NE",IF(AND(INDEX(T_EMP[TERMINATION DATE],ROW($B54)-ROW($B$8))&gt;0,Z$8&gt;INDEX(T_EMP[TERMINATION DATE],ROW($B54)-ROW($B$8))),"NE",IF(NOT(ISERROR(MATCH(Z$8,L_HOLS,0))),"H",IF(INDEX(L_WKNDVAL,WEEKDAY(Z$8,1))=1,"WKND",INDEX(T_LEAVE[LEAVE CODE],SUMPRODUCT(--(T_LEAVE[NAME]=$B54),--(T_LEAVE[DATE]&lt;=Z$8),--(T_LEAVE[DATE]&gt;=Z$8),ROW(T_LEAVE[LEAVE CODE]))-ROW(T_LEAVE[#Headers]))))))),"")</f>
        <v/>
      </c>
      <c r="AA54" s="75" t="str">
        <f>IFERROR(IF(AA$8="","NA",IF(AA$8&lt;INDEX(T_EMP[START DATE],ROW($B54)-ROW($B$8)),"NE",IF(AND(INDEX(T_EMP[TERMINATION DATE],ROW($B54)-ROW($B$8))&gt;0,AA$8&gt;INDEX(T_EMP[TERMINATION DATE],ROW($B54)-ROW($B$8))),"NE",IF(NOT(ISERROR(MATCH(AA$8,L_HOLS,0))),"H",IF(INDEX(L_WKNDVAL,WEEKDAY(AA$8,1))=1,"WKND",INDEX(T_LEAVE[LEAVE CODE],SUMPRODUCT(--(T_LEAVE[NAME]=$B54),--(T_LEAVE[DATE]&lt;=AA$8),--(T_LEAVE[DATE]&gt;=AA$8),ROW(T_LEAVE[LEAVE CODE]))-ROW(T_LEAVE[#Headers]))))))),"")</f>
        <v/>
      </c>
      <c r="AB54" s="75" t="str">
        <f>IFERROR(IF(AB$8="","NA",IF(AB$8&lt;INDEX(T_EMP[START DATE],ROW($B54)-ROW($B$8)),"NE",IF(AND(INDEX(T_EMP[TERMINATION DATE],ROW($B54)-ROW($B$8))&gt;0,AB$8&gt;INDEX(T_EMP[TERMINATION DATE],ROW($B54)-ROW($B$8))),"NE",IF(NOT(ISERROR(MATCH(AB$8,L_HOLS,0))),"H",IF(INDEX(L_WKNDVAL,WEEKDAY(AB$8,1))=1,"WKND",INDEX(T_LEAVE[LEAVE CODE],SUMPRODUCT(--(T_LEAVE[NAME]=$B54),--(T_LEAVE[DATE]&lt;=AB$8),--(T_LEAVE[DATE]&gt;=AB$8),ROW(T_LEAVE[LEAVE CODE]))-ROW(T_LEAVE[#Headers]))))))),"")</f>
        <v/>
      </c>
      <c r="AC54" s="75" t="str">
        <f>IFERROR(IF(AC$8="","NA",IF(AC$8&lt;INDEX(T_EMP[START DATE],ROW($B54)-ROW($B$8)),"NE",IF(AND(INDEX(T_EMP[TERMINATION DATE],ROW($B54)-ROW($B$8))&gt;0,AC$8&gt;INDEX(T_EMP[TERMINATION DATE],ROW($B54)-ROW($B$8))),"NE",IF(NOT(ISERROR(MATCH(AC$8,L_HOLS,0))),"H",IF(INDEX(L_WKNDVAL,WEEKDAY(AC$8,1))=1,"WKND",INDEX(T_LEAVE[LEAVE CODE],SUMPRODUCT(--(T_LEAVE[NAME]=$B54),--(T_LEAVE[DATE]&lt;=AC$8),--(T_LEAVE[DATE]&gt;=AC$8),ROW(T_LEAVE[LEAVE CODE]))-ROW(T_LEAVE[#Headers]))))))),"")</f>
        <v/>
      </c>
      <c r="AD54" s="75" t="str">
        <f>IFERROR(IF(AD$8="","NA",IF(AD$8&lt;INDEX(T_EMP[START DATE],ROW($B54)-ROW($B$8)),"NE",IF(AND(INDEX(T_EMP[TERMINATION DATE],ROW($B54)-ROW($B$8))&gt;0,AD$8&gt;INDEX(T_EMP[TERMINATION DATE],ROW($B54)-ROW($B$8))),"NE",IF(NOT(ISERROR(MATCH(AD$8,L_HOLS,0))),"H",IF(INDEX(L_WKNDVAL,WEEKDAY(AD$8,1))=1,"WKND",INDEX(T_LEAVE[LEAVE CODE],SUMPRODUCT(--(T_LEAVE[NAME]=$B54),--(T_LEAVE[DATE]&lt;=AD$8),--(T_LEAVE[DATE]&gt;=AD$8),ROW(T_LEAVE[LEAVE CODE]))-ROW(T_LEAVE[#Headers]))))))),"")</f>
        <v/>
      </c>
      <c r="AE54" s="75" t="str">
        <f>IFERROR(IF(AE$8="","NA",IF(AE$8&lt;INDEX(T_EMP[START DATE],ROW($B54)-ROW($B$8)),"NE",IF(AND(INDEX(T_EMP[TERMINATION DATE],ROW($B54)-ROW($B$8))&gt;0,AE$8&gt;INDEX(T_EMP[TERMINATION DATE],ROW($B54)-ROW($B$8))),"NE",IF(NOT(ISERROR(MATCH(AE$8,L_HOLS,0))),"H",IF(INDEX(L_WKNDVAL,WEEKDAY(AE$8,1))=1,"WKND",INDEX(T_LEAVE[LEAVE CODE],SUMPRODUCT(--(T_LEAVE[NAME]=$B54),--(T_LEAVE[DATE]&lt;=AE$8),--(T_LEAVE[DATE]&gt;=AE$8),ROW(T_LEAVE[LEAVE CODE]))-ROW(T_LEAVE[#Headers]))))))),"")</f>
        <v/>
      </c>
      <c r="AF54" s="75" t="str">
        <f>IFERROR(IF(AF$8="","NA",IF(AF$8&lt;INDEX(T_EMP[START DATE],ROW($B54)-ROW($B$8)),"NE",IF(AND(INDEX(T_EMP[TERMINATION DATE],ROW($B54)-ROW($B$8))&gt;0,AF$8&gt;INDEX(T_EMP[TERMINATION DATE],ROW($B54)-ROW($B$8))),"NE",IF(NOT(ISERROR(MATCH(AF$8,L_HOLS,0))),"H",IF(INDEX(L_WKNDVAL,WEEKDAY(AF$8,1))=1,"WKND",INDEX(T_LEAVE[LEAVE CODE],SUMPRODUCT(--(T_LEAVE[NAME]=$B54),--(T_LEAVE[DATE]&lt;=AF$8),--(T_LEAVE[DATE]&gt;=AF$8),ROW(T_LEAVE[LEAVE CODE]))-ROW(T_LEAVE[#Headers]))))))),"")</f>
        <v/>
      </c>
      <c r="AG54" s="75" t="str">
        <f>IFERROR(IF(AG$8="","NA",IF(AG$8&lt;INDEX(T_EMP[START DATE],ROW($B54)-ROW($B$8)),"NE",IF(AND(INDEX(T_EMP[TERMINATION DATE],ROW($B54)-ROW($B$8))&gt;0,AG$8&gt;INDEX(T_EMP[TERMINATION DATE],ROW($B54)-ROW($B$8))),"NE",IF(NOT(ISERROR(MATCH(AG$8,L_HOLS,0))),"H",IF(INDEX(L_WKNDVAL,WEEKDAY(AG$8,1))=1,"WKND",INDEX(T_LEAVE[LEAVE CODE],SUMPRODUCT(--(T_LEAVE[NAME]=$B54),--(T_LEAVE[DATE]&lt;=AG$8),--(T_LEAVE[DATE]&gt;=AG$8),ROW(T_LEAVE[LEAVE CODE]))-ROW(T_LEAVE[#Headers]))))))),"")</f>
        <v/>
      </c>
      <c r="AH54" s="75" t="str">
        <f>IFERROR(IF(AH$8="","NA",IF(AH$8&lt;INDEX(T_EMP[START DATE],ROW($B54)-ROW($B$8)),"NE",IF(AND(INDEX(T_EMP[TERMINATION DATE],ROW($B54)-ROW($B$8))&gt;0,AH$8&gt;INDEX(T_EMP[TERMINATION DATE],ROW($B54)-ROW($B$8))),"NE",IF(NOT(ISERROR(MATCH(AH$8,L_HOLS,0))),"H",IF(INDEX(L_WKNDVAL,WEEKDAY(AH$8,1))=1,"WKND",INDEX(T_LEAVE[LEAVE CODE],SUMPRODUCT(--(T_LEAVE[NAME]=$B54),--(T_LEAVE[DATE]&lt;=AH$8),--(T_LEAVE[DATE]&gt;=AH$8),ROW(T_LEAVE[LEAVE CODE]))-ROW(T_LEAVE[#Headers]))))))),"")</f>
        <v/>
      </c>
      <c r="AJ54" s="88">
        <f>IF(OR($B54="",AJ$8=""),"",COUNTIFS($D54:$AH54,AJ$8)*INDEX(T_LEAVETYPE[DAY VALUE],1))</f>
        <v>0</v>
      </c>
      <c r="AK54" s="88">
        <f>IF(OR($B54="",AK$8=""),"",COUNTIFS($D54:$AH54,AK$8)*INDEX(T_LEAVETYPE[DAY VALUE],1))</f>
        <v>0</v>
      </c>
      <c r="AL54" s="88">
        <f>IF(OR($B54="",AL$8=""),"",COUNTIFS($D54:$AH54,AL$8)*INDEX(T_LEAVETYPE[DAY VALUE],1))</f>
        <v>0</v>
      </c>
      <c r="AM54" s="88">
        <f>IF(OR($B54="",AM$8=""),"",COUNTIFS($D54:$AH54,AM$8)*INDEX(T_LEAVETYPE[DAY VALUE],1))</f>
        <v>0</v>
      </c>
      <c r="AN54" s="88">
        <f>IF(OR($B54="",AN$8=""),"",COUNTIFS($D54:$AH54,AN$8)*INDEX(T_LEAVETYPE[DAY VALUE],1))</f>
        <v>0</v>
      </c>
      <c r="AO54" s="88">
        <f>IF(OR($B54="",AO$8=""),"",COUNTIFS($D54:$AH54,AO$8)*INDEX(T_LEAVETYPE[DAY VALUE],6))</f>
        <v>0</v>
      </c>
      <c r="AP54" s="88">
        <f>IF(OR($B54="",AP$8=""),"",COUNTIFS($D54:$AH54,AP$8)*INDEX(T_LEAVETYPE[DAY VALUE],7))</f>
        <v>0</v>
      </c>
      <c r="AQ54" s="88">
        <f>IF(OR($B54="",AQ$8=""),"",COUNTIFS($D54:$AH54,AQ$8)*INDEX(T_LEAVETYPE[DAY VALUE],8))</f>
        <v>0</v>
      </c>
      <c r="AR54" s="89">
        <f t="shared" si="5"/>
        <v>0</v>
      </c>
    </row>
    <row r="55" spans="1:44" x14ac:dyDescent="0.25">
      <c r="A55" s="90">
        <f t="shared" si="4"/>
        <v>47</v>
      </c>
      <c r="B55" s="74" t="str">
        <f>IFERROR(INDEX(T_EMP[NAME],ROW(B55)-ROW($B$8)),"")</f>
        <v>PATULOT, MARIROSE</v>
      </c>
      <c r="C55" s="91" t="str">
        <f>IFERROR(INDEX(T_EMP[DEPARTMENT],ROW(B55)-ROW($C$8)),"")</f>
        <v>OB SALES</v>
      </c>
      <c r="D55" s="75" t="str">
        <f>IFERROR(IF(D$8="","NA",IF(D$8&lt;INDEX(T_EMP[START DATE],ROW($B55)-ROW($B$8)),"NE",IF(AND(INDEX(T_EMP[TERMINATION DATE],ROW($B55)-ROW($B$8))&gt;0,D$8&gt;INDEX(T_EMP[TERMINATION DATE],ROW($B55)-ROW($B$8))),"NE",IF(NOT(ISERROR(MATCH(D$8,L_HOLS,0))),"H",IF(INDEX(L_WKNDVAL,WEEKDAY(D$8,1))=1,"WKND",INDEX(T_LEAVE[LEAVE CODE],SUMPRODUCT(--(T_LEAVE[NAME]=$B55),--(T_LEAVE[DATE]&lt;=D$8),--(T_LEAVE[DATE]&gt;=D$8),ROW(T_LEAVE[LEAVE CODE]))-ROW(T_LEAVE[#Headers]))))))),"")</f>
        <v>H</v>
      </c>
      <c r="E55" s="75" t="str">
        <f>IFERROR(IF(E$8="","NA",IF(E$8&lt;INDEX(T_EMP[START DATE],ROW($B55)-ROW($B$8)),"NE",IF(AND(INDEX(T_EMP[TERMINATION DATE],ROW($B55)-ROW($B$8))&gt;0,E$8&gt;INDEX(T_EMP[TERMINATION DATE],ROW($B55)-ROW($B$8))),"NE",IF(NOT(ISERROR(MATCH(E$8,L_HOLS,0))),"H",IF(INDEX(L_WKNDVAL,WEEKDAY(E$8,1))=1,"WKND",INDEX(T_LEAVE[LEAVE CODE],SUMPRODUCT(--(T_LEAVE[NAME]=$B55),--(T_LEAVE[DATE]&lt;=E$8),--(T_LEAVE[DATE]&gt;=E$8),ROW(T_LEAVE[LEAVE CODE]))-ROW(T_LEAVE[#Headers]))))))),"")</f>
        <v/>
      </c>
      <c r="F55" s="75" t="str">
        <f>IFERROR(IF(F$8="","NA",IF(F$8&lt;INDEX(T_EMP[START DATE],ROW($B55)-ROW($B$8)),"NE",IF(AND(INDEX(T_EMP[TERMINATION DATE],ROW($B55)-ROW($B$8))&gt;0,F$8&gt;INDEX(T_EMP[TERMINATION DATE],ROW($B55)-ROW($B$8))),"NE",IF(NOT(ISERROR(MATCH(F$8,L_HOLS,0))),"H",IF(INDEX(L_WKNDVAL,WEEKDAY(F$8,1))=1,"WKND",INDEX(T_LEAVE[LEAVE CODE],SUMPRODUCT(--(T_LEAVE[NAME]=$B55),--(T_LEAVE[DATE]&lt;=F$8),--(T_LEAVE[DATE]&gt;=F$8),ROW(T_LEAVE[LEAVE CODE]))-ROW(T_LEAVE[#Headers]))))))),"")</f>
        <v/>
      </c>
      <c r="G55" s="75" t="str">
        <f>IFERROR(IF(G$8="","NA",IF(G$8&lt;INDEX(T_EMP[START DATE],ROW($B55)-ROW($B$8)),"NE",IF(AND(INDEX(T_EMP[TERMINATION DATE],ROW($B55)-ROW($B$8))&gt;0,G$8&gt;INDEX(T_EMP[TERMINATION DATE],ROW($B55)-ROW($B$8))),"NE",IF(NOT(ISERROR(MATCH(G$8,L_HOLS,0))),"H",IF(INDEX(L_WKNDVAL,WEEKDAY(G$8,1))=1,"WKND",INDEX(T_LEAVE[LEAVE CODE],SUMPRODUCT(--(T_LEAVE[NAME]=$B55),--(T_LEAVE[DATE]&lt;=G$8),--(T_LEAVE[DATE]&gt;=G$8),ROW(T_LEAVE[LEAVE CODE]))-ROW(T_LEAVE[#Headers]))))))),"")</f>
        <v/>
      </c>
      <c r="H55" s="75" t="str">
        <f>IFERROR(IF(H$8="","NA",IF(H$8&lt;INDEX(T_EMP[START DATE],ROW($B55)-ROW($B$8)),"NE",IF(AND(INDEX(T_EMP[TERMINATION DATE],ROW($B55)-ROW($B$8))&gt;0,H$8&gt;INDEX(T_EMP[TERMINATION DATE],ROW($B55)-ROW($B$8))),"NE",IF(NOT(ISERROR(MATCH(H$8,L_HOLS,0))),"H",IF(INDEX(L_WKNDVAL,WEEKDAY(H$8,1))=1,"WKND",INDEX(T_LEAVE[LEAVE CODE],SUMPRODUCT(--(T_LEAVE[NAME]=$B55),--(T_LEAVE[DATE]&lt;=H$8),--(T_LEAVE[DATE]&gt;=H$8),ROW(T_LEAVE[LEAVE CODE]))-ROW(T_LEAVE[#Headers]))))))),"")</f>
        <v/>
      </c>
      <c r="I55" s="75" t="str">
        <f>IFERROR(IF(I$8="","NA",IF(I$8&lt;INDEX(T_EMP[START DATE],ROW($B55)-ROW($B$8)),"NE",IF(AND(INDEX(T_EMP[TERMINATION DATE],ROW($B55)-ROW($B$8))&gt;0,I$8&gt;INDEX(T_EMP[TERMINATION DATE],ROW($B55)-ROW($B$8))),"NE",IF(NOT(ISERROR(MATCH(I$8,L_HOLS,0))),"H",IF(INDEX(L_WKNDVAL,WEEKDAY(I$8,1))=1,"WKND",INDEX(T_LEAVE[LEAVE CODE],SUMPRODUCT(--(T_LEAVE[NAME]=$B55),--(T_LEAVE[DATE]&lt;=I$8),--(T_LEAVE[DATE]&gt;=I$8),ROW(T_LEAVE[LEAVE CODE]))-ROW(T_LEAVE[#Headers]))))))),"")</f>
        <v/>
      </c>
      <c r="J55" s="75" t="str">
        <f>IFERROR(IF(J$8="","NA",IF(J$8&lt;INDEX(T_EMP[START DATE],ROW($B55)-ROW($B$8)),"NE",IF(AND(INDEX(T_EMP[TERMINATION DATE],ROW($B55)-ROW($B$8))&gt;0,J$8&gt;INDEX(T_EMP[TERMINATION DATE],ROW($B55)-ROW($B$8))),"NE",IF(NOT(ISERROR(MATCH(J$8,L_HOLS,0))),"H",IF(INDEX(L_WKNDVAL,WEEKDAY(J$8,1))=1,"WKND",INDEX(T_LEAVE[LEAVE CODE],SUMPRODUCT(--(T_LEAVE[NAME]=$B55),--(T_LEAVE[DATE]&lt;=J$8),--(T_LEAVE[DATE]&gt;=J$8),ROW(T_LEAVE[LEAVE CODE]))-ROW(T_LEAVE[#Headers]))))))),"")</f>
        <v/>
      </c>
      <c r="K55" s="75" t="str">
        <f>IFERROR(IF(K$8="","NA",IF(K$8&lt;INDEX(T_EMP[START DATE],ROW($B55)-ROW($B$8)),"NE",IF(AND(INDEX(T_EMP[TERMINATION DATE],ROW($B55)-ROW($B$8))&gt;0,K$8&gt;INDEX(T_EMP[TERMINATION DATE],ROW($B55)-ROW($B$8))),"NE",IF(NOT(ISERROR(MATCH(K$8,L_HOLS,0))),"H",IF(INDEX(L_WKNDVAL,WEEKDAY(K$8,1))=1,"WKND",INDEX(T_LEAVE[LEAVE CODE],SUMPRODUCT(--(T_LEAVE[NAME]=$B55),--(T_LEAVE[DATE]&lt;=K$8),--(T_LEAVE[DATE]&gt;=K$8),ROW(T_LEAVE[LEAVE CODE]))-ROW(T_LEAVE[#Headers]))))))),"")</f>
        <v/>
      </c>
      <c r="L55" s="75" t="str">
        <f>IFERROR(IF(L$8="","NA",IF(L$8&lt;INDEX(T_EMP[START DATE],ROW($B55)-ROW($B$8)),"NE",IF(AND(INDEX(T_EMP[TERMINATION DATE],ROW($B55)-ROW($B$8))&gt;0,L$8&gt;INDEX(T_EMP[TERMINATION DATE],ROW($B55)-ROW($B$8))),"NE",IF(NOT(ISERROR(MATCH(L$8,L_HOLS,0))),"H",IF(INDEX(L_WKNDVAL,WEEKDAY(L$8,1))=1,"WKND",INDEX(T_LEAVE[LEAVE CODE],SUMPRODUCT(--(T_LEAVE[NAME]=$B55),--(T_LEAVE[DATE]&lt;=L$8),--(T_LEAVE[DATE]&gt;=L$8),ROW(T_LEAVE[LEAVE CODE]))-ROW(T_LEAVE[#Headers]))))))),"")</f>
        <v/>
      </c>
      <c r="M55" s="75" t="str">
        <f>IFERROR(IF(M$8="","NA",IF(M$8&lt;INDEX(T_EMP[START DATE],ROW($B55)-ROW($B$8)),"NE",IF(AND(INDEX(T_EMP[TERMINATION DATE],ROW($B55)-ROW($B$8))&gt;0,M$8&gt;INDEX(T_EMP[TERMINATION DATE],ROW($B55)-ROW($B$8))),"NE",IF(NOT(ISERROR(MATCH(M$8,L_HOLS,0))),"H",IF(INDEX(L_WKNDVAL,WEEKDAY(M$8,1))=1,"WKND",INDEX(T_LEAVE[LEAVE CODE],SUMPRODUCT(--(T_LEAVE[NAME]=$B55),--(T_LEAVE[DATE]&lt;=M$8),--(T_LEAVE[DATE]&gt;=M$8),ROW(T_LEAVE[LEAVE CODE]))-ROW(T_LEAVE[#Headers]))))))),"")</f>
        <v/>
      </c>
      <c r="N55" s="75" t="str">
        <f>IFERROR(IF(N$8="","NA",IF(N$8&lt;INDEX(T_EMP[START DATE],ROW($B55)-ROW($B$8)),"NE",IF(AND(INDEX(T_EMP[TERMINATION DATE],ROW($B55)-ROW($B$8))&gt;0,N$8&gt;INDEX(T_EMP[TERMINATION DATE],ROW($B55)-ROW($B$8))),"NE",IF(NOT(ISERROR(MATCH(N$8,L_HOLS,0))),"H",IF(INDEX(L_WKNDVAL,WEEKDAY(N$8,1))=1,"WKND",INDEX(T_LEAVE[LEAVE CODE],SUMPRODUCT(--(T_LEAVE[NAME]=$B55),--(T_LEAVE[DATE]&lt;=N$8),--(T_LEAVE[DATE]&gt;=N$8),ROW(T_LEAVE[LEAVE CODE]))-ROW(T_LEAVE[#Headers]))))))),"")</f>
        <v/>
      </c>
      <c r="O55" s="75" t="str">
        <f>IFERROR(IF(O$8="","NA",IF(O$8&lt;INDEX(T_EMP[START DATE],ROW($B55)-ROW($B$8)),"NE",IF(AND(INDEX(T_EMP[TERMINATION DATE],ROW($B55)-ROW($B$8))&gt;0,O$8&gt;INDEX(T_EMP[TERMINATION DATE],ROW($B55)-ROW($B$8))),"NE",IF(NOT(ISERROR(MATCH(O$8,L_HOLS,0))),"H",IF(INDEX(L_WKNDVAL,WEEKDAY(O$8,1))=1,"WKND",INDEX(T_LEAVE[LEAVE CODE],SUMPRODUCT(--(T_LEAVE[NAME]=$B55),--(T_LEAVE[DATE]&lt;=O$8),--(T_LEAVE[DATE]&gt;=O$8),ROW(T_LEAVE[LEAVE CODE]))-ROW(T_LEAVE[#Headers]))))))),"")</f>
        <v/>
      </c>
      <c r="P55" s="75" t="str">
        <f>IFERROR(IF(P$8="","NA",IF(P$8&lt;INDEX(T_EMP[START DATE],ROW($B55)-ROW($B$8)),"NE",IF(AND(INDEX(T_EMP[TERMINATION DATE],ROW($B55)-ROW($B$8))&gt;0,P$8&gt;INDEX(T_EMP[TERMINATION DATE],ROW($B55)-ROW($B$8))),"NE",IF(NOT(ISERROR(MATCH(P$8,L_HOLS,0))),"H",IF(INDEX(L_WKNDVAL,WEEKDAY(P$8,1))=1,"WKND",INDEX(T_LEAVE[LEAVE CODE],SUMPRODUCT(--(T_LEAVE[NAME]=$B55),--(T_LEAVE[DATE]&lt;=P$8),--(T_LEAVE[DATE]&gt;=P$8),ROW(T_LEAVE[LEAVE CODE]))-ROW(T_LEAVE[#Headers]))))))),"")</f>
        <v>H</v>
      </c>
      <c r="Q55" s="75" t="str">
        <f>IFERROR(IF(Q$8="","NA",IF(Q$8&lt;INDEX(T_EMP[START DATE],ROW($B55)-ROW($B$8)),"NE",IF(AND(INDEX(T_EMP[TERMINATION DATE],ROW($B55)-ROW($B$8))&gt;0,Q$8&gt;INDEX(T_EMP[TERMINATION DATE],ROW($B55)-ROW($B$8))),"NE",IF(NOT(ISERROR(MATCH(Q$8,L_HOLS,0))),"H",IF(INDEX(L_WKNDVAL,WEEKDAY(Q$8,1))=1,"WKND",INDEX(T_LEAVE[LEAVE CODE],SUMPRODUCT(--(T_LEAVE[NAME]=$B55),--(T_LEAVE[DATE]&lt;=Q$8),--(T_LEAVE[DATE]&gt;=Q$8),ROW(T_LEAVE[LEAVE CODE]))-ROW(T_LEAVE[#Headers]))))))),"")</f>
        <v/>
      </c>
      <c r="R55" s="75" t="str">
        <f>IFERROR(IF(R$8="","NA",IF(R$8&lt;INDEX(T_EMP[START DATE],ROW($B55)-ROW($B$8)),"NE",IF(AND(INDEX(T_EMP[TERMINATION DATE],ROW($B55)-ROW($B$8))&gt;0,R$8&gt;INDEX(T_EMP[TERMINATION DATE],ROW($B55)-ROW($B$8))),"NE",IF(NOT(ISERROR(MATCH(R$8,L_HOLS,0))),"H",IF(INDEX(L_WKNDVAL,WEEKDAY(R$8,1))=1,"WKND",INDEX(T_LEAVE[LEAVE CODE],SUMPRODUCT(--(T_LEAVE[NAME]=$B55),--(T_LEAVE[DATE]&lt;=R$8),--(T_LEAVE[DATE]&gt;=R$8),ROW(T_LEAVE[LEAVE CODE]))-ROW(T_LEAVE[#Headers]))))))),"")</f>
        <v/>
      </c>
      <c r="S55" s="75" t="str">
        <f>IFERROR(IF(S$8="","NA",IF(S$8&lt;INDEX(T_EMP[START DATE],ROW($B55)-ROW($B$8)),"NE",IF(AND(INDEX(T_EMP[TERMINATION DATE],ROW($B55)-ROW($B$8))&gt;0,S$8&gt;INDEX(T_EMP[TERMINATION DATE],ROW($B55)-ROW($B$8))),"NE",IF(NOT(ISERROR(MATCH(S$8,L_HOLS,0))),"H",IF(INDEX(L_WKNDVAL,WEEKDAY(S$8,1))=1,"WKND",INDEX(T_LEAVE[LEAVE CODE],SUMPRODUCT(--(T_LEAVE[NAME]=$B55),--(T_LEAVE[DATE]&lt;=S$8),--(T_LEAVE[DATE]&gt;=S$8),ROW(T_LEAVE[LEAVE CODE]))-ROW(T_LEAVE[#Headers]))))))),"")</f>
        <v/>
      </c>
      <c r="T55" s="75" t="str">
        <f>IFERROR(IF(T$8="","NA",IF(T$8&lt;INDEX(T_EMP[START DATE],ROW($B55)-ROW($B$8)),"NE",IF(AND(INDEX(T_EMP[TERMINATION DATE],ROW($B55)-ROW($B$8))&gt;0,T$8&gt;INDEX(T_EMP[TERMINATION DATE],ROW($B55)-ROW($B$8))),"NE",IF(NOT(ISERROR(MATCH(T$8,L_HOLS,0))),"H",IF(INDEX(L_WKNDVAL,WEEKDAY(T$8,1))=1,"WKND",INDEX(T_LEAVE[LEAVE CODE],SUMPRODUCT(--(T_LEAVE[NAME]=$B55),--(T_LEAVE[DATE]&lt;=T$8),--(T_LEAVE[DATE]&gt;=T$8),ROW(T_LEAVE[LEAVE CODE]))-ROW(T_LEAVE[#Headers]))))))),"")</f>
        <v/>
      </c>
      <c r="U55" s="75" t="str">
        <f>IFERROR(IF(U$8="","NA",IF(U$8&lt;INDEX(T_EMP[START DATE],ROW($B55)-ROW($B$8)),"NE",IF(AND(INDEX(T_EMP[TERMINATION DATE],ROW($B55)-ROW($B$8))&gt;0,U$8&gt;INDEX(T_EMP[TERMINATION DATE],ROW($B55)-ROW($B$8))),"NE",IF(NOT(ISERROR(MATCH(U$8,L_HOLS,0))),"H",IF(INDEX(L_WKNDVAL,WEEKDAY(U$8,1))=1,"WKND",INDEX(T_LEAVE[LEAVE CODE],SUMPRODUCT(--(T_LEAVE[NAME]=$B55),--(T_LEAVE[DATE]&lt;=U$8),--(T_LEAVE[DATE]&gt;=U$8),ROW(T_LEAVE[LEAVE CODE]))-ROW(T_LEAVE[#Headers]))))))),"")</f>
        <v/>
      </c>
      <c r="V55" s="75" t="str">
        <f>IFERROR(IF(V$8="","NA",IF(V$8&lt;INDEX(T_EMP[START DATE],ROW($B55)-ROW($B$8)),"NE",IF(AND(INDEX(T_EMP[TERMINATION DATE],ROW($B55)-ROW($B$8))&gt;0,V$8&gt;INDEX(T_EMP[TERMINATION DATE],ROW($B55)-ROW($B$8))),"NE",IF(NOT(ISERROR(MATCH(V$8,L_HOLS,0))),"H",IF(INDEX(L_WKNDVAL,WEEKDAY(V$8,1))=1,"WKND",INDEX(T_LEAVE[LEAVE CODE],SUMPRODUCT(--(T_LEAVE[NAME]=$B55),--(T_LEAVE[DATE]&lt;=V$8),--(T_LEAVE[DATE]&gt;=V$8),ROW(T_LEAVE[LEAVE CODE]))-ROW(T_LEAVE[#Headers]))))))),"")</f>
        <v/>
      </c>
      <c r="W55" s="75" t="str">
        <f>IFERROR(IF(W$8="","NA",IF(W$8&lt;INDEX(T_EMP[START DATE],ROW($B55)-ROW($B$8)),"NE",IF(AND(INDEX(T_EMP[TERMINATION DATE],ROW($B55)-ROW($B$8))&gt;0,W$8&gt;INDEX(T_EMP[TERMINATION DATE],ROW($B55)-ROW($B$8))),"NE",IF(NOT(ISERROR(MATCH(W$8,L_HOLS,0))),"H",IF(INDEX(L_WKNDVAL,WEEKDAY(W$8,1))=1,"WKND",INDEX(T_LEAVE[LEAVE CODE],SUMPRODUCT(--(T_LEAVE[NAME]=$B55),--(T_LEAVE[DATE]&lt;=W$8),--(T_LEAVE[DATE]&gt;=W$8),ROW(T_LEAVE[LEAVE CODE]))-ROW(T_LEAVE[#Headers]))))))),"")</f>
        <v/>
      </c>
      <c r="X55" s="75" t="str">
        <f>IFERROR(IF(X$8="","NA",IF(X$8&lt;INDEX(T_EMP[START DATE],ROW($B55)-ROW($B$8)),"NE",IF(AND(INDEX(T_EMP[TERMINATION DATE],ROW($B55)-ROW($B$8))&gt;0,X$8&gt;INDEX(T_EMP[TERMINATION DATE],ROW($B55)-ROW($B$8))),"NE",IF(NOT(ISERROR(MATCH(X$8,L_HOLS,0))),"H",IF(INDEX(L_WKNDVAL,WEEKDAY(X$8,1))=1,"WKND",INDEX(T_LEAVE[LEAVE CODE],SUMPRODUCT(--(T_LEAVE[NAME]=$B55),--(T_LEAVE[DATE]&lt;=X$8),--(T_LEAVE[DATE]&gt;=X$8),ROW(T_LEAVE[LEAVE CODE]))-ROW(T_LEAVE[#Headers]))))))),"")</f>
        <v/>
      </c>
      <c r="Y55" s="75" t="str">
        <f>IFERROR(IF(Y$8="","NA",IF(Y$8&lt;INDEX(T_EMP[START DATE],ROW($B55)-ROW($B$8)),"NE",IF(AND(INDEX(T_EMP[TERMINATION DATE],ROW($B55)-ROW($B$8))&gt;0,Y$8&gt;INDEX(T_EMP[TERMINATION DATE],ROW($B55)-ROW($B$8))),"NE",IF(NOT(ISERROR(MATCH(Y$8,L_HOLS,0))),"H",IF(INDEX(L_WKNDVAL,WEEKDAY(Y$8,1))=1,"WKND",INDEX(T_LEAVE[LEAVE CODE],SUMPRODUCT(--(T_LEAVE[NAME]=$B55),--(T_LEAVE[DATE]&lt;=Y$8),--(T_LEAVE[DATE]&gt;=Y$8),ROW(T_LEAVE[LEAVE CODE]))-ROW(T_LEAVE[#Headers]))))))),"")</f>
        <v/>
      </c>
      <c r="Z55" s="75" t="str">
        <f>IFERROR(IF(Z$8="","NA",IF(Z$8&lt;INDEX(T_EMP[START DATE],ROW($B55)-ROW($B$8)),"NE",IF(AND(INDEX(T_EMP[TERMINATION DATE],ROW($B55)-ROW($B$8))&gt;0,Z$8&gt;INDEX(T_EMP[TERMINATION DATE],ROW($B55)-ROW($B$8))),"NE",IF(NOT(ISERROR(MATCH(Z$8,L_HOLS,0))),"H",IF(INDEX(L_WKNDVAL,WEEKDAY(Z$8,1))=1,"WKND",INDEX(T_LEAVE[LEAVE CODE],SUMPRODUCT(--(T_LEAVE[NAME]=$B55),--(T_LEAVE[DATE]&lt;=Z$8),--(T_LEAVE[DATE]&gt;=Z$8),ROW(T_LEAVE[LEAVE CODE]))-ROW(T_LEAVE[#Headers]))))))),"")</f>
        <v/>
      </c>
      <c r="AA55" s="75" t="str">
        <f>IFERROR(IF(AA$8="","NA",IF(AA$8&lt;INDEX(T_EMP[START DATE],ROW($B55)-ROW($B$8)),"NE",IF(AND(INDEX(T_EMP[TERMINATION DATE],ROW($B55)-ROW($B$8))&gt;0,AA$8&gt;INDEX(T_EMP[TERMINATION DATE],ROW($B55)-ROW($B$8))),"NE",IF(NOT(ISERROR(MATCH(AA$8,L_HOLS,0))),"H",IF(INDEX(L_WKNDVAL,WEEKDAY(AA$8,1))=1,"WKND",INDEX(T_LEAVE[LEAVE CODE],SUMPRODUCT(--(T_LEAVE[NAME]=$B55),--(T_LEAVE[DATE]&lt;=AA$8),--(T_LEAVE[DATE]&gt;=AA$8),ROW(T_LEAVE[LEAVE CODE]))-ROW(T_LEAVE[#Headers]))))))),"")</f>
        <v/>
      </c>
      <c r="AB55" s="75" t="str">
        <f>IFERROR(IF(AB$8="","NA",IF(AB$8&lt;INDEX(T_EMP[START DATE],ROW($B55)-ROW($B$8)),"NE",IF(AND(INDEX(T_EMP[TERMINATION DATE],ROW($B55)-ROW($B$8))&gt;0,AB$8&gt;INDEX(T_EMP[TERMINATION DATE],ROW($B55)-ROW($B$8))),"NE",IF(NOT(ISERROR(MATCH(AB$8,L_HOLS,0))),"H",IF(INDEX(L_WKNDVAL,WEEKDAY(AB$8,1))=1,"WKND",INDEX(T_LEAVE[LEAVE CODE],SUMPRODUCT(--(T_LEAVE[NAME]=$B55),--(T_LEAVE[DATE]&lt;=AB$8),--(T_LEAVE[DATE]&gt;=AB$8),ROW(T_LEAVE[LEAVE CODE]))-ROW(T_LEAVE[#Headers]))))))),"")</f>
        <v/>
      </c>
      <c r="AC55" s="75" t="str">
        <f>IFERROR(IF(AC$8="","NA",IF(AC$8&lt;INDEX(T_EMP[START DATE],ROW($B55)-ROW($B$8)),"NE",IF(AND(INDEX(T_EMP[TERMINATION DATE],ROW($B55)-ROW($B$8))&gt;0,AC$8&gt;INDEX(T_EMP[TERMINATION DATE],ROW($B55)-ROW($B$8))),"NE",IF(NOT(ISERROR(MATCH(AC$8,L_HOLS,0))),"H",IF(INDEX(L_WKNDVAL,WEEKDAY(AC$8,1))=1,"WKND",INDEX(T_LEAVE[LEAVE CODE],SUMPRODUCT(--(T_LEAVE[NAME]=$B55),--(T_LEAVE[DATE]&lt;=AC$8),--(T_LEAVE[DATE]&gt;=AC$8),ROW(T_LEAVE[LEAVE CODE]))-ROW(T_LEAVE[#Headers]))))))),"")</f>
        <v/>
      </c>
      <c r="AD55" s="75" t="str">
        <f>IFERROR(IF(AD$8="","NA",IF(AD$8&lt;INDEX(T_EMP[START DATE],ROW($B55)-ROW($B$8)),"NE",IF(AND(INDEX(T_EMP[TERMINATION DATE],ROW($B55)-ROW($B$8))&gt;0,AD$8&gt;INDEX(T_EMP[TERMINATION DATE],ROW($B55)-ROW($B$8))),"NE",IF(NOT(ISERROR(MATCH(AD$8,L_HOLS,0))),"H",IF(INDEX(L_WKNDVAL,WEEKDAY(AD$8,1))=1,"WKND",INDEX(T_LEAVE[LEAVE CODE],SUMPRODUCT(--(T_LEAVE[NAME]=$B55),--(T_LEAVE[DATE]&lt;=AD$8),--(T_LEAVE[DATE]&gt;=AD$8),ROW(T_LEAVE[LEAVE CODE]))-ROW(T_LEAVE[#Headers]))))))),"")</f>
        <v/>
      </c>
      <c r="AE55" s="75" t="str">
        <f>IFERROR(IF(AE$8="","NA",IF(AE$8&lt;INDEX(T_EMP[START DATE],ROW($B55)-ROW($B$8)),"NE",IF(AND(INDEX(T_EMP[TERMINATION DATE],ROW($B55)-ROW($B$8))&gt;0,AE$8&gt;INDEX(T_EMP[TERMINATION DATE],ROW($B55)-ROW($B$8))),"NE",IF(NOT(ISERROR(MATCH(AE$8,L_HOLS,0))),"H",IF(INDEX(L_WKNDVAL,WEEKDAY(AE$8,1))=1,"WKND",INDEX(T_LEAVE[LEAVE CODE],SUMPRODUCT(--(T_LEAVE[NAME]=$B55),--(T_LEAVE[DATE]&lt;=AE$8),--(T_LEAVE[DATE]&gt;=AE$8),ROW(T_LEAVE[LEAVE CODE]))-ROW(T_LEAVE[#Headers]))))))),"")</f>
        <v/>
      </c>
      <c r="AF55" s="75" t="str">
        <f>IFERROR(IF(AF$8="","NA",IF(AF$8&lt;INDEX(T_EMP[START DATE],ROW($B55)-ROW($B$8)),"NE",IF(AND(INDEX(T_EMP[TERMINATION DATE],ROW($B55)-ROW($B$8))&gt;0,AF$8&gt;INDEX(T_EMP[TERMINATION DATE],ROW($B55)-ROW($B$8))),"NE",IF(NOT(ISERROR(MATCH(AF$8,L_HOLS,0))),"H",IF(INDEX(L_WKNDVAL,WEEKDAY(AF$8,1))=1,"WKND",INDEX(T_LEAVE[LEAVE CODE],SUMPRODUCT(--(T_LEAVE[NAME]=$B55),--(T_LEAVE[DATE]&lt;=AF$8),--(T_LEAVE[DATE]&gt;=AF$8),ROW(T_LEAVE[LEAVE CODE]))-ROW(T_LEAVE[#Headers]))))))),"")</f>
        <v/>
      </c>
      <c r="AG55" s="75" t="str">
        <f>IFERROR(IF(AG$8="","NA",IF(AG$8&lt;INDEX(T_EMP[START DATE],ROW($B55)-ROW($B$8)),"NE",IF(AND(INDEX(T_EMP[TERMINATION DATE],ROW($B55)-ROW($B$8))&gt;0,AG$8&gt;INDEX(T_EMP[TERMINATION DATE],ROW($B55)-ROW($B$8))),"NE",IF(NOT(ISERROR(MATCH(AG$8,L_HOLS,0))),"H",IF(INDEX(L_WKNDVAL,WEEKDAY(AG$8,1))=1,"WKND",INDEX(T_LEAVE[LEAVE CODE],SUMPRODUCT(--(T_LEAVE[NAME]=$B55),--(T_LEAVE[DATE]&lt;=AG$8),--(T_LEAVE[DATE]&gt;=AG$8),ROW(T_LEAVE[LEAVE CODE]))-ROW(T_LEAVE[#Headers]))))))),"")</f>
        <v/>
      </c>
      <c r="AH55" s="75" t="str">
        <f>IFERROR(IF(AH$8="","NA",IF(AH$8&lt;INDEX(T_EMP[START DATE],ROW($B55)-ROW($B$8)),"NE",IF(AND(INDEX(T_EMP[TERMINATION DATE],ROW($B55)-ROW($B$8))&gt;0,AH$8&gt;INDEX(T_EMP[TERMINATION DATE],ROW($B55)-ROW($B$8))),"NE",IF(NOT(ISERROR(MATCH(AH$8,L_HOLS,0))),"H",IF(INDEX(L_WKNDVAL,WEEKDAY(AH$8,1))=1,"WKND",INDEX(T_LEAVE[LEAVE CODE],SUMPRODUCT(--(T_LEAVE[NAME]=$B55),--(T_LEAVE[DATE]&lt;=AH$8),--(T_LEAVE[DATE]&gt;=AH$8),ROW(T_LEAVE[LEAVE CODE]))-ROW(T_LEAVE[#Headers]))))))),"")</f>
        <v/>
      </c>
      <c r="AJ55" s="88">
        <f>IF(OR($B55="",AJ$8=""),"",COUNTIFS($D55:$AH55,AJ$8)*INDEX(T_LEAVETYPE[DAY VALUE],1))</f>
        <v>0</v>
      </c>
      <c r="AK55" s="88">
        <f>IF(OR($B55="",AK$8=""),"",COUNTIFS($D55:$AH55,AK$8)*INDEX(T_LEAVETYPE[DAY VALUE],1))</f>
        <v>0</v>
      </c>
      <c r="AL55" s="88">
        <f>IF(OR($B55="",AL$8=""),"",COUNTIFS($D55:$AH55,AL$8)*INDEX(T_LEAVETYPE[DAY VALUE],1))</f>
        <v>0</v>
      </c>
      <c r="AM55" s="88">
        <f>IF(OR($B55="",AM$8=""),"",COUNTIFS($D55:$AH55,AM$8)*INDEX(T_LEAVETYPE[DAY VALUE],1))</f>
        <v>0</v>
      </c>
      <c r="AN55" s="88">
        <f>IF(OR($B55="",AN$8=""),"",COUNTIFS($D55:$AH55,AN$8)*INDEX(T_LEAVETYPE[DAY VALUE],1))</f>
        <v>0</v>
      </c>
      <c r="AO55" s="88">
        <f>IF(OR($B55="",AO$8=""),"",COUNTIFS($D55:$AH55,AO$8)*INDEX(T_LEAVETYPE[DAY VALUE],6))</f>
        <v>0</v>
      </c>
      <c r="AP55" s="88">
        <f>IF(OR($B55="",AP$8=""),"",COUNTIFS($D55:$AH55,AP$8)*INDEX(T_LEAVETYPE[DAY VALUE],7))</f>
        <v>0</v>
      </c>
      <c r="AQ55" s="88">
        <f>IF(OR($B55="",AQ$8=""),"",COUNTIFS($D55:$AH55,AQ$8)*INDEX(T_LEAVETYPE[DAY VALUE],8))</f>
        <v>0</v>
      </c>
      <c r="AR55" s="89">
        <f t="shared" si="5"/>
        <v>0</v>
      </c>
    </row>
    <row r="56" spans="1:44" x14ac:dyDescent="0.25">
      <c r="A56" s="90">
        <f t="shared" si="4"/>
        <v>48</v>
      </c>
      <c r="B56" s="74" t="str">
        <f>IFERROR(INDEX(T_EMP[NAME],ROW(B56)-ROW($B$8)),"")</f>
        <v>REOTIREZ, REYMONG</v>
      </c>
      <c r="C56" s="91" t="str">
        <f>IFERROR(INDEX(T_EMP[DEPARTMENT],ROW(B56)-ROW($C$8)),"")</f>
        <v>OB SALES</v>
      </c>
      <c r="D56" s="75" t="str">
        <f>IFERROR(IF(D$8="","NA",IF(D$8&lt;INDEX(T_EMP[START DATE],ROW($B56)-ROW($B$8)),"NE",IF(AND(INDEX(T_EMP[TERMINATION DATE],ROW($B56)-ROW($B$8))&gt;0,D$8&gt;INDEX(T_EMP[TERMINATION DATE],ROW($B56)-ROW($B$8))),"NE",IF(NOT(ISERROR(MATCH(D$8,L_HOLS,0))),"H",IF(INDEX(L_WKNDVAL,WEEKDAY(D$8,1))=1,"WKND",INDEX(T_LEAVE[LEAVE CODE],SUMPRODUCT(--(T_LEAVE[NAME]=$B56),--(T_LEAVE[DATE]&lt;=D$8),--(T_LEAVE[DATE]&gt;=D$8),ROW(T_LEAVE[LEAVE CODE]))-ROW(T_LEAVE[#Headers]))))))),"")</f>
        <v>H</v>
      </c>
      <c r="E56" s="75" t="str">
        <f>IFERROR(IF(E$8="","NA",IF(E$8&lt;INDEX(T_EMP[START DATE],ROW($B56)-ROW($B$8)),"NE",IF(AND(INDEX(T_EMP[TERMINATION DATE],ROW($B56)-ROW($B$8))&gt;0,E$8&gt;INDEX(T_EMP[TERMINATION DATE],ROW($B56)-ROW($B$8))),"NE",IF(NOT(ISERROR(MATCH(E$8,L_HOLS,0))),"H",IF(INDEX(L_WKNDVAL,WEEKDAY(E$8,1))=1,"WKND",INDEX(T_LEAVE[LEAVE CODE],SUMPRODUCT(--(T_LEAVE[NAME]=$B56),--(T_LEAVE[DATE]&lt;=E$8),--(T_LEAVE[DATE]&gt;=E$8),ROW(T_LEAVE[LEAVE CODE]))-ROW(T_LEAVE[#Headers]))))))),"")</f>
        <v/>
      </c>
      <c r="F56" s="75" t="str">
        <f>IFERROR(IF(F$8="","NA",IF(F$8&lt;INDEX(T_EMP[START DATE],ROW($B56)-ROW($B$8)),"NE",IF(AND(INDEX(T_EMP[TERMINATION DATE],ROW($B56)-ROW($B$8))&gt;0,F$8&gt;INDEX(T_EMP[TERMINATION DATE],ROW($B56)-ROW($B$8))),"NE",IF(NOT(ISERROR(MATCH(F$8,L_HOLS,0))),"H",IF(INDEX(L_WKNDVAL,WEEKDAY(F$8,1))=1,"WKND",INDEX(T_LEAVE[LEAVE CODE],SUMPRODUCT(--(T_LEAVE[NAME]=$B56),--(T_LEAVE[DATE]&lt;=F$8),--(T_LEAVE[DATE]&gt;=F$8),ROW(T_LEAVE[LEAVE CODE]))-ROW(T_LEAVE[#Headers]))))))),"")</f>
        <v/>
      </c>
      <c r="G56" s="75" t="str">
        <f>IFERROR(IF(G$8="","NA",IF(G$8&lt;INDEX(T_EMP[START DATE],ROW($B56)-ROW($B$8)),"NE",IF(AND(INDEX(T_EMP[TERMINATION DATE],ROW($B56)-ROW($B$8))&gt;0,G$8&gt;INDEX(T_EMP[TERMINATION DATE],ROW($B56)-ROW($B$8))),"NE",IF(NOT(ISERROR(MATCH(G$8,L_HOLS,0))),"H",IF(INDEX(L_WKNDVAL,WEEKDAY(G$8,1))=1,"WKND",INDEX(T_LEAVE[LEAVE CODE],SUMPRODUCT(--(T_LEAVE[NAME]=$B56),--(T_LEAVE[DATE]&lt;=G$8),--(T_LEAVE[DATE]&gt;=G$8),ROW(T_LEAVE[LEAVE CODE]))-ROW(T_LEAVE[#Headers]))))))),"")</f>
        <v/>
      </c>
      <c r="H56" s="75" t="str">
        <f>IFERROR(IF(H$8="","NA",IF(H$8&lt;INDEX(T_EMP[START DATE],ROW($B56)-ROW($B$8)),"NE",IF(AND(INDEX(T_EMP[TERMINATION DATE],ROW($B56)-ROW($B$8))&gt;0,H$8&gt;INDEX(T_EMP[TERMINATION DATE],ROW($B56)-ROW($B$8))),"NE",IF(NOT(ISERROR(MATCH(H$8,L_HOLS,0))),"H",IF(INDEX(L_WKNDVAL,WEEKDAY(H$8,1))=1,"WKND",INDEX(T_LEAVE[LEAVE CODE],SUMPRODUCT(--(T_LEAVE[NAME]=$B56),--(T_LEAVE[DATE]&lt;=H$8),--(T_LEAVE[DATE]&gt;=H$8),ROW(T_LEAVE[LEAVE CODE]))-ROW(T_LEAVE[#Headers]))))))),"")</f>
        <v/>
      </c>
      <c r="I56" s="75" t="str">
        <f>IFERROR(IF(I$8="","NA",IF(I$8&lt;INDEX(T_EMP[START DATE],ROW($B56)-ROW($B$8)),"NE",IF(AND(INDEX(T_EMP[TERMINATION DATE],ROW($B56)-ROW($B$8))&gt;0,I$8&gt;INDEX(T_EMP[TERMINATION DATE],ROW($B56)-ROW($B$8))),"NE",IF(NOT(ISERROR(MATCH(I$8,L_HOLS,0))),"H",IF(INDEX(L_WKNDVAL,WEEKDAY(I$8,1))=1,"WKND",INDEX(T_LEAVE[LEAVE CODE],SUMPRODUCT(--(T_LEAVE[NAME]=$B56),--(T_LEAVE[DATE]&lt;=I$8),--(T_LEAVE[DATE]&gt;=I$8),ROW(T_LEAVE[LEAVE CODE]))-ROW(T_LEAVE[#Headers]))))))),"")</f>
        <v/>
      </c>
      <c r="J56" s="75" t="str">
        <f>IFERROR(IF(J$8="","NA",IF(J$8&lt;INDEX(T_EMP[START DATE],ROW($B56)-ROW($B$8)),"NE",IF(AND(INDEX(T_EMP[TERMINATION DATE],ROW($B56)-ROW($B$8))&gt;0,J$8&gt;INDEX(T_EMP[TERMINATION DATE],ROW($B56)-ROW($B$8))),"NE",IF(NOT(ISERROR(MATCH(J$8,L_HOLS,0))),"H",IF(INDEX(L_WKNDVAL,WEEKDAY(J$8,1))=1,"WKND",INDEX(T_LEAVE[LEAVE CODE],SUMPRODUCT(--(T_LEAVE[NAME]=$B56),--(T_LEAVE[DATE]&lt;=J$8),--(T_LEAVE[DATE]&gt;=J$8),ROW(T_LEAVE[LEAVE CODE]))-ROW(T_LEAVE[#Headers]))))))),"")</f>
        <v/>
      </c>
      <c r="K56" s="75" t="str">
        <f>IFERROR(IF(K$8="","NA",IF(K$8&lt;INDEX(T_EMP[START DATE],ROW($B56)-ROW($B$8)),"NE",IF(AND(INDEX(T_EMP[TERMINATION DATE],ROW($B56)-ROW($B$8))&gt;0,K$8&gt;INDEX(T_EMP[TERMINATION DATE],ROW($B56)-ROW($B$8))),"NE",IF(NOT(ISERROR(MATCH(K$8,L_HOLS,0))),"H",IF(INDEX(L_WKNDVAL,WEEKDAY(K$8,1))=1,"WKND",INDEX(T_LEAVE[LEAVE CODE],SUMPRODUCT(--(T_LEAVE[NAME]=$B56),--(T_LEAVE[DATE]&lt;=K$8),--(T_LEAVE[DATE]&gt;=K$8),ROW(T_LEAVE[LEAVE CODE]))-ROW(T_LEAVE[#Headers]))))))),"")</f>
        <v/>
      </c>
      <c r="L56" s="75" t="str">
        <f>IFERROR(IF(L$8="","NA",IF(L$8&lt;INDEX(T_EMP[START DATE],ROW($B56)-ROW($B$8)),"NE",IF(AND(INDEX(T_EMP[TERMINATION DATE],ROW($B56)-ROW($B$8))&gt;0,L$8&gt;INDEX(T_EMP[TERMINATION DATE],ROW($B56)-ROW($B$8))),"NE",IF(NOT(ISERROR(MATCH(L$8,L_HOLS,0))),"H",IF(INDEX(L_WKNDVAL,WEEKDAY(L$8,1))=1,"WKND",INDEX(T_LEAVE[LEAVE CODE],SUMPRODUCT(--(T_LEAVE[NAME]=$B56),--(T_LEAVE[DATE]&lt;=L$8),--(T_LEAVE[DATE]&gt;=L$8),ROW(T_LEAVE[LEAVE CODE]))-ROW(T_LEAVE[#Headers]))))))),"")</f>
        <v/>
      </c>
      <c r="M56" s="75" t="str">
        <f>IFERROR(IF(M$8="","NA",IF(M$8&lt;INDEX(T_EMP[START DATE],ROW($B56)-ROW($B$8)),"NE",IF(AND(INDEX(T_EMP[TERMINATION DATE],ROW($B56)-ROW($B$8))&gt;0,M$8&gt;INDEX(T_EMP[TERMINATION DATE],ROW($B56)-ROW($B$8))),"NE",IF(NOT(ISERROR(MATCH(M$8,L_HOLS,0))),"H",IF(INDEX(L_WKNDVAL,WEEKDAY(M$8,1))=1,"WKND",INDEX(T_LEAVE[LEAVE CODE],SUMPRODUCT(--(T_LEAVE[NAME]=$B56),--(T_LEAVE[DATE]&lt;=M$8),--(T_LEAVE[DATE]&gt;=M$8),ROW(T_LEAVE[LEAVE CODE]))-ROW(T_LEAVE[#Headers]))))))),"")</f>
        <v/>
      </c>
      <c r="N56" s="75" t="str">
        <f>IFERROR(IF(N$8="","NA",IF(N$8&lt;INDEX(T_EMP[START DATE],ROW($B56)-ROW($B$8)),"NE",IF(AND(INDEX(T_EMP[TERMINATION DATE],ROW($B56)-ROW($B$8))&gt;0,N$8&gt;INDEX(T_EMP[TERMINATION DATE],ROW($B56)-ROW($B$8))),"NE",IF(NOT(ISERROR(MATCH(N$8,L_HOLS,0))),"H",IF(INDEX(L_WKNDVAL,WEEKDAY(N$8,1))=1,"WKND",INDEX(T_LEAVE[LEAVE CODE],SUMPRODUCT(--(T_LEAVE[NAME]=$B56),--(T_LEAVE[DATE]&lt;=N$8),--(T_LEAVE[DATE]&gt;=N$8),ROW(T_LEAVE[LEAVE CODE]))-ROW(T_LEAVE[#Headers]))))))),"")</f>
        <v/>
      </c>
      <c r="O56" s="75" t="str">
        <f>IFERROR(IF(O$8="","NA",IF(O$8&lt;INDEX(T_EMP[START DATE],ROW($B56)-ROW($B$8)),"NE",IF(AND(INDEX(T_EMP[TERMINATION DATE],ROW($B56)-ROW($B$8))&gt;0,O$8&gt;INDEX(T_EMP[TERMINATION DATE],ROW($B56)-ROW($B$8))),"NE",IF(NOT(ISERROR(MATCH(O$8,L_HOLS,0))),"H",IF(INDEX(L_WKNDVAL,WEEKDAY(O$8,1))=1,"WKND",INDEX(T_LEAVE[LEAVE CODE],SUMPRODUCT(--(T_LEAVE[NAME]=$B56),--(T_LEAVE[DATE]&lt;=O$8),--(T_LEAVE[DATE]&gt;=O$8),ROW(T_LEAVE[LEAVE CODE]))-ROW(T_LEAVE[#Headers]))))))),"")</f>
        <v/>
      </c>
      <c r="P56" s="75" t="str">
        <f>IFERROR(IF(P$8="","NA",IF(P$8&lt;INDEX(T_EMP[START DATE],ROW($B56)-ROW($B$8)),"NE",IF(AND(INDEX(T_EMP[TERMINATION DATE],ROW($B56)-ROW($B$8))&gt;0,P$8&gt;INDEX(T_EMP[TERMINATION DATE],ROW($B56)-ROW($B$8))),"NE",IF(NOT(ISERROR(MATCH(P$8,L_HOLS,0))),"H",IF(INDEX(L_WKNDVAL,WEEKDAY(P$8,1))=1,"WKND",INDEX(T_LEAVE[LEAVE CODE],SUMPRODUCT(--(T_LEAVE[NAME]=$B56),--(T_LEAVE[DATE]&lt;=P$8),--(T_LEAVE[DATE]&gt;=P$8),ROW(T_LEAVE[LEAVE CODE]))-ROW(T_LEAVE[#Headers]))))))),"")</f>
        <v>H</v>
      </c>
      <c r="Q56" s="75" t="str">
        <f>IFERROR(IF(Q$8="","NA",IF(Q$8&lt;INDEX(T_EMP[START DATE],ROW($B56)-ROW($B$8)),"NE",IF(AND(INDEX(T_EMP[TERMINATION DATE],ROW($B56)-ROW($B$8))&gt;0,Q$8&gt;INDEX(T_EMP[TERMINATION DATE],ROW($B56)-ROW($B$8))),"NE",IF(NOT(ISERROR(MATCH(Q$8,L_HOLS,0))),"H",IF(INDEX(L_WKNDVAL,WEEKDAY(Q$8,1))=1,"WKND",INDEX(T_LEAVE[LEAVE CODE],SUMPRODUCT(--(T_LEAVE[NAME]=$B56),--(T_LEAVE[DATE]&lt;=Q$8),--(T_LEAVE[DATE]&gt;=Q$8),ROW(T_LEAVE[LEAVE CODE]))-ROW(T_LEAVE[#Headers]))))))),"")</f>
        <v/>
      </c>
      <c r="R56" s="75" t="str">
        <f>IFERROR(IF(R$8="","NA",IF(R$8&lt;INDEX(T_EMP[START DATE],ROW($B56)-ROW($B$8)),"NE",IF(AND(INDEX(T_EMP[TERMINATION DATE],ROW($B56)-ROW($B$8))&gt;0,R$8&gt;INDEX(T_EMP[TERMINATION DATE],ROW($B56)-ROW($B$8))),"NE",IF(NOT(ISERROR(MATCH(R$8,L_HOLS,0))),"H",IF(INDEX(L_WKNDVAL,WEEKDAY(R$8,1))=1,"WKND",INDEX(T_LEAVE[LEAVE CODE],SUMPRODUCT(--(T_LEAVE[NAME]=$B56),--(T_LEAVE[DATE]&lt;=R$8),--(T_LEAVE[DATE]&gt;=R$8),ROW(T_LEAVE[LEAVE CODE]))-ROW(T_LEAVE[#Headers]))))))),"")</f>
        <v/>
      </c>
      <c r="S56" s="75" t="str">
        <f>IFERROR(IF(S$8="","NA",IF(S$8&lt;INDEX(T_EMP[START DATE],ROW($B56)-ROW($B$8)),"NE",IF(AND(INDEX(T_EMP[TERMINATION DATE],ROW($B56)-ROW($B$8))&gt;0,S$8&gt;INDEX(T_EMP[TERMINATION DATE],ROW($B56)-ROW($B$8))),"NE",IF(NOT(ISERROR(MATCH(S$8,L_HOLS,0))),"H",IF(INDEX(L_WKNDVAL,WEEKDAY(S$8,1))=1,"WKND",INDEX(T_LEAVE[LEAVE CODE],SUMPRODUCT(--(T_LEAVE[NAME]=$B56),--(T_LEAVE[DATE]&lt;=S$8),--(T_LEAVE[DATE]&gt;=S$8),ROW(T_LEAVE[LEAVE CODE]))-ROW(T_LEAVE[#Headers]))))))),"")</f>
        <v/>
      </c>
      <c r="T56" s="75" t="str">
        <f>IFERROR(IF(T$8="","NA",IF(T$8&lt;INDEX(T_EMP[START DATE],ROW($B56)-ROW($B$8)),"NE",IF(AND(INDEX(T_EMP[TERMINATION DATE],ROW($B56)-ROW($B$8))&gt;0,T$8&gt;INDEX(T_EMP[TERMINATION DATE],ROW($B56)-ROW($B$8))),"NE",IF(NOT(ISERROR(MATCH(T$8,L_HOLS,0))),"H",IF(INDEX(L_WKNDVAL,WEEKDAY(T$8,1))=1,"WKND",INDEX(T_LEAVE[LEAVE CODE],SUMPRODUCT(--(T_LEAVE[NAME]=$B56),--(T_LEAVE[DATE]&lt;=T$8),--(T_LEAVE[DATE]&gt;=T$8),ROW(T_LEAVE[LEAVE CODE]))-ROW(T_LEAVE[#Headers]))))))),"")</f>
        <v/>
      </c>
      <c r="U56" s="75" t="str">
        <f>IFERROR(IF(U$8="","NA",IF(U$8&lt;INDEX(T_EMP[START DATE],ROW($B56)-ROW($B$8)),"NE",IF(AND(INDEX(T_EMP[TERMINATION DATE],ROW($B56)-ROW($B$8))&gt;0,U$8&gt;INDEX(T_EMP[TERMINATION DATE],ROW($B56)-ROW($B$8))),"NE",IF(NOT(ISERROR(MATCH(U$8,L_HOLS,0))),"H",IF(INDEX(L_WKNDVAL,WEEKDAY(U$8,1))=1,"WKND",INDEX(T_LEAVE[LEAVE CODE],SUMPRODUCT(--(T_LEAVE[NAME]=$B56),--(T_LEAVE[DATE]&lt;=U$8),--(T_LEAVE[DATE]&gt;=U$8),ROW(T_LEAVE[LEAVE CODE]))-ROW(T_LEAVE[#Headers]))))))),"")</f>
        <v/>
      </c>
      <c r="V56" s="75" t="str">
        <f>IFERROR(IF(V$8="","NA",IF(V$8&lt;INDEX(T_EMP[START DATE],ROW($B56)-ROW($B$8)),"NE",IF(AND(INDEX(T_EMP[TERMINATION DATE],ROW($B56)-ROW($B$8))&gt;0,V$8&gt;INDEX(T_EMP[TERMINATION DATE],ROW($B56)-ROW($B$8))),"NE",IF(NOT(ISERROR(MATCH(V$8,L_HOLS,0))),"H",IF(INDEX(L_WKNDVAL,WEEKDAY(V$8,1))=1,"WKND",INDEX(T_LEAVE[LEAVE CODE],SUMPRODUCT(--(T_LEAVE[NAME]=$B56),--(T_LEAVE[DATE]&lt;=V$8),--(T_LEAVE[DATE]&gt;=V$8),ROW(T_LEAVE[LEAVE CODE]))-ROW(T_LEAVE[#Headers]))))))),"")</f>
        <v/>
      </c>
      <c r="W56" s="75" t="str">
        <f>IFERROR(IF(W$8="","NA",IF(W$8&lt;INDEX(T_EMP[START DATE],ROW($B56)-ROW($B$8)),"NE",IF(AND(INDEX(T_EMP[TERMINATION DATE],ROW($B56)-ROW($B$8))&gt;0,W$8&gt;INDEX(T_EMP[TERMINATION DATE],ROW($B56)-ROW($B$8))),"NE",IF(NOT(ISERROR(MATCH(W$8,L_HOLS,0))),"H",IF(INDEX(L_WKNDVAL,WEEKDAY(W$8,1))=1,"WKND",INDEX(T_LEAVE[LEAVE CODE],SUMPRODUCT(--(T_LEAVE[NAME]=$B56),--(T_LEAVE[DATE]&lt;=W$8),--(T_LEAVE[DATE]&gt;=W$8),ROW(T_LEAVE[LEAVE CODE]))-ROW(T_LEAVE[#Headers]))))))),"")</f>
        <v/>
      </c>
      <c r="X56" s="75" t="str">
        <f>IFERROR(IF(X$8="","NA",IF(X$8&lt;INDEX(T_EMP[START DATE],ROW($B56)-ROW($B$8)),"NE",IF(AND(INDEX(T_EMP[TERMINATION DATE],ROW($B56)-ROW($B$8))&gt;0,X$8&gt;INDEX(T_EMP[TERMINATION DATE],ROW($B56)-ROW($B$8))),"NE",IF(NOT(ISERROR(MATCH(X$8,L_HOLS,0))),"H",IF(INDEX(L_WKNDVAL,WEEKDAY(X$8,1))=1,"WKND",INDEX(T_LEAVE[LEAVE CODE],SUMPRODUCT(--(T_LEAVE[NAME]=$B56),--(T_LEAVE[DATE]&lt;=X$8),--(T_LEAVE[DATE]&gt;=X$8),ROW(T_LEAVE[LEAVE CODE]))-ROW(T_LEAVE[#Headers]))))))),"")</f>
        <v/>
      </c>
      <c r="Y56" s="75" t="str">
        <f>IFERROR(IF(Y$8="","NA",IF(Y$8&lt;INDEX(T_EMP[START DATE],ROW($B56)-ROW($B$8)),"NE",IF(AND(INDEX(T_EMP[TERMINATION DATE],ROW($B56)-ROW($B$8))&gt;0,Y$8&gt;INDEX(T_EMP[TERMINATION DATE],ROW($B56)-ROW($B$8))),"NE",IF(NOT(ISERROR(MATCH(Y$8,L_HOLS,0))),"H",IF(INDEX(L_WKNDVAL,WEEKDAY(Y$8,1))=1,"WKND",INDEX(T_LEAVE[LEAVE CODE],SUMPRODUCT(--(T_LEAVE[NAME]=$B56),--(T_LEAVE[DATE]&lt;=Y$8),--(T_LEAVE[DATE]&gt;=Y$8),ROW(T_LEAVE[LEAVE CODE]))-ROW(T_LEAVE[#Headers]))))))),"")</f>
        <v/>
      </c>
      <c r="Z56" s="75" t="str">
        <f>IFERROR(IF(Z$8="","NA",IF(Z$8&lt;INDEX(T_EMP[START DATE],ROW($B56)-ROW($B$8)),"NE",IF(AND(INDEX(T_EMP[TERMINATION DATE],ROW($B56)-ROW($B$8))&gt;0,Z$8&gt;INDEX(T_EMP[TERMINATION DATE],ROW($B56)-ROW($B$8))),"NE",IF(NOT(ISERROR(MATCH(Z$8,L_HOLS,0))),"H",IF(INDEX(L_WKNDVAL,WEEKDAY(Z$8,1))=1,"WKND",INDEX(T_LEAVE[LEAVE CODE],SUMPRODUCT(--(T_LEAVE[NAME]=$B56),--(T_LEAVE[DATE]&lt;=Z$8),--(T_LEAVE[DATE]&gt;=Z$8),ROW(T_LEAVE[LEAVE CODE]))-ROW(T_LEAVE[#Headers]))))))),"")</f>
        <v/>
      </c>
      <c r="AA56" s="75" t="str">
        <f>IFERROR(IF(AA$8="","NA",IF(AA$8&lt;INDEX(T_EMP[START DATE],ROW($B56)-ROW($B$8)),"NE",IF(AND(INDEX(T_EMP[TERMINATION DATE],ROW($B56)-ROW($B$8))&gt;0,AA$8&gt;INDEX(T_EMP[TERMINATION DATE],ROW($B56)-ROW($B$8))),"NE",IF(NOT(ISERROR(MATCH(AA$8,L_HOLS,0))),"H",IF(INDEX(L_WKNDVAL,WEEKDAY(AA$8,1))=1,"WKND",INDEX(T_LEAVE[LEAVE CODE],SUMPRODUCT(--(T_LEAVE[NAME]=$B56),--(T_LEAVE[DATE]&lt;=AA$8),--(T_LEAVE[DATE]&gt;=AA$8),ROW(T_LEAVE[LEAVE CODE]))-ROW(T_LEAVE[#Headers]))))))),"")</f>
        <v/>
      </c>
      <c r="AB56" s="75" t="str">
        <f>IFERROR(IF(AB$8="","NA",IF(AB$8&lt;INDEX(T_EMP[START DATE],ROW($B56)-ROW($B$8)),"NE",IF(AND(INDEX(T_EMP[TERMINATION DATE],ROW($B56)-ROW($B$8))&gt;0,AB$8&gt;INDEX(T_EMP[TERMINATION DATE],ROW($B56)-ROW($B$8))),"NE",IF(NOT(ISERROR(MATCH(AB$8,L_HOLS,0))),"H",IF(INDEX(L_WKNDVAL,WEEKDAY(AB$8,1))=1,"WKND",INDEX(T_LEAVE[LEAVE CODE],SUMPRODUCT(--(T_LEAVE[NAME]=$B56),--(T_LEAVE[DATE]&lt;=AB$8),--(T_LEAVE[DATE]&gt;=AB$8),ROW(T_LEAVE[LEAVE CODE]))-ROW(T_LEAVE[#Headers]))))))),"")</f>
        <v/>
      </c>
      <c r="AC56" s="75" t="str">
        <f>IFERROR(IF(AC$8="","NA",IF(AC$8&lt;INDEX(T_EMP[START DATE],ROW($B56)-ROW($B$8)),"NE",IF(AND(INDEX(T_EMP[TERMINATION DATE],ROW($B56)-ROW($B$8))&gt;0,AC$8&gt;INDEX(T_EMP[TERMINATION DATE],ROW($B56)-ROW($B$8))),"NE",IF(NOT(ISERROR(MATCH(AC$8,L_HOLS,0))),"H",IF(INDEX(L_WKNDVAL,WEEKDAY(AC$8,1))=1,"WKND",INDEX(T_LEAVE[LEAVE CODE],SUMPRODUCT(--(T_LEAVE[NAME]=$B56),--(T_LEAVE[DATE]&lt;=AC$8),--(T_LEAVE[DATE]&gt;=AC$8),ROW(T_LEAVE[LEAVE CODE]))-ROW(T_LEAVE[#Headers]))))))),"")</f>
        <v/>
      </c>
      <c r="AD56" s="75" t="str">
        <f>IFERROR(IF(AD$8="","NA",IF(AD$8&lt;INDEX(T_EMP[START DATE],ROW($B56)-ROW($B$8)),"NE",IF(AND(INDEX(T_EMP[TERMINATION DATE],ROW($B56)-ROW($B$8))&gt;0,AD$8&gt;INDEX(T_EMP[TERMINATION DATE],ROW($B56)-ROW($B$8))),"NE",IF(NOT(ISERROR(MATCH(AD$8,L_HOLS,0))),"H",IF(INDEX(L_WKNDVAL,WEEKDAY(AD$8,1))=1,"WKND",INDEX(T_LEAVE[LEAVE CODE],SUMPRODUCT(--(T_LEAVE[NAME]=$B56),--(T_LEAVE[DATE]&lt;=AD$8),--(T_LEAVE[DATE]&gt;=AD$8),ROW(T_LEAVE[LEAVE CODE]))-ROW(T_LEAVE[#Headers]))))))),"")</f>
        <v/>
      </c>
      <c r="AE56" s="75" t="str">
        <f>IFERROR(IF(AE$8="","NA",IF(AE$8&lt;INDEX(T_EMP[START DATE],ROW($B56)-ROW($B$8)),"NE",IF(AND(INDEX(T_EMP[TERMINATION DATE],ROW($B56)-ROW($B$8))&gt;0,AE$8&gt;INDEX(T_EMP[TERMINATION DATE],ROW($B56)-ROW($B$8))),"NE",IF(NOT(ISERROR(MATCH(AE$8,L_HOLS,0))),"H",IF(INDEX(L_WKNDVAL,WEEKDAY(AE$8,1))=1,"WKND",INDEX(T_LEAVE[LEAVE CODE],SUMPRODUCT(--(T_LEAVE[NAME]=$B56),--(T_LEAVE[DATE]&lt;=AE$8),--(T_LEAVE[DATE]&gt;=AE$8),ROW(T_LEAVE[LEAVE CODE]))-ROW(T_LEAVE[#Headers]))))))),"")</f>
        <v/>
      </c>
      <c r="AF56" s="75" t="str">
        <f>IFERROR(IF(AF$8="","NA",IF(AF$8&lt;INDEX(T_EMP[START DATE],ROW($B56)-ROW($B$8)),"NE",IF(AND(INDEX(T_EMP[TERMINATION DATE],ROW($B56)-ROW($B$8))&gt;0,AF$8&gt;INDEX(T_EMP[TERMINATION DATE],ROW($B56)-ROW($B$8))),"NE",IF(NOT(ISERROR(MATCH(AF$8,L_HOLS,0))),"H",IF(INDEX(L_WKNDVAL,WEEKDAY(AF$8,1))=1,"WKND",INDEX(T_LEAVE[LEAVE CODE],SUMPRODUCT(--(T_LEAVE[NAME]=$B56),--(T_LEAVE[DATE]&lt;=AF$8),--(T_LEAVE[DATE]&gt;=AF$8),ROW(T_LEAVE[LEAVE CODE]))-ROW(T_LEAVE[#Headers]))))))),"")</f>
        <v/>
      </c>
      <c r="AG56" s="75" t="str">
        <f>IFERROR(IF(AG$8="","NA",IF(AG$8&lt;INDEX(T_EMP[START DATE],ROW($B56)-ROW($B$8)),"NE",IF(AND(INDEX(T_EMP[TERMINATION DATE],ROW($B56)-ROW($B$8))&gt;0,AG$8&gt;INDEX(T_EMP[TERMINATION DATE],ROW($B56)-ROW($B$8))),"NE",IF(NOT(ISERROR(MATCH(AG$8,L_HOLS,0))),"H",IF(INDEX(L_WKNDVAL,WEEKDAY(AG$8,1))=1,"WKND",INDEX(T_LEAVE[LEAVE CODE],SUMPRODUCT(--(T_LEAVE[NAME]=$B56),--(T_LEAVE[DATE]&lt;=AG$8),--(T_LEAVE[DATE]&gt;=AG$8),ROW(T_LEAVE[LEAVE CODE]))-ROW(T_LEAVE[#Headers]))))))),"")</f>
        <v/>
      </c>
      <c r="AH56" s="75" t="str">
        <f>IFERROR(IF(AH$8="","NA",IF(AH$8&lt;INDEX(T_EMP[START DATE],ROW($B56)-ROW($B$8)),"NE",IF(AND(INDEX(T_EMP[TERMINATION DATE],ROW($B56)-ROW($B$8))&gt;0,AH$8&gt;INDEX(T_EMP[TERMINATION DATE],ROW($B56)-ROW($B$8))),"NE",IF(NOT(ISERROR(MATCH(AH$8,L_HOLS,0))),"H",IF(INDEX(L_WKNDVAL,WEEKDAY(AH$8,1))=1,"WKND",INDEX(T_LEAVE[LEAVE CODE],SUMPRODUCT(--(T_LEAVE[NAME]=$B56),--(T_LEAVE[DATE]&lt;=AH$8),--(T_LEAVE[DATE]&gt;=AH$8),ROW(T_LEAVE[LEAVE CODE]))-ROW(T_LEAVE[#Headers]))))))),"")</f>
        <v/>
      </c>
      <c r="AJ56" s="88">
        <f>IF(OR($B56="",AJ$8=""),"",COUNTIFS($D56:$AH56,AJ$8)*INDEX(T_LEAVETYPE[DAY VALUE],1))</f>
        <v>0</v>
      </c>
      <c r="AK56" s="88">
        <f>IF(OR($B56="",AK$8=""),"",COUNTIFS($D56:$AH56,AK$8)*INDEX(T_LEAVETYPE[DAY VALUE],1))</f>
        <v>0</v>
      </c>
      <c r="AL56" s="88">
        <f>IF(OR($B56="",AL$8=""),"",COUNTIFS($D56:$AH56,AL$8)*INDEX(T_LEAVETYPE[DAY VALUE],1))</f>
        <v>0</v>
      </c>
      <c r="AM56" s="88">
        <f>IF(OR($B56="",AM$8=""),"",COUNTIFS($D56:$AH56,AM$8)*INDEX(T_LEAVETYPE[DAY VALUE],1))</f>
        <v>0</v>
      </c>
      <c r="AN56" s="88">
        <f>IF(OR($B56="",AN$8=""),"",COUNTIFS($D56:$AH56,AN$8)*INDEX(T_LEAVETYPE[DAY VALUE],1))</f>
        <v>0</v>
      </c>
      <c r="AO56" s="88">
        <f>IF(OR($B56="",AO$8=""),"",COUNTIFS($D56:$AH56,AO$8)*INDEX(T_LEAVETYPE[DAY VALUE],6))</f>
        <v>0</v>
      </c>
      <c r="AP56" s="88">
        <f>IF(OR($B56="",AP$8=""),"",COUNTIFS($D56:$AH56,AP$8)*INDEX(T_LEAVETYPE[DAY VALUE],7))</f>
        <v>0</v>
      </c>
      <c r="AQ56" s="88">
        <f>IF(OR($B56="",AQ$8=""),"",COUNTIFS($D56:$AH56,AQ$8)*INDEX(T_LEAVETYPE[DAY VALUE],8))</f>
        <v>0</v>
      </c>
      <c r="AR56" s="89">
        <f t="shared" si="5"/>
        <v>0</v>
      </c>
    </row>
    <row r="57" spans="1:44" x14ac:dyDescent="0.25">
      <c r="A57" s="90">
        <f t="shared" si="4"/>
        <v>49</v>
      </c>
      <c r="B57" s="74" t="str">
        <f>IFERROR(INDEX(T_EMP[NAME],ROW(B57)-ROW($B$8)),"")</f>
        <v>ROCA, SHARON</v>
      </c>
      <c r="C57" s="91" t="str">
        <f>IFERROR(INDEX(T_EMP[DEPARTMENT],ROW(B57)-ROW($C$8)),"")</f>
        <v>OB SALES</v>
      </c>
      <c r="D57" s="75" t="str">
        <f>IFERROR(IF(D$8="","NA",IF(D$8&lt;INDEX(T_EMP[START DATE],ROW($B57)-ROW($B$8)),"NE",IF(AND(INDEX(T_EMP[TERMINATION DATE],ROW($B57)-ROW($B$8))&gt;0,D$8&gt;INDEX(T_EMP[TERMINATION DATE],ROW($B57)-ROW($B$8))),"NE",IF(NOT(ISERROR(MATCH(D$8,L_HOLS,0))),"H",IF(INDEX(L_WKNDVAL,WEEKDAY(D$8,1))=1,"WKND",INDEX(T_LEAVE[LEAVE CODE],SUMPRODUCT(--(T_LEAVE[NAME]=$B57),--(T_LEAVE[DATE]&lt;=D$8),--(T_LEAVE[DATE]&gt;=D$8),ROW(T_LEAVE[LEAVE CODE]))-ROW(T_LEAVE[#Headers]))))))),"")</f>
        <v>H</v>
      </c>
      <c r="E57" s="75" t="str">
        <f>IFERROR(IF(E$8="","NA",IF(E$8&lt;INDEX(T_EMP[START DATE],ROW($B57)-ROW($B$8)),"NE",IF(AND(INDEX(T_EMP[TERMINATION DATE],ROW($B57)-ROW($B$8))&gt;0,E$8&gt;INDEX(T_EMP[TERMINATION DATE],ROW($B57)-ROW($B$8))),"NE",IF(NOT(ISERROR(MATCH(E$8,L_HOLS,0))),"H",IF(INDEX(L_WKNDVAL,WEEKDAY(E$8,1))=1,"WKND",INDEX(T_LEAVE[LEAVE CODE],SUMPRODUCT(--(T_LEAVE[NAME]=$B57),--(T_LEAVE[DATE]&lt;=E$8),--(T_LEAVE[DATE]&gt;=E$8),ROW(T_LEAVE[LEAVE CODE]))-ROW(T_LEAVE[#Headers]))))))),"")</f>
        <v/>
      </c>
      <c r="F57" s="75" t="str">
        <f>IFERROR(IF(F$8="","NA",IF(F$8&lt;INDEX(T_EMP[START DATE],ROW($B57)-ROW($B$8)),"NE",IF(AND(INDEX(T_EMP[TERMINATION DATE],ROW($B57)-ROW($B$8))&gt;0,F$8&gt;INDEX(T_EMP[TERMINATION DATE],ROW($B57)-ROW($B$8))),"NE",IF(NOT(ISERROR(MATCH(F$8,L_HOLS,0))),"H",IF(INDEX(L_WKNDVAL,WEEKDAY(F$8,1))=1,"WKND",INDEX(T_LEAVE[LEAVE CODE],SUMPRODUCT(--(T_LEAVE[NAME]=$B57),--(T_LEAVE[DATE]&lt;=F$8),--(T_LEAVE[DATE]&gt;=F$8),ROW(T_LEAVE[LEAVE CODE]))-ROW(T_LEAVE[#Headers]))))))),"")</f>
        <v/>
      </c>
      <c r="G57" s="75" t="str">
        <f>IFERROR(IF(G$8="","NA",IF(G$8&lt;INDEX(T_EMP[START DATE],ROW($B57)-ROW($B$8)),"NE",IF(AND(INDEX(T_EMP[TERMINATION DATE],ROW($B57)-ROW($B$8))&gt;0,G$8&gt;INDEX(T_EMP[TERMINATION DATE],ROW($B57)-ROW($B$8))),"NE",IF(NOT(ISERROR(MATCH(G$8,L_HOLS,0))),"H",IF(INDEX(L_WKNDVAL,WEEKDAY(G$8,1))=1,"WKND",INDEX(T_LEAVE[LEAVE CODE],SUMPRODUCT(--(T_LEAVE[NAME]=$B57),--(T_LEAVE[DATE]&lt;=G$8),--(T_LEAVE[DATE]&gt;=G$8),ROW(T_LEAVE[LEAVE CODE]))-ROW(T_LEAVE[#Headers]))))))),"")</f>
        <v/>
      </c>
      <c r="H57" s="75" t="str">
        <f>IFERROR(IF(H$8="","NA",IF(H$8&lt;INDEX(T_EMP[START DATE],ROW($B57)-ROW($B$8)),"NE",IF(AND(INDEX(T_EMP[TERMINATION DATE],ROW($B57)-ROW($B$8))&gt;0,H$8&gt;INDEX(T_EMP[TERMINATION DATE],ROW($B57)-ROW($B$8))),"NE",IF(NOT(ISERROR(MATCH(H$8,L_HOLS,0))),"H",IF(INDEX(L_WKNDVAL,WEEKDAY(H$8,1))=1,"WKND",INDEX(T_LEAVE[LEAVE CODE],SUMPRODUCT(--(T_LEAVE[NAME]=$B57),--(T_LEAVE[DATE]&lt;=H$8),--(T_LEAVE[DATE]&gt;=H$8),ROW(T_LEAVE[LEAVE CODE]))-ROW(T_LEAVE[#Headers]))))))),"")</f>
        <v/>
      </c>
      <c r="I57" s="75" t="str">
        <f>IFERROR(IF(I$8="","NA",IF(I$8&lt;INDEX(T_EMP[START DATE],ROW($B57)-ROW($B$8)),"NE",IF(AND(INDEX(T_EMP[TERMINATION DATE],ROW($B57)-ROW($B$8))&gt;0,I$8&gt;INDEX(T_EMP[TERMINATION DATE],ROW($B57)-ROW($B$8))),"NE",IF(NOT(ISERROR(MATCH(I$8,L_HOLS,0))),"H",IF(INDEX(L_WKNDVAL,WEEKDAY(I$8,1))=1,"WKND",INDEX(T_LEAVE[LEAVE CODE],SUMPRODUCT(--(T_LEAVE[NAME]=$B57),--(T_LEAVE[DATE]&lt;=I$8),--(T_LEAVE[DATE]&gt;=I$8),ROW(T_LEAVE[LEAVE CODE]))-ROW(T_LEAVE[#Headers]))))))),"")</f>
        <v/>
      </c>
      <c r="J57" s="75" t="str">
        <f>IFERROR(IF(J$8="","NA",IF(J$8&lt;INDEX(T_EMP[START DATE],ROW($B57)-ROW($B$8)),"NE",IF(AND(INDEX(T_EMP[TERMINATION DATE],ROW($B57)-ROW($B$8))&gt;0,J$8&gt;INDEX(T_EMP[TERMINATION DATE],ROW($B57)-ROW($B$8))),"NE",IF(NOT(ISERROR(MATCH(J$8,L_HOLS,0))),"H",IF(INDEX(L_WKNDVAL,WEEKDAY(J$8,1))=1,"WKND",INDEX(T_LEAVE[LEAVE CODE],SUMPRODUCT(--(T_LEAVE[NAME]=$B57),--(T_LEAVE[DATE]&lt;=J$8),--(T_LEAVE[DATE]&gt;=J$8),ROW(T_LEAVE[LEAVE CODE]))-ROW(T_LEAVE[#Headers]))))))),"")</f>
        <v/>
      </c>
      <c r="K57" s="75" t="str">
        <f>IFERROR(IF(K$8="","NA",IF(K$8&lt;INDEX(T_EMP[START DATE],ROW($B57)-ROW($B$8)),"NE",IF(AND(INDEX(T_EMP[TERMINATION DATE],ROW($B57)-ROW($B$8))&gt;0,K$8&gt;INDEX(T_EMP[TERMINATION DATE],ROW($B57)-ROW($B$8))),"NE",IF(NOT(ISERROR(MATCH(K$8,L_HOLS,0))),"H",IF(INDEX(L_WKNDVAL,WEEKDAY(K$8,1))=1,"WKND",INDEX(T_LEAVE[LEAVE CODE],SUMPRODUCT(--(T_LEAVE[NAME]=$B57),--(T_LEAVE[DATE]&lt;=K$8),--(T_LEAVE[DATE]&gt;=K$8),ROW(T_LEAVE[LEAVE CODE]))-ROW(T_LEAVE[#Headers]))))))),"")</f>
        <v/>
      </c>
      <c r="L57" s="75" t="str">
        <f>IFERROR(IF(L$8="","NA",IF(L$8&lt;INDEX(T_EMP[START DATE],ROW($B57)-ROW($B$8)),"NE",IF(AND(INDEX(T_EMP[TERMINATION DATE],ROW($B57)-ROW($B$8))&gt;0,L$8&gt;INDEX(T_EMP[TERMINATION DATE],ROW($B57)-ROW($B$8))),"NE",IF(NOT(ISERROR(MATCH(L$8,L_HOLS,0))),"H",IF(INDEX(L_WKNDVAL,WEEKDAY(L$8,1))=1,"WKND",INDEX(T_LEAVE[LEAVE CODE],SUMPRODUCT(--(T_LEAVE[NAME]=$B57),--(T_LEAVE[DATE]&lt;=L$8),--(T_LEAVE[DATE]&gt;=L$8),ROW(T_LEAVE[LEAVE CODE]))-ROW(T_LEAVE[#Headers]))))))),"")</f>
        <v/>
      </c>
      <c r="M57" s="75" t="str">
        <f>IFERROR(IF(M$8="","NA",IF(M$8&lt;INDEX(T_EMP[START DATE],ROW($B57)-ROW($B$8)),"NE",IF(AND(INDEX(T_EMP[TERMINATION DATE],ROW($B57)-ROW($B$8))&gt;0,M$8&gt;INDEX(T_EMP[TERMINATION DATE],ROW($B57)-ROW($B$8))),"NE",IF(NOT(ISERROR(MATCH(M$8,L_HOLS,0))),"H",IF(INDEX(L_WKNDVAL,WEEKDAY(M$8,1))=1,"WKND",INDEX(T_LEAVE[LEAVE CODE],SUMPRODUCT(--(T_LEAVE[NAME]=$B57),--(T_LEAVE[DATE]&lt;=M$8),--(T_LEAVE[DATE]&gt;=M$8),ROW(T_LEAVE[LEAVE CODE]))-ROW(T_LEAVE[#Headers]))))))),"")</f>
        <v/>
      </c>
      <c r="N57" s="75" t="str">
        <f>IFERROR(IF(N$8="","NA",IF(N$8&lt;INDEX(T_EMP[START DATE],ROW($B57)-ROW($B$8)),"NE",IF(AND(INDEX(T_EMP[TERMINATION DATE],ROW($B57)-ROW($B$8))&gt;0,N$8&gt;INDEX(T_EMP[TERMINATION DATE],ROW($B57)-ROW($B$8))),"NE",IF(NOT(ISERROR(MATCH(N$8,L_HOLS,0))),"H",IF(INDEX(L_WKNDVAL,WEEKDAY(N$8,1))=1,"WKND",INDEX(T_LEAVE[LEAVE CODE],SUMPRODUCT(--(T_LEAVE[NAME]=$B57),--(T_LEAVE[DATE]&lt;=N$8),--(T_LEAVE[DATE]&gt;=N$8),ROW(T_LEAVE[LEAVE CODE]))-ROW(T_LEAVE[#Headers]))))))),"")</f>
        <v/>
      </c>
      <c r="O57" s="75" t="str">
        <f>IFERROR(IF(O$8="","NA",IF(O$8&lt;INDEX(T_EMP[START DATE],ROW($B57)-ROW($B$8)),"NE",IF(AND(INDEX(T_EMP[TERMINATION DATE],ROW($B57)-ROW($B$8))&gt;0,O$8&gt;INDEX(T_EMP[TERMINATION DATE],ROW($B57)-ROW($B$8))),"NE",IF(NOT(ISERROR(MATCH(O$8,L_HOLS,0))),"H",IF(INDEX(L_WKNDVAL,WEEKDAY(O$8,1))=1,"WKND",INDEX(T_LEAVE[LEAVE CODE],SUMPRODUCT(--(T_LEAVE[NAME]=$B57),--(T_LEAVE[DATE]&lt;=O$8),--(T_LEAVE[DATE]&gt;=O$8),ROW(T_LEAVE[LEAVE CODE]))-ROW(T_LEAVE[#Headers]))))))),"")</f>
        <v/>
      </c>
      <c r="P57" s="75" t="str">
        <f>IFERROR(IF(P$8="","NA",IF(P$8&lt;INDEX(T_EMP[START DATE],ROW($B57)-ROW($B$8)),"NE",IF(AND(INDEX(T_EMP[TERMINATION DATE],ROW($B57)-ROW($B$8))&gt;0,P$8&gt;INDEX(T_EMP[TERMINATION DATE],ROW($B57)-ROW($B$8))),"NE",IF(NOT(ISERROR(MATCH(P$8,L_HOLS,0))),"H",IF(INDEX(L_WKNDVAL,WEEKDAY(P$8,1))=1,"WKND",INDEX(T_LEAVE[LEAVE CODE],SUMPRODUCT(--(T_LEAVE[NAME]=$B57),--(T_LEAVE[DATE]&lt;=P$8),--(T_LEAVE[DATE]&gt;=P$8),ROW(T_LEAVE[LEAVE CODE]))-ROW(T_LEAVE[#Headers]))))))),"")</f>
        <v>H</v>
      </c>
      <c r="Q57" s="75" t="str">
        <f>IFERROR(IF(Q$8="","NA",IF(Q$8&lt;INDEX(T_EMP[START DATE],ROW($B57)-ROW($B$8)),"NE",IF(AND(INDEX(T_EMP[TERMINATION DATE],ROW($B57)-ROW($B$8))&gt;0,Q$8&gt;INDEX(T_EMP[TERMINATION DATE],ROW($B57)-ROW($B$8))),"NE",IF(NOT(ISERROR(MATCH(Q$8,L_HOLS,0))),"H",IF(INDEX(L_WKNDVAL,WEEKDAY(Q$8,1))=1,"WKND",INDEX(T_LEAVE[LEAVE CODE],SUMPRODUCT(--(T_LEAVE[NAME]=$B57),--(T_LEAVE[DATE]&lt;=Q$8),--(T_LEAVE[DATE]&gt;=Q$8),ROW(T_LEAVE[LEAVE CODE]))-ROW(T_LEAVE[#Headers]))))))),"")</f>
        <v/>
      </c>
      <c r="R57" s="75" t="str">
        <f>IFERROR(IF(R$8="","NA",IF(R$8&lt;INDEX(T_EMP[START DATE],ROW($B57)-ROW($B$8)),"NE",IF(AND(INDEX(T_EMP[TERMINATION DATE],ROW($B57)-ROW($B$8))&gt;0,R$8&gt;INDEX(T_EMP[TERMINATION DATE],ROW($B57)-ROW($B$8))),"NE",IF(NOT(ISERROR(MATCH(R$8,L_HOLS,0))),"H",IF(INDEX(L_WKNDVAL,WEEKDAY(R$8,1))=1,"WKND",INDEX(T_LEAVE[LEAVE CODE],SUMPRODUCT(--(T_LEAVE[NAME]=$B57),--(T_LEAVE[DATE]&lt;=R$8),--(T_LEAVE[DATE]&gt;=R$8),ROW(T_LEAVE[LEAVE CODE]))-ROW(T_LEAVE[#Headers]))))))),"")</f>
        <v/>
      </c>
      <c r="S57" s="75" t="str">
        <f>IFERROR(IF(S$8="","NA",IF(S$8&lt;INDEX(T_EMP[START DATE],ROW($B57)-ROW($B$8)),"NE",IF(AND(INDEX(T_EMP[TERMINATION DATE],ROW($B57)-ROW($B$8))&gt;0,S$8&gt;INDEX(T_EMP[TERMINATION DATE],ROW($B57)-ROW($B$8))),"NE",IF(NOT(ISERROR(MATCH(S$8,L_HOLS,0))),"H",IF(INDEX(L_WKNDVAL,WEEKDAY(S$8,1))=1,"WKND",INDEX(T_LEAVE[LEAVE CODE],SUMPRODUCT(--(T_LEAVE[NAME]=$B57),--(T_LEAVE[DATE]&lt;=S$8),--(T_LEAVE[DATE]&gt;=S$8),ROW(T_LEAVE[LEAVE CODE]))-ROW(T_LEAVE[#Headers]))))))),"")</f>
        <v/>
      </c>
      <c r="T57" s="75" t="str">
        <f>IFERROR(IF(T$8="","NA",IF(T$8&lt;INDEX(T_EMP[START DATE],ROW($B57)-ROW($B$8)),"NE",IF(AND(INDEX(T_EMP[TERMINATION DATE],ROW($B57)-ROW($B$8))&gt;0,T$8&gt;INDEX(T_EMP[TERMINATION DATE],ROW($B57)-ROW($B$8))),"NE",IF(NOT(ISERROR(MATCH(T$8,L_HOLS,0))),"H",IF(INDEX(L_WKNDVAL,WEEKDAY(T$8,1))=1,"WKND",INDEX(T_LEAVE[LEAVE CODE],SUMPRODUCT(--(T_LEAVE[NAME]=$B57),--(T_LEAVE[DATE]&lt;=T$8),--(T_LEAVE[DATE]&gt;=T$8),ROW(T_LEAVE[LEAVE CODE]))-ROW(T_LEAVE[#Headers]))))))),"")</f>
        <v/>
      </c>
      <c r="U57" s="75" t="str">
        <f>IFERROR(IF(U$8="","NA",IF(U$8&lt;INDEX(T_EMP[START DATE],ROW($B57)-ROW($B$8)),"NE",IF(AND(INDEX(T_EMP[TERMINATION DATE],ROW($B57)-ROW($B$8))&gt;0,U$8&gt;INDEX(T_EMP[TERMINATION DATE],ROW($B57)-ROW($B$8))),"NE",IF(NOT(ISERROR(MATCH(U$8,L_HOLS,0))),"H",IF(INDEX(L_WKNDVAL,WEEKDAY(U$8,1))=1,"WKND",INDEX(T_LEAVE[LEAVE CODE],SUMPRODUCT(--(T_LEAVE[NAME]=$B57),--(T_LEAVE[DATE]&lt;=U$8),--(T_LEAVE[DATE]&gt;=U$8),ROW(T_LEAVE[LEAVE CODE]))-ROW(T_LEAVE[#Headers]))))))),"")</f>
        <v/>
      </c>
      <c r="V57" s="75" t="str">
        <f>IFERROR(IF(V$8="","NA",IF(V$8&lt;INDEX(T_EMP[START DATE],ROW($B57)-ROW($B$8)),"NE",IF(AND(INDEX(T_EMP[TERMINATION DATE],ROW($B57)-ROW($B$8))&gt;0,V$8&gt;INDEX(T_EMP[TERMINATION DATE],ROW($B57)-ROW($B$8))),"NE",IF(NOT(ISERROR(MATCH(V$8,L_HOLS,0))),"H",IF(INDEX(L_WKNDVAL,WEEKDAY(V$8,1))=1,"WKND",INDEX(T_LEAVE[LEAVE CODE],SUMPRODUCT(--(T_LEAVE[NAME]=$B57),--(T_LEAVE[DATE]&lt;=V$8),--(T_LEAVE[DATE]&gt;=V$8),ROW(T_LEAVE[LEAVE CODE]))-ROW(T_LEAVE[#Headers]))))))),"")</f>
        <v/>
      </c>
      <c r="W57" s="75" t="str">
        <f>IFERROR(IF(W$8="","NA",IF(W$8&lt;INDEX(T_EMP[START DATE],ROW($B57)-ROW($B$8)),"NE",IF(AND(INDEX(T_EMP[TERMINATION DATE],ROW($B57)-ROW($B$8))&gt;0,W$8&gt;INDEX(T_EMP[TERMINATION DATE],ROW($B57)-ROW($B$8))),"NE",IF(NOT(ISERROR(MATCH(W$8,L_HOLS,0))),"H",IF(INDEX(L_WKNDVAL,WEEKDAY(W$8,1))=1,"WKND",INDEX(T_LEAVE[LEAVE CODE],SUMPRODUCT(--(T_LEAVE[NAME]=$B57),--(T_LEAVE[DATE]&lt;=W$8),--(T_LEAVE[DATE]&gt;=W$8),ROW(T_LEAVE[LEAVE CODE]))-ROW(T_LEAVE[#Headers]))))))),"")</f>
        <v/>
      </c>
      <c r="X57" s="75" t="str">
        <f>IFERROR(IF(X$8="","NA",IF(X$8&lt;INDEX(T_EMP[START DATE],ROW($B57)-ROW($B$8)),"NE",IF(AND(INDEX(T_EMP[TERMINATION DATE],ROW($B57)-ROW($B$8))&gt;0,X$8&gt;INDEX(T_EMP[TERMINATION DATE],ROW($B57)-ROW($B$8))),"NE",IF(NOT(ISERROR(MATCH(X$8,L_HOLS,0))),"H",IF(INDEX(L_WKNDVAL,WEEKDAY(X$8,1))=1,"WKND",INDEX(T_LEAVE[LEAVE CODE],SUMPRODUCT(--(T_LEAVE[NAME]=$B57),--(T_LEAVE[DATE]&lt;=X$8),--(T_LEAVE[DATE]&gt;=X$8),ROW(T_LEAVE[LEAVE CODE]))-ROW(T_LEAVE[#Headers]))))))),"")</f>
        <v/>
      </c>
      <c r="Y57" s="75" t="str">
        <f>IFERROR(IF(Y$8="","NA",IF(Y$8&lt;INDEX(T_EMP[START DATE],ROW($B57)-ROW($B$8)),"NE",IF(AND(INDEX(T_EMP[TERMINATION DATE],ROW($B57)-ROW($B$8))&gt;0,Y$8&gt;INDEX(T_EMP[TERMINATION DATE],ROW($B57)-ROW($B$8))),"NE",IF(NOT(ISERROR(MATCH(Y$8,L_HOLS,0))),"H",IF(INDEX(L_WKNDVAL,WEEKDAY(Y$8,1))=1,"WKND",INDEX(T_LEAVE[LEAVE CODE],SUMPRODUCT(--(T_LEAVE[NAME]=$B57),--(T_LEAVE[DATE]&lt;=Y$8),--(T_LEAVE[DATE]&gt;=Y$8),ROW(T_LEAVE[LEAVE CODE]))-ROW(T_LEAVE[#Headers]))))))),"")</f>
        <v/>
      </c>
      <c r="Z57" s="75" t="str">
        <f>IFERROR(IF(Z$8="","NA",IF(Z$8&lt;INDEX(T_EMP[START DATE],ROW($B57)-ROW($B$8)),"NE",IF(AND(INDEX(T_EMP[TERMINATION DATE],ROW($B57)-ROW($B$8))&gt;0,Z$8&gt;INDEX(T_EMP[TERMINATION DATE],ROW($B57)-ROW($B$8))),"NE",IF(NOT(ISERROR(MATCH(Z$8,L_HOLS,0))),"H",IF(INDEX(L_WKNDVAL,WEEKDAY(Z$8,1))=1,"WKND",INDEX(T_LEAVE[LEAVE CODE],SUMPRODUCT(--(T_LEAVE[NAME]=$B57),--(T_LEAVE[DATE]&lt;=Z$8),--(T_LEAVE[DATE]&gt;=Z$8),ROW(T_LEAVE[LEAVE CODE]))-ROW(T_LEAVE[#Headers]))))))),"")</f>
        <v/>
      </c>
      <c r="AA57" s="75" t="str">
        <f>IFERROR(IF(AA$8="","NA",IF(AA$8&lt;INDEX(T_EMP[START DATE],ROW($B57)-ROW($B$8)),"NE",IF(AND(INDEX(T_EMP[TERMINATION DATE],ROW($B57)-ROW($B$8))&gt;0,AA$8&gt;INDEX(T_EMP[TERMINATION DATE],ROW($B57)-ROW($B$8))),"NE",IF(NOT(ISERROR(MATCH(AA$8,L_HOLS,0))),"H",IF(INDEX(L_WKNDVAL,WEEKDAY(AA$8,1))=1,"WKND",INDEX(T_LEAVE[LEAVE CODE],SUMPRODUCT(--(T_LEAVE[NAME]=$B57),--(T_LEAVE[DATE]&lt;=AA$8),--(T_LEAVE[DATE]&gt;=AA$8),ROW(T_LEAVE[LEAVE CODE]))-ROW(T_LEAVE[#Headers]))))))),"")</f>
        <v/>
      </c>
      <c r="AB57" s="75" t="str">
        <f>IFERROR(IF(AB$8="","NA",IF(AB$8&lt;INDEX(T_EMP[START DATE],ROW($B57)-ROW($B$8)),"NE",IF(AND(INDEX(T_EMP[TERMINATION DATE],ROW($B57)-ROW($B$8))&gt;0,AB$8&gt;INDEX(T_EMP[TERMINATION DATE],ROW($B57)-ROW($B$8))),"NE",IF(NOT(ISERROR(MATCH(AB$8,L_HOLS,0))),"H",IF(INDEX(L_WKNDVAL,WEEKDAY(AB$8,1))=1,"WKND",INDEX(T_LEAVE[LEAVE CODE],SUMPRODUCT(--(T_LEAVE[NAME]=$B57),--(T_LEAVE[DATE]&lt;=AB$8),--(T_LEAVE[DATE]&gt;=AB$8),ROW(T_LEAVE[LEAVE CODE]))-ROW(T_LEAVE[#Headers]))))))),"")</f>
        <v/>
      </c>
      <c r="AC57" s="75" t="str">
        <f>IFERROR(IF(AC$8="","NA",IF(AC$8&lt;INDEX(T_EMP[START DATE],ROW($B57)-ROW($B$8)),"NE",IF(AND(INDEX(T_EMP[TERMINATION DATE],ROW($B57)-ROW($B$8))&gt;0,AC$8&gt;INDEX(T_EMP[TERMINATION DATE],ROW($B57)-ROW($B$8))),"NE",IF(NOT(ISERROR(MATCH(AC$8,L_HOLS,0))),"H",IF(INDEX(L_WKNDVAL,WEEKDAY(AC$8,1))=1,"WKND",INDEX(T_LEAVE[LEAVE CODE],SUMPRODUCT(--(T_LEAVE[NAME]=$B57),--(T_LEAVE[DATE]&lt;=AC$8),--(T_LEAVE[DATE]&gt;=AC$8),ROW(T_LEAVE[LEAVE CODE]))-ROW(T_LEAVE[#Headers]))))))),"")</f>
        <v/>
      </c>
      <c r="AD57" s="75" t="str">
        <f>IFERROR(IF(AD$8="","NA",IF(AD$8&lt;INDEX(T_EMP[START DATE],ROW($B57)-ROW($B$8)),"NE",IF(AND(INDEX(T_EMP[TERMINATION DATE],ROW($B57)-ROW($B$8))&gt;0,AD$8&gt;INDEX(T_EMP[TERMINATION DATE],ROW($B57)-ROW($B$8))),"NE",IF(NOT(ISERROR(MATCH(AD$8,L_HOLS,0))),"H",IF(INDEX(L_WKNDVAL,WEEKDAY(AD$8,1))=1,"WKND",INDEX(T_LEAVE[LEAVE CODE],SUMPRODUCT(--(T_LEAVE[NAME]=$B57),--(T_LEAVE[DATE]&lt;=AD$8),--(T_LEAVE[DATE]&gt;=AD$8),ROW(T_LEAVE[LEAVE CODE]))-ROW(T_LEAVE[#Headers]))))))),"")</f>
        <v/>
      </c>
      <c r="AE57" s="75" t="str">
        <f>IFERROR(IF(AE$8="","NA",IF(AE$8&lt;INDEX(T_EMP[START DATE],ROW($B57)-ROW($B$8)),"NE",IF(AND(INDEX(T_EMP[TERMINATION DATE],ROW($B57)-ROW($B$8))&gt;0,AE$8&gt;INDEX(T_EMP[TERMINATION DATE],ROW($B57)-ROW($B$8))),"NE",IF(NOT(ISERROR(MATCH(AE$8,L_HOLS,0))),"H",IF(INDEX(L_WKNDVAL,WEEKDAY(AE$8,1))=1,"WKND",INDEX(T_LEAVE[LEAVE CODE],SUMPRODUCT(--(T_LEAVE[NAME]=$B57),--(T_LEAVE[DATE]&lt;=AE$8),--(T_LEAVE[DATE]&gt;=AE$8),ROW(T_LEAVE[LEAVE CODE]))-ROW(T_LEAVE[#Headers]))))))),"")</f>
        <v/>
      </c>
      <c r="AF57" s="75" t="str">
        <f>IFERROR(IF(AF$8="","NA",IF(AF$8&lt;INDEX(T_EMP[START DATE],ROW($B57)-ROW($B$8)),"NE",IF(AND(INDEX(T_EMP[TERMINATION DATE],ROW($B57)-ROW($B$8))&gt;0,AF$8&gt;INDEX(T_EMP[TERMINATION DATE],ROW($B57)-ROW($B$8))),"NE",IF(NOT(ISERROR(MATCH(AF$8,L_HOLS,0))),"H",IF(INDEX(L_WKNDVAL,WEEKDAY(AF$8,1))=1,"WKND",INDEX(T_LEAVE[LEAVE CODE],SUMPRODUCT(--(T_LEAVE[NAME]=$B57),--(T_LEAVE[DATE]&lt;=AF$8),--(T_LEAVE[DATE]&gt;=AF$8),ROW(T_LEAVE[LEAVE CODE]))-ROW(T_LEAVE[#Headers]))))))),"")</f>
        <v/>
      </c>
      <c r="AG57" s="75" t="str">
        <f>IFERROR(IF(AG$8="","NA",IF(AG$8&lt;INDEX(T_EMP[START DATE],ROW($B57)-ROW($B$8)),"NE",IF(AND(INDEX(T_EMP[TERMINATION DATE],ROW($B57)-ROW($B$8))&gt;0,AG$8&gt;INDEX(T_EMP[TERMINATION DATE],ROW($B57)-ROW($B$8))),"NE",IF(NOT(ISERROR(MATCH(AG$8,L_HOLS,0))),"H",IF(INDEX(L_WKNDVAL,WEEKDAY(AG$8,1))=1,"WKND",INDEX(T_LEAVE[LEAVE CODE],SUMPRODUCT(--(T_LEAVE[NAME]=$B57),--(T_LEAVE[DATE]&lt;=AG$8),--(T_LEAVE[DATE]&gt;=AG$8),ROW(T_LEAVE[LEAVE CODE]))-ROW(T_LEAVE[#Headers]))))))),"")</f>
        <v/>
      </c>
      <c r="AH57" s="75" t="str">
        <f>IFERROR(IF(AH$8="","NA",IF(AH$8&lt;INDEX(T_EMP[START DATE],ROW($B57)-ROW($B$8)),"NE",IF(AND(INDEX(T_EMP[TERMINATION DATE],ROW($B57)-ROW($B$8))&gt;0,AH$8&gt;INDEX(T_EMP[TERMINATION DATE],ROW($B57)-ROW($B$8))),"NE",IF(NOT(ISERROR(MATCH(AH$8,L_HOLS,0))),"H",IF(INDEX(L_WKNDVAL,WEEKDAY(AH$8,1))=1,"WKND",INDEX(T_LEAVE[LEAVE CODE],SUMPRODUCT(--(T_LEAVE[NAME]=$B57),--(T_LEAVE[DATE]&lt;=AH$8),--(T_LEAVE[DATE]&gt;=AH$8),ROW(T_LEAVE[LEAVE CODE]))-ROW(T_LEAVE[#Headers]))))))),"")</f>
        <v/>
      </c>
      <c r="AJ57" s="88">
        <f>IF(OR($B57="",AJ$8=""),"",COUNTIFS($D57:$AH57,AJ$8)*INDEX(T_LEAVETYPE[DAY VALUE],1))</f>
        <v>0</v>
      </c>
      <c r="AK57" s="88">
        <f>IF(OR($B57="",AK$8=""),"",COUNTIFS($D57:$AH57,AK$8)*INDEX(T_LEAVETYPE[DAY VALUE],1))</f>
        <v>0</v>
      </c>
      <c r="AL57" s="88">
        <f>IF(OR($B57="",AL$8=""),"",COUNTIFS($D57:$AH57,AL$8)*INDEX(T_LEAVETYPE[DAY VALUE],1))</f>
        <v>0</v>
      </c>
      <c r="AM57" s="88">
        <f>IF(OR($B57="",AM$8=""),"",COUNTIFS($D57:$AH57,AM$8)*INDEX(T_LEAVETYPE[DAY VALUE],1))</f>
        <v>0</v>
      </c>
      <c r="AN57" s="88">
        <f>IF(OR($B57="",AN$8=""),"",COUNTIFS($D57:$AH57,AN$8)*INDEX(T_LEAVETYPE[DAY VALUE],1))</f>
        <v>0</v>
      </c>
      <c r="AO57" s="88">
        <f>IF(OR($B57="",AO$8=""),"",COUNTIFS($D57:$AH57,AO$8)*INDEX(T_LEAVETYPE[DAY VALUE],6))</f>
        <v>0</v>
      </c>
      <c r="AP57" s="88">
        <f>IF(OR($B57="",AP$8=""),"",COUNTIFS($D57:$AH57,AP$8)*INDEX(T_LEAVETYPE[DAY VALUE],7))</f>
        <v>0</v>
      </c>
      <c r="AQ57" s="88">
        <f>IF(OR($B57="",AQ$8=""),"",COUNTIFS($D57:$AH57,AQ$8)*INDEX(T_LEAVETYPE[DAY VALUE],8))</f>
        <v>0</v>
      </c>
      <c r="AR57" s="89">
        <f t="shared" si="5"/>
        <v>0</v>
      </c>
    </row>
    <row r="58" spans="1:44" x14ac:dyDescent="0.25">
      <c r="A58" s="90">
        <f t="shared" si="4"/>
        <v>50</v>
      </c>
      <c r="B58" s="74" t="str">
        <f>IFERROR(INDEX(T_EMP[NAME],ROW(B58)-ROW($B$8)),"")</f>
        <v>WAMBANGCO, JAN TOBEY</v>
      </c>
      <c r="C58" s="91" t="str">
        <f>IFERROR(INDEX(T_EMP[DEPARTMENT],ROW(B58)-ROW($C$8)),"")</f>
        <v>OB SALES</v>
      </c>
      <c r="D58" s="75" t="str">
        <f>IFERROR(IF(D$8="","NA",IF(D$8&lt;INDEX(T_EMP[START DATE],ROW($B58)-ROW($B$8)),"NE",IF(AND(INDEX(T_EMP[TERMINATION DATE],ROW($B58)-ROW($B$8))&gt;0,D$8&gt;INDEX(T_EMP[TERMINATION DATE],ROW($B58)-ROW($B$8))),"NE",IF(NOT(ISERROR(MATCH(D$8,L_HOLS,0))),"H",IF(INDEX(L_WKNDVAL,WEEKDAY(D$8,1))=1,"WKND",INDEX(T_LEAVE[LEAVE CODE],SUMPRODUCT(--(T_LEAVE[NAME]=$B58),--(T_LEAVE[DATE]&lt;=D$8),--(T_LEAVE[DATE]&gt;=D$8),ROW(T_LEAVE[LEAVE CODE]))-ROW(T_LEAVE[#Headers]))))))),"")</f>
        <v>H</v>
      </c>
      <c r="E58" s="75" t="str">
        <f>IFERROR(IF(E$8="","NA",IF(E$8&lt;INDEX(T_EMP[START DATE],ROW($B58)-ROW($B$8)),"NE",IF(AND(INDEX(T_EMP[TERMINATION DATE],ROW($B58)-ROW($B$8))&gt;0,E$8&gt;INDEX(T_EMP[TERMINATION DATE],ROW($B58)-ROW($B$8))),"NE",IF(NOT(ISERROR(MATCH(E$8,L_HOLS,0))),"H",IF(INDEX(L_WKNDVAL,WEEKDAY(E$8,1))=1,"WKND",INDEX(T_LEAVE[LEAVE CODE],SUMPRODUCT(--(T_LEAVE[NAME]=$B58),--(T_LEAVE[DATE]&lt;=E$8),--(T_LEAVE[DATE]&gt;=E$8),ROW(T_LEAVE[LEAVE CODE]))-ROW(T_LEAVE[#Headers]))))))),"")</f>
        <v/>
      </c>
      <c r="F58" s="75" t="str">
        <f>IFERROR(IF(F$8="","NA",IF(F$8&lt;INDEX(T_EMP[START DATE],ROW($B58)-ROW($B$8)),"NE",IF(AND(INDEX(T_EMP[TERMINATION DATE],ROW($B58)-ROW($B$8))&gt;0,F$8&gt;INDEX(T_EMP[TERMINATION DATE],ROW($B58)-ROW($B$8))),"NE",IF(NOT(ISERROR(MATCH(F$8,L_HOLS,0))),"H",IF(INDEX(L_WKNDVAL,WEEKDAY(F$8,1))=1,"WKND",INDEX(T_LEAVE[LEAVE CODE],SUMPRODUCT(--(T_LEAVE[NAME]=$B58),--(T_LEAVE[DATE]&lt;=F$8),--(T_LEAVE[DATE]&gt;=F$8),ROW(T_LEAVE[LEAVE CODE]))-ROW(T_LEAVE[#Headers]))))))),"")</f>
        <v/>
      </c>
      <c r="G58" s="75" t="str">
        <f>IFERROR(IF(G$8="","NA",IF(G$8&lt;INDEX(T_EMP[START DATE],ROW($B58)-ROW($B$8)),"NE",IF(AND(INDEX(T_EMP[TERMINATION DATE],ROW($B58)-ROW($B$8))&gt;0,G$8&gt;INDEX(T_EMP[TERMINATION DATE],ROW($B58)-ROW($B$8))),"NE",IF(NOT(ISERROR(MATCH(G$8,L_HOLS,0))),"H",IF(INDEX(L_WKNDVAL,WEEKDAY(G$8,1))=1,"WKND",INDEX(T_LEAVE[LEAVE CODE],SUMPRODUCT(--(T_LEAVE[NAME]=$B58),--(T_LEAVE[DATE]&lt;=G$8),--(T_LEAVE[DATE]&gt;=G$8),ROW(T_LEAVE[LEAVE CODE]))-ROW(T_LEAVE[#Headers]))))))),"")</f>
        <v/>
      </c>
      <c r="H58" s="75" t="str">
        <f>IFERROR(IF(H$8="","NA",IF(H$8&lt;INDEX(T_EMP[START DATE],ROW($B58)-ROW($B$8)),"NE",IF(AND(INDEX(T_EMP[TERMINATION DATE],ROW($B58)-ROW($B$8))&gt;0,H$8&gt;INDEX(T_EMP[TERMINATION DATE],ROW($B58)-ROW($B$8))),"NE",IF(NOT(ISERROR(MATCH(H$8,L_HOLS,0))),"H",IF(INDEX(L_WKNDVAL,WEEKDAY(H$8,1))=1,"WKND",INDEX(T_LEAVE[LEAVE CODE],SUMPRODUCT(--(T_LEAVE[NAME]=$B58),--(T_LEAVE[DATE]&lt;=H$8),--(T_LEAVE[DATE]&gt;=H$8),ROW(T_LEAVE[LEAVE CODE]))-ROW(T_LEAVE[#Headers]))))))),"")</f>
        <v/>
      </c>
      <c r="I58" s="75" t="str">
        <f>IFERROR(IF(I$8="","NA",IF(I$8&lt;INDEX(T_EMP[START DATE],ROW($B58)-ROW($B$8)),"NE",IF(AND(INDEX(T_EMP[TERMINATION DATE],ROW($B58)-ROW($B$8))&gt;0,I$8&gt;INDEX(T_EMP[TERMINATION DATE],ROW($B58)-ROW($B$8))),"NE",IF(NOT(ISERROR(MATCH(I$8,L_HOLS,0))),"H",IF(INDEX(L_WKNDVAL,WEEKDAY(I$8,1))=1,"WKND",INDEX(T_LEAVE[LEAVE CODE],SUMPRODUCT(--(T_LEAVE[NAME]=$B58),--(T_LEAVE[DATE]&lt;=I$8),--(T_LEAVE[DATE]&gt;=I$8),ROW(T_LEAVE[LEAVE CODE]))-ROW(T_LEAVE[#Headers]))))))),"")</f>
        <v/>
      </c>
      <c r="J58" s="75" t="str">
        <f>IFERROR(IF(J$8="","NA",IF(J$8&lt;INDEX(T_EMP[START DATE],ROW($B58)-ROW($B$8)),"NE",IF(AND(INDEX(T_EMP[TERMINATION DATE],ROW($B58)-ROW($B$8))&gt;0,J$8&gt;INDEX(T_EMP[TERMINATION DATE],ROW($B58)-ROW($B$8))),"NE",IF(NOT(ISERROR(MATCH(J$8,L_HOLS,0))),"H",IF(INDEX(L_WKNDVAL,WEEKDAY(J$8,1))=1,"WKND",INDEX(T_LEAVE[LEAVE CODE],SUMPRODUCT(--(T_LEAVE[NAME]=$B58),--(T_LEAVE[DATE]&lt;=J$8),--(T_LEAVE[DATE]&gt;=J$8),ROW(T_LEAVE[LEAVE CODE]))-ROW(T_LEAVE[#Headers]))))))),"")</f>
        <v/>
      </c>
      <c r="K58" s="75" t="str">
        <f>IFERROR(IF(K$8="","NA",IF(K$8&lt;INDEX(T_EMP[START DATE],ROW($B58)-ROW($B$8)),"NE",IF(AND(INDEX(T_EMP[TERMINATION DATE],ROW($B58)-ROW($B$8))&gt;0,K$8&gt;INDEX(T_EMP[TERMINATION DATE],ROW($B58)-ROW($B$8))),"NE",IF(NOT(ISERROR(MATCH(K$8,L_HOLS,0))),"H",IF(INDEX(L_WKNDVAL,WEEKDAY(K$8,1))=1,"WKND",INDEX(T_LEAVE[LEAVE CODE],SUMPRODUCT(--(T_LEAVE[NAME]=$B58),--(T_LEAVE[DATE]&lt;=K$8),--(T_LEAVE[DATE]&gt;=K$8),ROW(T_LEAVE[LEAVE CODE]))-ROW(T_LEAVE[#Headers]))))))),"")</f>
        <v/>
      </c>
      <c r="L58" s="75" t="str">
        <f>IFERROR(IF(L$8="","NA",IF(L$8&lt;INDEX(T_EMP[START DATE],ROW($B58)-ROW($B$8)),"NE",IF(AND(INDEX(T_EMP[TERMINATION DATE],ROW($B58)-ROW($B$8))&gt;0,L$8&gt;INDEX(T_EMP[TERMINATION DATE],ROW($B58)-ROW($B$8))),"NE",IF(NOT(ISERROR(MATCH(L$8,L_HOLS,0))),"H",IF(INDEX(L_WKNDVAL,WEEKDAY(L$8,1))=1,"WKND",INDEX(T_LEAVE[LEAVE CODE],SUMPRODUCT(--(T_LEAVE[NAME]=$B58),--(T_LEAVE[DATE]&lt;=L$8),--(T_LEAVE[DATE]&gt;=L$8),ROW(T_LEAVE[LEAVE CODE]))-ROW(T_LEAVE[#Headers]))))))),"")</f>
        <v/>
      </c>
      <c r="M58" s="75" t="str">
        <f>IFERROR(IF(M$8="","NA",IF(M$8&lt;INDEX(T_EMP[START DATE],ROW($B58)-ROW($B$8)),"NE",IF(AND(INDEX(T_EMP[TERMINATION DATE],ROW($B58)-ROW($B$8))&gt;0,M$8&gt;INDEX(T_EMP[TERMINATION DATE],ROW($B58)-ROW($B$8))),"NE",IF(NOT(ISERROR(MATCH(M$8,L_HOLS,0))),"H",IF(INDEX(L_WKNDVAL,WEEKDAY(M$8,1))=1,"WKND",INDEX(T_LEAVE[LEAVE CODE],SUMPRODUCT(--(T_LEAVE[NAME]=$B58),--(T_LEAVE[DATE]&lt;=M$8),--(T_LEAVE[DATE]&gt;=M$8),ROW(T_LEAVE[LEAVE CODE]))-ROW(T_LEAVE[#Headers]))))))),"")</f>
        <v/>
      </c>
      <c r="N58" s="75" t="str">
        <f>IFERROR(IF(N$8="","NA",IF(N$8&lt;INDEX(T_EMP[START DATE],ROW($B58)-ROW($B$8)),"NE",IF(AND(INDEX(T_EMP[TERMINATION DATE],ROW($B58)-ROW($B$8))&gt;0,N$8&gt;INDEX(T_EMP[TERMINATION DATE],ROW($B58)-ROW($B$8))),"NE",IF(NOT(ISERROR(MATCH(N$8,L_HOLS,0))),"H",IF(INDEX(L_WKNDVAL,WEEKDAY(N$8,1))=1,"WKND",INDEX(T_LEAVE[LEAVE CODE],SUMPRODUCT(--(T_LEAVE[NAME]=$B58),--(T_LEAVE[DATE]&lt;=N$8),--(T_LEAVE[DATE]&gt;=N$8),ROW(T_LEAVE[LEAVE CODE]))-ROW(T_LEAVE[#Headers]))))))),"")</f>
        <v/>
      </c>
      <c r="O58" s="75" t="str">
        <f>IFERROR(IF(O$8="","NA",IF(O$8&lt;INDEX(T_EMP[START DATE],ROW($B58)-ROW($B$8)),"NE",IF(AND(INDEX(T_EMP[TERMINATION DATE],ROW($B58)-ROW($B$8))&gt;0,O$8&gt;INDEX(T_EMP[TERMINATION DATE],ROW($B58)-ROW($B$8))),"NE",IF(NOT(ISERROR(MATCH(O$8,L_HOLS,0))),"H",IF(INDEX(L_WKNDVAL,WEEKDAY(O$8,1))=1,"WKND",INDEX(T_LEAVE[LEAVE CODE],SUMPRODUCT(--(T_LEAVE[NAME]=$B58),--(T_LEAVE[DATE]&lt;=O$8),--(T_LEAVE[DATE]&gt;=O$8),ROW(T_LEAVE[LEAVE CODE]))-ROW(T_LEAVE[#Headers]))))))),"")</f>
        <v/>
      </c>
      <c r="P58" s="75" t="str">
        <f>IFERROR(IF(P$8="","NA",IF(P$8&lt;INDEX(T_EMP[START DATE],ROW($B58)-ROW($B$8)),"NE",IF(AND(INDEX(T_EMP[TERMINATION DATE],ROW($B58)-ROW($B$8))&gt;0,P$8&gt;INDEX(T_EMP[TERMINATION DATE],ROW($B58)-ROW($B$8))),"NE",IF(NOT(ISERROR(MATCH(P$8,L_HOLS,0))),"H",IF(INDEX(L_WKNDVAL,WEEKDAY(P$8,1))=1,"WKND",INDEX(T_LEAVE[LEAVE CODE],SUMPRODUCT(--(T_LEAVE[NAME]=$B58),--(T_LEAVE[DATE]&lt;=P$8),--(T_LEAVE[DATE]&gt;=P$8),ROW(T_LEAVE[LEAVE CODE]))-ROW(T_LEAVE[#Headers]))))))),"")</f>
        <v>H</v>
      </c>
      <c r="Q58" s="75" t="str">
        <f>IFERROR(IF(Q$8="","NA",IF(Q$8&lt;INDEX(T_EMP[START DATE],ROW($B58)-ROW($B$8)),"NE",IF(AND(INDEX(T_EMP[TERMINATION DATE],ROW($B58)-ROW($B$8))&gt;0,Q$8&gt;INDEX(T_EMP[TERMINATION DATE],ROW($B58)-ROW($B$8))),"NE",IF(NOT(ISERROR(MATCH(Q$8,L_HOLS,0))),"H",IF(INDEX(L_WKNDVAL,WEEKDAY(Q$8,1))=1,"WKND",INDEX(T_LEAVE[LEAVE CODE],SUMPRODUCT(--(T_LEAVE[NAME]=$B58),--(T_LEAVE[DATE]&lt;=Q$8),--(T_LEAVE[DATE]&gt;=Q$8),ROW(T_LEAVE[LEAVE CODE]))-ROW(T_LEAVE[#Headers]))))))),"")</f>
        <v/>
      </c>
      <c r="R58" s="75" t="str">
        <f>IFERROR(IF(R$8="","NA",IF(R$8&lt;INDEX(T_EMP[START DATE],ROW($B58)-ROW($B$8)),"NE",IF(AND(INDEX(T_EMP[TERMINATION DATE],ROW($B58)-ROW($B$8))&gt;0,R$8&gt;INDEX(T_EMP[TERMINATION DATE],ROW($B58)-ROW($B$8))),"NE",IF(NOT(ISERROR(MATCH(R$8,L_HOLS,0))),"H",IF(INDEX(L_WKNDVAL,WEEKDAY(R$8,1))=1,"WKND",INDEX(T_LEAVE[LEAVE CODE],SUMPRODUCT(--(T_LEAVE[NAME]=$B58),--(T_LEAVE[DATE]&lt;=R$8),--(T_LEAVE[DATE]&gt;=R$8),ROW(T_LEAVE[LEAVE CODE]))-ROW(T_LEAVE[#Headers]))))))),"")</f>
        <v/>
      </c>
      <c r="S58" s="75" t="str">
        <f>IFERROR(IF(S$8="","NA",IF(S$8&lt;INDEX(T_EMP[START DATE],ROW($B58)-ROW($B$8)),"NE",IF(AND(INDEX(T_EMP[TERMINATION DATE],ROW($B58)-ROW($B$8))&gt;0,S$8&gt;INDEX(T_EMP[TERMINATION DATE],ROW($B58)-ROW($B$8))),"NE",IF(NOT(ISERROR(MATCH(S$8,L_HOLS,0))),"H",IF(INDEX(L_WKNDVAL,WEEKDAY(S$8,1))=1,"WKND",INDEX(T_LEAVE[LEAVE CODE],SUMPRODUCT(--(T_LEAVE[NAME]=$B58),--(T_LEAVE[DATE]&lt;=S$8),--(T_LEAVE[DATE]&gt;=S$8),ROW(T_LEAVE[LEAVE CODE]))-ROW(T_LEAVE[#Headers]))))))),"")</f>
        <v/>
      </c>
      <c r="T58" s="75" t="str">
        <f>IFERROR(IF(T$8="","NA",IF(T$8&lt;INDEX(T_EMP[START DATE],ROW($B58)-ROW($B$8)),"NE",IF(AND(INDEX(T_EMP[TERMINATION DATE],ROW($B58)-ROW($B$8))&gt;0,T$8&gt;INDEX(T_EMP[TERMINATION DATE],ROW($B58)-ROW($B$8))),"NE",IF(NOT(ISERROR(MATCH(T$8,L_HOLS,0))),"H",IF(INDEX(L_WKNDVAL,WEEKDAY(T$8,1))=1,"WKND",INDEX(T_LEAVE[LEAVE CODE],SUMPRODUCT(--(T_LEAVE[NAME]=$B58),--(T_LEAVE[DATE]&lt;=T$8),--(T_LEAVE[DATE]&gt;=T$8),ROW(T_LEAVE[LEAVE CODE]))-ROW(T_LEAVE[#Headers]))))))),"")</f>
        <v/>
      </c>
      <c r="U58" s="75" t="str">
        <f>IFERROR(IF(U$8="","NA",IF(U$8&lt;INDEX(T_EMP[START DATE],ROW($B58)-ROW($B$8)),"NE",IF(AND(INDEX(T_EMP[TERMINATION DATE],ROW($B58)-ROW($B$8))&gt;0,U$8&gt;INDEX(T_EMP[TERMINATION DATE],ROW($B58)-ROW($B$8))),"NE",IF(NOT(ISERROR(MATCH(U$8,L_HOLS,0))),"H",IF(INDEX(L_WKNDVAL,WEEKDAY(U$8,1))=1,"WKND",INDEX(T_LEAVE[LEAVE CODE],SUMPRODUCT(--(T_LEAVE[NAME]=$B58),--(T_LEAVE[DATE]&lt;=U$8),--(T_LEAVE[DATE]&gt;=U$8),ROW(T_LEAVE[LEAVE CODE]))-ROW(T_LEAVE[#Headers]))))))),"")</f>
        <v/>
      </c>
      <c r="V58" s="75" t="str">
        <f>IFERROR(IF(V$8="","NA",IF(V$8&lt;INDEX(T_EMP[START DATE],ROW($B58)-ROW($B$8)),"NE",IF(AND(INDEX(T_EMP[TERMINATION DATE],ROW($B58)-ROW($B$8))&gt;0,V$8&gt;INDEX(T_EMP[TERMINATION DATE],ROW($B58)-ROW($B$8))),"NE",IF(NOT(ISERROR(MATCH(V$8,L_HOLS,0))),"H",IF(INDEX(L_WKNDVAL,WEEKDAY(V$8,1))=1,"WKND",INDEX(T_LEAVE[LEAVE CODE],SUMPRODUCT(--(T_LEAVE[NAME]=$B58),--(T_LEAVE[DATE]&lt;=V$8),--(T_LEAVE[DATE]&gt;=V$8),ROW(T_LEAVE[LEAVE CODE]))-ROW(T_LEAVE[#Headers]))))))),"")</f>
        <v/>
      </c>
      <c r="W58" s="75" t="str">
        <f>IFERROR(IF(W$8="","NA",IF(W$8&lt;INDEX(T_EMP[START DATE],ROW($B58)-ROW($B$8)),"NE",IF(AND(INDEX(T_EMP[TERMINATION DATE],ROW($B58)-ROW($B$8))&gt;0,W$8&gt;INDEX(T_EMP[TERMINATION DATE],ROW($B58)-ROW($B$8))),"NE",IF(NOT(ISERROR(MATCH(W$8,L_HOLS,0))),"H",IF(INDEX(L_WKNDVAL,WEEKDAY(W$8,1))=1,"WKND",INDEX(T_LEAVE[LEAVE CODE],SUMPRODUCT(--(T_LEAVE[NAME]=$B58),--(T_LEAVE[DATE]&lt;=W$8),--(T_LEAVE[DATE]&gt;=W$8),ROW(T_LEAVE[LEAVE CODE]))-ROW(T_LEAVE[#Headers]))))))),"")</f>
        <v/>
      </c>
      <c r="X58" s="75" t="str">
        <f>IFERROR(IF(X$8="","NA",IF(X$8&lt;INDEX(T_EMP[START DATE],ROW($B58)-ROW($B$8)),"NE",IF(AND(INDEX(T_EMP[TERMINATION DATE],ROW($B58)-ROW($B$8))&gt;0,X$8&gt;INDEX(T_EMP[TERMINATION DATE],ROW($B58)-ROW($B$8))),"NE",IF(NOT(ISERROR(MATCH(X$8,L_HOLS,0))),"H",IF(INDEX(L_WKNDVAL,WEEKDAY(X$8,1))=1,"WKND",INDEX(T_LEAVE[LEAVE CODE],SUMPRODUCT(--(T_LEAVE[NAME]=$B58),--(T_LEAVE[DATE]&lt;=X$8),--(T_LEAVE[DATE]&gt;=X$8),ROW(T_LEAVE[LEAVE CODE]))-ROW(T_LEAVE[#Headers]))))))),"")</f>
        <v/>
      </c>
      <c r="Y58" s="75" t="str">
        <f>IFERROR(IF(Y$8="","NA",IF(Y$8&lt;INDEX(T_EMP[START DATE],ROW($B58)-ROW($B$8)),"NE",IF(AND(INDEX(T_EMP[TERMINATION DATE],ROW($B58)-ROW($B$8))&gt;0,Y$8&gt;INDEX(T_EMP[TERMINATION DATE],ROW($B58)-ROW($B$8))),"NE",IF(NOT(ISERROR(MATCH(Y$8,L_HOLS,0))),"H",IF(INDEX(L_WKNDVAL,WEEKDAY(Y$8,1))=1,"WKND",INDEX(T_LEAVE[LEAVE CODE],SUMPRODUCT(--(T_LEAVE[NAME]=$B58),--(T_LEAVE[DATE]&lt;=Y$8),--(T_LEAVE[DATE]&gt;=Y$8),ROW(T_LEAVE[LEAVE CODE]))-ROW(T_LEAVE[#Headers]))))))),"")</f>
        <v/>
      </c>
      <c r="Z58" s="75" t="str">
        <f>IFERROR(IF(Z$8="","NA",IF(Z$8&lt;INDEX(T_EMP[START DATE],ROW($B58)-ROW($B$8)),"NE",IF(AND(INDEX(T_EMP[TERMINATION DATE],ROW($B58)-ROW($B$8))&gt;0,Z$8&gt;INDEX(T_EMP[TERMINATION DATE],ROW($B58)-ROW($B$8))),"NE",IF(NOT(ISERROR(MATCH(Z$8,L_HOLS,0))),"H",IF(INDEX(L_WKNDVAL,WEEKDAY(Z$8,1))=1,"WKND",INDEX(T_LEAVE[LEAVE CODE],SUMPRODUCT(--(T_LEAVE[NAME]=$B58),--(T_LEAVE[DATE]&lt;=Z$8),--(T_LEAVE[DATE]&gt;=Z$8),ROW(T_LEAVE[LEAVE CODE]))-ROW(T_LEAVE[#Headers]))))))),"")</f>
        <v/>
      </c>
      <c r="AA58" s="75" t="str">
        <f>IFERROR(IF(AA$8="","NA",IF(AA$8&lt;INDEX(T_EMP[START DATE],ROW($B58)-ROW($B$8)),"NE",IF(AND(INDEX(T_EMP[TERMINATION DATE],ROW($B58)-ROW($B$8))&gt;0,AA$8&gt;INDEX(T_EMP[TERMINATION DATE],ROW($B58)-ROW($B$8))),"NE",IF(NOT(ISERROR(MATCH(AA$8,L_HOLS,0))),"H",IF(INDEX(L_WKNDVAL,WEEKDAY(AA$8,1))=1,"WKND",INDEX(T_LEAVE[LEAVE CODE],SUMPRODUCT(--(T_LEAVE[NAME]=$B58),--(T_LEAVE[DATE]&lt;=AA$8),--(T_LEAVE[DATE]&gt;=AA$8),ROW(T_LEAVE[LEAVE CODE]))-ROW(T_LEAVE[#Headers]))))))),"")</f>
        <v/>
      </c>
      <c r="AB58" s="75" t="str">
        <f>IFERROR(IF(AB$8="","NA",IF(AB$8&lt;INDEX(T_EMP[START DATE],ROW($B58)-ROW($B$8)),"NE",IF(AND(INDEX(T_EMP[TERMINATION DATE],ROW($B58)-ROW($B$8))&gt;0,AB$8&gt;INDEX(T_EMP[TERMINATION DATE],ROW($B58)-ROW($B$8))),"NE",IF(NOT(ISERROR(MATCH(AB$8,L_HOLS,0))),"H",IF(INDEX(L_WKNDVAL,WEEKDAY(AB$8,1))=1,"WKND",INDEX(T_LEAVE[LEAVE CODE],SUMPRODUCT(--(T_LEAVE[NAME]=$B58),--(T_LEAVE[DATE]&lt;=AB$8),--(T_LEAVE[DATE]&gt;=AB$8),ROW(T_LEAVE[LEAVE CODE]))-ROW(T_LEAVE[#Headers]))))))),"")</f>
        <v/>
      </c>
      <c r="AC58" s="75" t="str">
        <f>IFERROR(IF(AC$8="","NA",IF(AC$8&lt;INDEX(T_EMP[START DATE],ROW($B58)-ROW($B$8)),"NE",IF(AND(INDEX(T_EMP[TERMINATION DATE],ROW($B58)-ROW($B$8))&gt;0,AC$8&gt;INDEX(T_EMP[TERMINATION DATE],ROW($B58)-ROW($B$8))),"NE",IF(NOT(ISERROR(MATCH(AC$8,L_HOLS,0))),"H",IF(INDEX(L_WKNDVAL,WEEKDAY(AC$8,1))=1,"WKND",INDEX(T_LEAVE[LEAVE CODE],SUMPRODUCT(--(T_LEAVE[NAME]=$B58),--(T_LEAVE[DATE]&lt;=AC$8),--(T_LEAVE[DATE]&gt;=AC$8),ROW(T_LEAVE[LEAVE CODE]))-ROW(T_LEAVE[#Headers]))))))),"")</f>
        <v/>
      </c>
      <c r="AD58" s="75" t="str">
        <f>IFERROR(IF(AD$8="","NA",IF(AD$8&lt;INDEX(T_EMP[START DATE],ROW($B58)-ROW($B$8)),"NE",IF(AND(INDEX(T_EMP[TERMINATION DATE],ROW($B58)-ROW($B$8))&gt;0,AD$8&gt;INDEX(T_EMP[TERMINATION DATE],ROW($B58)-ROW($B$8))),"NE",IF(NOT(ISERROR(MATCH(AD$8,L_HOLS,0))),"H",IF(INDEX(L_WKNDVAL,WEEKDAY(AD$8,1))=1,"WKND",INDEX(T_LEAVE[LEAVE CODE],SUMPRODUCT(--(T_LEAVE[NAME]=$B58),--(T_LEAVE[DATE]&lt;=AD$8),--(T_LEAVE[DATE]&gt;=AD$8),ROW(T_LEAVE[LEAVE CODE]))-ROW(T_LEAVE[#Headers]))))))),"")</f>
        <v/>
      </c>
      <c r="AE58" s="75" t="str">
        <f>IFERROR(IF(AE$8="","NA",IF(AE$8&lt;INDEX(T_EMP[START DATE],ROW($B58)-ROW($B$8)),"NE",IF(AND(INDEX(T_EMP[TERMINATION DATE],ROW($B58)-ROW($B$8))&gt;0,AE$8&gt;INDEX(T_EMP[TERMINATION DATE],ROW($B58)-ROW($B$8))),"NE",IF(NOT(ISERROR(MATCH(AE$8,L_HOLS,0))),"H",IF(INDEX(L_WKNDVAL,WEEKDAY(AE$8,1))=1,"WKND",INDEX(T_LEAVE[LEAVE CODE],SUMPRODUCT(--(T_LEAVE[NAME]=$B58),--(T_LEAVE[DATE]&lt;=AE$8),--(T_LEAVE[DATE]&gt;=AE$8),ROW(T_LEAVE[LEAVE CODE]))-ROW(T_LEAVE[#Headers]))))))),"")</f>
        <v/>
      </c>
      <c r="AF58" s="75" t="str">
        <f>IFERROR(IF(AF$8="","NA",IF(AF$8&lt;INDEX(T_EMP[START DATE],ROW($B58)-ROW($B$8)),"NE",IF(AND(INDEX(T_EMP[TERMINATION DATE],ROW($B58)-ROW($B$8))&gt;0,AF$8&gt;INDEX(T_EMP[TERMINATION DATE],ROW($B58)-ROW($B$8))),"NE",IF(NOT(ISERROR(MATCH(AF$8,L_HOLS,0))),"H",IF(INDEX(L_WKNDVAL,WEEKDAY(AF$8,1))=1,"WKND",INDEX(T_LEAVE[LEAVE CODE],SUMPRODUCT(--(T_LEAVE[NAME]=$B58),--(T_LEAVE[DATE]&lt;=AF$8),--(T_LEAVE[DATE]&gt;=AF$8),ROW(T_LEAVE[LEAVE CODE]))-ROW(T_LEAVE[#Headers]))))))),"")</f>
        <v/>
      </c>
      <c r="AG58" s="75" t="str">
        <f>IFERROR(IF(AG$8="","NA",IF(AG$8&lt;INDEX(T_EMP[START DATE],ROW($B58)-ROW($B$8)),"NE",IF(AND(INDEX(T_EMP[TERMINATION DATE],ROW($B58)-ROW($B$8))&gt;0,AG$8&gt;INDEX(T_EMP[TERMINATION DATE],ROW($B58)-ROW($B$8))),"NE",IF(NOT(ISERROR(MATCH(AG$8,L_HOLS,0))),"H",IF(INDEX(L_WKNDVAL,WEEKDAY(AG$8,1))=1,"WKND",INDEX(T_LEAVE[LEAVE CODE],SUMPRODUCT(--(T_LEAVE[NAME]=$B58),--(T_LEAVE[DATE]&lt;=AG$8),--(T_LEAVE[DATE]&gt;=AG$8),ROW(T_LEAVE[LEAVE CODE]))-ROW(T_LEAVE[#Headers]))))))),"")</f>
        <v/>
      </c>
      <c r="AH58" s="75" t="str">
        <f>IFERROR(IF(AH$8="","NA",IF(AH$8&lt;INDEX(T_EMP[START DATE],ROW($B58)-ROW($B$8)),"NE",IF(AND(INDEX(T_EMP[TERMINATION DATE],ROW($B58)-ROW($B$8))&gt;0,AH$8&gt;INDEX(T_EMP[TERMINATION DATE],ROW($B58)-ROW($B$8))),"NE",IF(NOT(ISERROR(MATCH(AH$8,L_HOLS,0))),"H",IF(INDEX(L_WKNDVAL,WEEKDAY(AH$8,1))=1,"WKND",INDEX(T_LEAVE[LEAVE CODE],SUMPRODUCT(--(T_LEAVE[NAME]=$B58),--(T_LEAVE[DATE]&lt;=AH$8),--(T_LEAVE[DATE]&gt;=AH$8),ROW(T_LEAVE[LEAVE CODE]))-ROW(T_LEAVE[#Headers]))))))),"")</f>
        <v/>
      </c>
      <c r="AJ58" s="88">
        <f>IF(OR($B58="",AJ$8=""),"",COUNTIFS($D58:$AH58,AJ$8)*INDEX(T_LEAVETYPE[DAY VALUE],1))</f>
        <v>0</v>
      </c>
      <c r="AK58" s="88">
        <f>IF(OR($B58="",AK$8=""),"",COUNTIFS($D58:$AH58,AK$8)*INDEX(T_LEAVETYPE[DAY VALUE],1))</f>
        <v>0</v>
      </c>
      <c r="AL58" s="88">
        <f>IF(OR($B58="",AL$8=""),"",COUNTIFS($D58:$AH58,AL$8)*INDEX(T_LEAVETYPE[DAY VALUE],1))</f>
        <v>0</v>
      </c>
      <c r="AM58" s="88">
        <f>IF(OR($B58="",AM$8=""),"",COUNTIFS($D58:$AH58,AM$8)*INDEX(T_LEAVETYPE[DAY VALUE],1))</f>
        <v>0</v>
      </c>
      <c r="AN58" s="88">
        <f>IF(OR($B58="",AN$8=""),"",COUNTIFS($D58:$AH58,AN$8)*INDEX(T_LEAVETYPE[DAY VALUE],1))</f>
        <v>0</v>
      </c>
      <c r="AO58" s="88">
        <f>IF(OR($B58="",AO$8=""),"",COUNTIFS($D58:$AH58,AO$8)*INDEX(T_LEAVETYPE[DAY VALUE],6))</f>
        <v>0</v>
      </c>
      <c r="AP58" s="88">
        <f>IF(OR($B58="",AP$8=""),"",COUNTIFS($D58:$AH58,AP$8)*INDEX(T_LEAVETYPE[DAY VALUE],7))</f>
        <v>0</v>
      </c>
      <c r="AQ58" s="88">
        <f>IF(OR($B58="",AQ$8=""),"",COUNTIFS($D58:$AH58,AQ$8)*INDEX(T_LEAVETYPE[DAY VALUE],8))</f>
        <v>0</v>
      </c>
      <c r="AR58" s="89">
        <f t="shared" si="5"/>
        <v>0</v>
      </c>
    </row>
    <row r="59" spans="1:44" x14ac:dyDescent="0.25">
      <c r="A59" s="90">
        <f t="shared" si="4"/>
        <v>51</v>
      </c>
      <c r="B59" s="74" t="str">
        <f>IFERROR(INDEX(T_EMP[NAME],ROW(B59)-ROW($B$8)),"")</f>
        <v>SANTIAGO, VIRDIE DALE</v>
      </c>
      <c r="C59" s="91" t="str">
        <f>IFERROR(INDEX(T_EMP[DEPARTMENT],ROW(B59)-ROW($C$8)),"")</f>
        <v>OPERATIONS</v>
      </c>
      <c r="D59" s="75" t="str">
        <f>IFERROR(IF(D$8="","NA",IF(D$8&lt;INDEX(T_EMP[START DATE],ROW($B59)-ROW($B$8)),"NE",IF(AND(INDEX(T_EMP[TERMINATION DATE],ROW($B59)-ROW($B$8))&gt;0,D$8&gt;INDEX(T_EMP[TERMINATION DATE],ROW($B59)-ROW($B$8))),"NE",IF(NOT(ISERROR(MATCH(D$8,L_HOLS,0))),"H",IF(INDEX(L_WKNDVAL,WEEKDAY(D$8,1))=1,"WKND",INDEX(T_LEAVE[LEAVE CODE],SUMPRODUCT(--(T_LEAVE[NAME]=$B59),--(T_LEAVE[DATE]&lt;=D$8),--(T_LEAVE[DATE]&gt;=D$8),ROW(T_LEAVE[LEAVE CODE]))-ROW(T_LEAVE[#Headers]))))))),"")</f>
        <v>H</v>
      </c>
      <c r="E59" s="75" t="str">
        <f>IFERROR(IF(E$8="","NA",IF(E$8&lt;INDEX(T_EMP[START DATE],ROW($B59)-ROW($B$8)),"NE",IF(AND(INDEX(T_EMP[TERMINATION DATE],ROW($B59)-ROW($B$8))&gt;0,E$8&gt;INDEX(T_EMP[TERMINATION DATE],ROW($B59)-ROW($B$8))),"NE",IF(NOT(ISERROR(MATCH(E$8,L_HOLS,0))),"H",IF(INDEX(L_WKNDVAL,WEEKDAY(E$8,1))=1,"WKND",INDEX(T_LEAVE[LEAVE CODE],SUMPRODUCT(--(T_LEAVE[NAME]=$B59),--(T_LEAVE[DATE]&lt;=E$8),--(T_LEAVE[DATE]&gt;=E$8),ROW(T_LEAVE[LEAVE CODE]))-ROW(T_LEAVE[#Headers]))))))),"")</f>
        <v/>
      </c>
      <c r="F59" s="75" t="str">
        <f>IFERROR(IF(F$8="","NA",IF(F$8&lt;INDEX(T_EMP[START DATE],ROW($B59)-ROW($B$8)),"NE",IF(AND(INDEX(T_EMP[TERMINATION DATE],ROW($B59)-ROW($B$8))&gt;0,F$8&gt;INDEX(T_EMP[TERMINATION DATE],ROW($B59)-ROW($B$8))),"NE",IF(NOT(ISERROR(MATCH(F$8,L_HOLS,0))),"H",IF(INDEX(L_WKNDVAL,WEEKDAY(F$8,1))=1,"WKND",INDEX(T_LEAVE[LEAVE CODE],SUMPRODUCT(--(T_LEAVE[NAME]=$B59),--(T_LEAVE[DATE]&lt;=F$8),--(T_LEAVE[DATE]&gt;=F$8),ROW(T_LEAVE[LEAVE CODE]))-ROW(T_LEAVE[#Headers]))))))),"")</f>
        <v/>
      </c>
      <c r="G59" s="75" t="str">
        <f>IFERROR(IF(G$8="","NA",IF(G$8&lt;INDEX(T_EMP[START DATE],ROW($B59)-ROW($B$8)),"NE",IF(AND(INDEX(T_EMP[TERMINATION DATE],ROW($B59)-ROW($B$8))&gt;0,G$8&gt;INDEX(T_EMP[TERMINATION DATE],ROW($B59)-ROW($B$8))),"NE",IF(NOT(ISERROR(MATCH(G$8,L_HOLS,0))),"H",IF(INDEX(L_WKNDVAL,WEEKDAY(G$8,1))=1,"WKND",INDEX(T_LEAVE[LEAVE CODE],SUMPRODUCT(--(T_LEAVE[NAME]=$B59),--(T_LEAVE[DATE]&lt;=G$8),--(T_LEAVE[DATE]&gt;=G$8),ROW(T_LEAVE[LEAVE CODE]))-ROW(T_LEAVE[#Headers]))))))),"")</f>
        <v/>
      </c>
      <c r="H59" s="75" t="str">
        <f>IFERROR(IF(H$8="","NA",IF(H$8&lt;INDEX(T_EMP[START DATE],ROW($B59)-ROW($B$8)),"NE",IF(AND(INDEX(T_EMP[TERMINATION DATE],ROW($B59)-ROW($B$8))&gt;0,H$8&gt;INDEX(T_EMP[TERMINATION DATE],ROW($B59)-ROW($B$8))),"NE",IF(NOT(ISERROR(MATCH(H$8,L_HOLS,0))),"H",IF(INDEX(L_WKNDVAL,WEEKDAY(H$8,1))=1,"WKND",INDEX(T_LEAVE[LEAVE CODE],SUMPRODUCT(--(T_LEAVE[NAME]=$B59),--(T_LEAVE[DATE]&lt;=H$8),--(T_LEAVE[DATE]&gt;=H$8),ROW(T_LEAVE[LEAVE CODE]))-ROW(T_LEAVE[#Headers]))))))),"")</f>
        <v/>
      </c>
      <c r="I59" s="75" t="str">
        <f>IFERROR(IF(I$8="","NA",IF(I$8&lt;INDEX(T_EMP[START DATE],ROW($B59)-ROW($B$8)),"NE",IF(AND(INDEX(T_EMP[TERMINATION DATE],ROW($B59)-ROW($B$8))&gt;0,I$8&gt;INDEX(T_EMP[TERMINATION DATE],ROW($B59)-ROW($B$8))),"NE",IF(NOT(ISERROR(MATCH(I$8,L_HOLS,0))),"H",IF(INDEX(L_WKNDVAL,WEEKDAY(I$8,1))=1,"WKND",INDEX(T_LEAVE[LEAVE CODE],SUMPRODUCT(--(T_LEAVE[NAME]=$B59),--(T_LEAVE[DATE]&lt;=I$8),--(T_LEAVE[DATE]&gt;=I$8),ROW(T_LEAVE[LEAVE CODE]))-ROW(T_LEAVE[#Headers]))))))),"")</f>
        <v/>
      </c>
      <c r="J59" s="75" t="str">
        <f>IFERROR(IF(J$8="","NA",IF(J$8&lt;INDEX(T_EMP[START DATE],ROW($B59)-ROW($B$8)),"NE",IF(AND(INDEX(T_EMP[TERMINATION DATE],ROW($B59)-ROW($B$8))&gt;0,J$8&gt;INDEX(T_EMP[TERMINATION DATE],ROW($B59)-ROW($B$8))),"NE",IF(NOT(ISERROR(MATCH(J$8,L_HOLS,0))),"H",IF(INDEX(L_WKNDVAL,WEEKDAY(J$8,1))=1,"WKND",INDEX(T_LEAVE[LEAVE CODE],SUMPRODUCT(--(T_LEAVE[NAME]=$B59),--(T_LEAVE[DATE]&lt;=J$8),--(T_LEAVE[DATE]&gt;=J$8),ROW(T_LEAVE[LEAVE CODE]))-ROW(T_LEAVE[#Headers]))))))),"")</f>
        <v/>
      </c>
      <c r="K59" s="75" t="str">
        <f>IFERROR(IF(K$8="","NA",IF(K$8&lt;INDEX(T_EMP[START DATE],ROW($B59)-ROW($B$8)),"NE",IF(AND(INDEX(T_EMP[TERMINATION DATE],ROW($B59)-ROW($B$8))&gt;0,K$8&gt;INDEX(T_EMP[TERMINATION DATE],ROW($B59)-ROW($B$8))),"NE",IF(NOT(ISERROR(MATCH(K$8,L_HOLS,0))),"H",IF(INDEX(L_WKNDVAL,WEEKDAY(K$8,1))=1,"WKND",INDEX(T_LEAVE[LEAVE CODE],SUMPRODUCT(--(T_LEAVE[NAME]=$B59),--(T_LEAVE[DATE]&lt;=K$8),--(T_LEAVE[DATE]&gt;=K$8),ROW(T_LEAVE[LEAVE CODE]))-ROW(T_LEAVE[#Headers]))))))),"")</f>
        <v/>
      </c>
      <c r="L59" s="75" t="str">
        <f>IFERROR(IF(L$8="","NA",IF(L$8&lt;INDEX(T_EMP[START DATE],ROW($B59)-ROW($B$8)),"NE",IF(AND(INDEX(T_EMP[TERMINATION DATE],ROW($B59)-ROW($B$8))&gt;0,L$8&gt;INDEX(T_EMP[TERMINATION DATE],ROW($B59)-ROW($B$8))),"NE",IF(NOT(ISERROR(MATCH(L$8,L_HOLS,0))),"H",IF(INDEX(L_WKNDVAL,WEEKDAY(L$8,1))=1,"WKND",INDEX(T_LEAVE[LEAVE CODE],SUMPRODUCT(--(T_LEAVE[NAME]=$B59),--(T_LEAVE[DATE]&lt;=L$8),--(T_LEAVE[DATE]&gt;=L$8),ROW(T_LEAVE[LEAVE CODE]))-ROW(T_LEAVE[#Headers]))))))),"")</f>
        <v/>
      </c>
      <c r="M59" s="75" t="str">
        <f>IFERROR(IF(M$8="","NA",IF(M$8&lt;INDEX(T_EMP[START DATE],ROW($B59)-ROW($B$8)),"NE",IF(AND(INDEX(T_EMP[TERMINATION DATE],ROW($B59)-ROW($B$8))&gt;0,M$8&gt;INDEX(T_EMP[TERMINATION DATE],ROW($B59)-ROW($B$8))),"NE",IF(NOT(ISERROR(MATCH(M$8,L_HOLS,0))),"H",IF(INDEX(L_WKNDVAL,WEEKDAY(M$8,1))=1,"WKND",INDEX(T_LEAVE[LEAVE CODE],SUMPRODUCT(--(T_LEAVE[NAME]=$B59),--(T_LEAVE[DATE]&lt;=M$8),--(T_LEAVE[DATE]&gt;=M$8),ROW(T_LEAVE[LEAVE CODE]))-ROW(T_LEAVE[#Headers]))))))),"")</f>
        <v/>
      </c>
      <c r="N59" s="75" t="str">
        <f>IFERROR(IF(N$8="","NA",IF(N$8&lt;INDEX(T_EMP[START DATE],ROW($B59)-ROW($B$8)),"NE",IF(AND(INDEX(T_EMP[TERMINATION DATE],ROW($B59)-ROW($B$8))&gt;0,N$8&gt;INDEX(T_EMP[TERMINATION DATE],ROW($B59)-ROW($B$8))),"NE",IF(NOT(ISERROR(MATCH(N$8,L_HOLS,0))),"H",IF(INDEX(L_WKNDVAL,WEEKDAY(N$8,1))=1,"WKND",INDEX(T_LEAVE[LEAVE CODE],SUMPRODUCT(--(T_LEAVE[NAME]=$B59),--(T_LEAVE[DATE]&lt;=N$8),--(T_LEAVE[DATE]&gt;=N$8),ROW(T_LEAVE[LEAVE CODE]))-ROW(T_LEAVE[#Headers]))))))),"")</f>
        <v/>
      </c>
      <c r="O59" s="75" t="str">
        <f>IFERROR(IF(O$8="","NA",IF(O$8&lt;INDEX(T_EMP[START DATE],ROW($B59)-ROW($B$8)),"NE",IF(AND(INDEX(T_EMP[TERMINATION DATE],ROW($B59)-ROW($B$8))&gt;0,O$8&gt;INDEX(T_EMP[TERMINATION DATE],ROW($B59)-ROW($B$8))),"NE",IF(NOT(ISERROR(MATCH(O$8,L_HOLS,0))),"H",IF(INDEX(L_WKNDVAL,WEEKDAY(O$8,1))=1,"WKND",INDEX(T_LEAVE[LEAVE CODE],SUMPRODUCT(--(T_LEAVE[NAME]=$B59),--(T_LEAVE[DATE]&lt;=O$8),--(T_LEAVE[DATE]&gt;=O$8),ROW(T_LEAVE[LEAVE CODE]))-ROW(T_LEAVE[#Headers]))))))),"")</f>
        <v/>
      </c>
      <c r="P59" s="75" t="str">
        <f>IFERROR(IF(P$8="","NA",IF(P$8&lt;INDEX(T_EMP[START DATE],ROW($B59)-ROW($B$8)),"NE",IF(AND(INDEX(T_EMP[TERMINATION DATE],ROW($B59)-ROW($B$8))&gt;0,P$8&gt;INDEX(T_EMP[TERMINATION DATE],ROW($B59)-ROW($B$8))),"NE",IF(NOT(ISERROR(MATCH(P$8,L_HOLS,0))),"H",IF(INDEX(L_WKNDVAL,WEEKDAY(P$8,1))=1,"WKND",INDEX(T_LEAVE[LEAVE CODE],SUMPRODUCT(--(T_LEAVE[NAME]=$B59),--(T_LEAVE[DATE]&lt;=P$8),--(T_LEAVE[DATE]&gt;=P$8),ROW(T_LEAVE[LEAVE CODE]))-ROW(T_LEAVE[#Headers]))))))),"")</f>
        <v>H</v>
      </c>
      <c r="Q59" s="75" t="str">
        <f>IFERROR(IF(Q$8="","NA",IF(Q$8&lt;INDEX(T_EMP[START DATE],ROW($B59)-ROW($B$8)),"NE",IF(AND(INDEX(T_EMP[TERMINATION DATE],ROW($B59)-ROW($B$8))&gt;0,Q$8&gt;INDEX(T_EMP[TERMINATION DATE],ROW($B59)-ROW($B$8))),"NE",IF(NOT(ISERROR(MATCH(Q$8,L_HOLS,0))),"H",IF(INDEX(L_WKNDVAL,WEEKDAY(Q$8,1))=1,"WKND",INDEX(T_LEAVE[LEAVE CODE],SUMPRODUCT(--(T_LEAVE[NAME]=$B59),--(T_LEAVE[DATE]&lt;=Q$8),--(T_LEAVE[DATE]&gt;=Q$8),ROW(T_LEAVE[LEAVE CODE]))-ROW(T_LEAVE[#Headers]))))))),"")</f>
        <v/>
      </c>
      <c r="R59" s="75" t="str">
        <f>IFERROR(IF(R$8="","NA",IF(R$8&lt;INDEX(T_EMP[START DATE],ROW($B59)-ROW($B$8)),"NE",IF(AND(INDEX(T_EMP[TERMINATION DATE],ROW($B59)-ROW($B$8))&gt;0,R$8&gt;INDEX(T_EMP[TERMINATION DATE],ROW($B59)-ROW($B$8))),"NE",IF(NOT(ISERROR(MATCH(R$8,L_HOLS,0))),"H",IF(INDEX(L_WKNDVAL,WEEKDAY(R$8,1))=1,"WKND",INDEX(T_LEAVE[LEAVE CODE],SUMPRODUCT(--(T_LEAVE[NAME]=$B59),--(T_LEAVE[DATE]&lt;=R$8),--(T_LEAVE[DATE]&gt;=R$8),ROW(T_LEAVE[LEAVE CODE]))-ROW(T_LEAVE[#Headers]))))))),"")</f>
        <v/>
      </c>
      <c r="S59" s="75" t="str">
        <f>IFERROR(IF(S$8="","NA",IF(S$8&lt;INDEX(T_EMP[START DATE],ROW($B59)-ROW($B$8)),"NE",IF(AND(INDEX(T_EMP[TERMINATION DATE],ROW($B59)-ROW($B$8))&gt;0,S$8&gt;INDEX(T_EMP[TERMINATION DATE],ROW($B59)-ROW($B$8))),"NE",IF(NOT(ISERROR(MATCH(S$8,L_HOLS,0))),"H",IF(INDEX(L_WKNDVAL,WEEKDAY(S$8,1))=1,"WKND",INDEX(T_LEAVE[LEAVE CODE],SUMPRODUCT(--(T_LEAVE[NAME]=$B59),--(T_LEAVE[DATE]&lt;=S$8),--(T_LEAVE[DATE]&gt;=S$8),ROW(T_LEAVE[LEAVE CODE]))-ROW(T_LEAVE[#Headers]))))))),"")</f>
        <v/>
      </c>
      <c r="T59" s="75" t="str">
        <f>IFERROR(IF(T$8="","NA",IF(T$8&lt;INDEX(T_EMP[START DATE],ROW($B59)-ROW($B$8)),"NE",IF(AND(INDEX(T_EMP[TERMINATION DATE],ROW($B59)-ROW($B$8))&gt;0,T$8&gt;INDEX(T_EMP[TERMINATION DATE],ROW($B59)-ROW($B$8))),"NE",IF(NOT(ISERROR(MATCH(T$8,L_HOLS,0))),"H",IF(INDEX(L_WKNDVAL,WEEKDAY(T$8,1))=1,"WKND",INDEX(T_LEAVE[LEAVE CODE],SUMPRODUCT(--(T_LEAVE[NAME]=$B59),--(T_LEAVE[DATE]&lt;=T$8),--(T_LEAVE[DATE]&gt;=T$8),ROW(T_LEAVE[LEAVE CODE]))-ROW(T_LEAVE[#Headers]))))))),"")</f>
        <v/>
      </c>
      <c r="U59" s="75" t="str">
        <f>IFERROR(IF(U$8="","NA",IF(U$8&lt;INDEX(T_EMP[START DATE],ROW($B59)-ROW($B$8)),"NE",IF(AND(INDEX(T_EMP[TERMINATION DATE],ROW($B59)-ROW($B$8))&gt;0,U$8&gt;INDEX(T_EMP[TERMINATION DATE],ROW($B59)-ROW($B$8))),"NE",IF(NOT(ISERROR(MATCH(U$8,L_HOLS,0))),"H",IF(INDEX(L_WKNDVAL,WEEKDAY(U$8,1))=1,"WKND",INDEX(T_LEAVE[LEAVE CODE],SUMPRODUCT(--(T_LEAVE[NAME]=$B59),--(T_LEAVE[DATE]&lt;=U$8),--(T_LEAVE[DATE]&gt;=U$8),ROW(T_LEAVE[LEAVE CODE]))-ROW(T_LEAVE[#Headers]))))))),"")</f>
        <v/>
      </c>
      <c r="V59" s="75" t="str">
        <f>IFERROR(IF(V$8="","NA",IF(V$8&lt;INDEX(T_EMP[START DATE],ROW($B59)-ROW($B$8)),"NE",IF(AND(INDEX(T_EMP[TERMINATION DATE],ROW($B59)-ROW($B$8))&gt;0,V$8&gt;INDEX(T_EMP[TERMINATION DATE],ROW($B59)-ROW($B$8))),"NE",IF(NOT(ISERROR(MATCH(V$8,L_HOLS,0))),"H",IF(INDEX(L_WKNDVAL,WEEKDAY(V$8,1))=1,"WKND",INDEX(T_LEAVE[LEAVE CODE],SUMPRODUCT(--(T_LEAVE[NAME]=$B59),--(T_LEAVE[DATE]&lt;=V$8),--(T_LEAVE[DATE]&gt;=V$8),ROW(T_LEAVE[LEAVE CODE]))-ROW(T_LEAVE[#Headers]))))))),"")</f>
        <v/>
      </c>
      <c r="W59" s="75" t="str">
        <f>IFERROR(IF(W$8="","NA",IF(W$8&lt;INDEX(T_EMP[START DATE],ROW($B59)-ROW($B$8)),"NE",IF(AND(INDEX(T_EMP[TERMINATION DATE],ROW($B59)-ROW($B$8))&gt;0,W$8&gt;INDEX(T_EMP[TERMINATION DATE],ROW($B59)-ROW($B$8))),"NE",IF(NOT(ISERROR(MATCH(W$8,L_HOLS,0))),"H",IF(INDEX(L_WKNDVAL,WEEKDAY(W$8,1))=1,"WKND",INDEX(T_LEAVE[LEAVE CODE],SUMPRODUCT(--(T_LEAVE[NAME]=$B59),--(T_LEAVE[DATE]&lt;=W$8),--(T_LEAVE[DATE]&gt;=W$8),ROW(T_LEAVE[LEAVE CODE]))-ROW(T_LEAVE[#Headers]))))))),"")</f>
        <v/>
      </c>
      <c r="X59" s="75" t="str">
        <f>IFERROR(IF(X$8="","NA",IF(X$8&lt;INDEX(T_EMP[START DATE],ROW($B59)-ROW($B$8)),"NE",IF(AND(INDEX(T_EMP[TERMINATION DATE],ROW($B59)-ROW($B$8))&gt;0,X$8&gt;INDEX(T_EMP[TERMINATION DATE],ROW($B59)-ROW($B$8))),"NE",IF(NOT(ISERROR(MATCH(X$8,L_HOLS,0))),"H",IF(INDEX(L_WKNDVAL,WEEKDAY(X$8,1))=1,"WKND",INDEX(T_LEAVE[LEAVE CODE],SUMPRODUCT(--(T_LEAVE[NAME]=$B59),--(T_LEAVE[DATE]&lt;=X$8),--(T_LEAVE[DATE]&gt;=X$8),ROW(T_LEAVE[LEAVE CODE]))-ROW(T_LEAVE[#Headers]))))))),"")</f>
        <v/>
      </c>
      <c r="Y59" s="75" t="str">
        <f>IFERROR(IF(Y$8="","NA",IF(Y$8&lt;INDEX(T_EMP[START DATE],ROW($B59)-ROW($B$8)),"NE",IF(AND(INDEX(T_EMP[TERMINATION DATE],ROW($B59)-ROW($B$8))&gt;0,Y$8&gt;INDEX(T_EMP[TERMINATION DATE],ROW($B59)-ROW($B$8))),"NE",IF(NOT(ISERROR(MATCH(Y$8,L_HOLS,0))),"H",IF(INDEX(L_WKNDVAL,WEEKDAY(Y$8,1))=1,"WKND",INDEX(T_LEAVE[LEAVE CODE],SUMPRODUCT(--(T_LEAVE[NAME]=$B59),--(T_LEAVE[DATE]&lt;=Y$8),--(T_LEAVE[DATE]&gt;=Y$8),ROW(T_LEAVE[LEAVE CODE]))-ROW(T_LEAVE[#Headers]))))))),"")</f>
        <v/>
      </c>
      <c r="Z59" s="75" t="str">
        <f>IFERROR(IF(Z$8="","NA",IF(Z$8&lt;INDEX(T_EMP[START DATE],ROW($B59)-ROW($B$8)),"NE",IF(AND(INDEX(T_EMP[TERMINATION DATE],ROW($B59)-ROW($B$8))&gt;0,Z$8&gt;INDEX(T_EMP[TERMINATION DATE],ROW($B59)-ROW($B$8))),"NE",IF(NOT(ISERROR(MATCH(Z$8,L_HOLS,0))),"H",IF(INDEX(L_WKNDVAL,WEEKDAY(Z$8,1))=1,"WKND",INDEX(T_LEAVE[LEAVE CODE],SUMPRODUCT(--(T_LEAVE[NAME]=$B59),--(T_LEAVE[DATE]&lt;=Z$8),--(T_LEAVE[DATE]&gt;=Z$8),ROW(T_LEAVE[LEAVE CODE]))-ROW(T_LEAVE[#Headers]))))))),"")</f>
        <v/>
      </c>
      <c r="AA59" s="75" t="str">
        <f>IFERROR(IF(AA$8="","NA",IF(AA$8&lt;INDEX(T_EMP[START DATE],ROW($B59)-ROW($B$8)),"NE",IF(AND(INDEX(T_EMP[TERMINATION DATE],ROW($B59)-ROW($B$8))&gt;0,AA$8&gt;INDEX(T_EMP[TERMINATION DATE],ROW($B59)-ROW($B$8))),"NE",IF(NOT(ISERROR(MATCH(AA$8,L_HOLS,0))),"H",IF(INDEX(L_WKNDVAL,WEEKDAY(AA$8,1))=1,"WKND",INDEX(T_LEAVE[LEAVE CODE],SUMPRODUCT(--(T_LEAVE[NAME]=$B59),--(T_LEAVE[DATE]&lt;=AA$8),--(T_LEAVE[DATE]&gt;=AA$8),ROW(T_LEAVE[LEAVE CODE]))-ROW(T_LEAVE[#Headers]))))))),"")</f>
        <v/>
      </c>
      <c r="AB59" s="75" t="str">
        <f>IFERROR(IF(AB$8="","NA",IF(AB$8&lt;INDEX(T_EMP[START DATE],ROW($B59)-ROW($B$8)),"NE",IF(AND(INDEX(T_EMP[TERMINATION DATE],ROW($B59)-ROW($B$8))&gt;0,AB$8&gt;INDEX(T_EMP[TERMINATION DATE],ROW($B59)-ROW($B$8))),"NE",IF(NOT(ISERROR(MATCH(AB$8,L_HOLS,0))),"H",IF(INDEX(L_WKNDVAL,WEEKDAY(AB$8,1))=1,"WKND",INDEX(T_LEAVE[LEAVE CODE],SUMPRODUCT(--(T_LEAVE[NAME]=$B59),--(T_LEAVE[DATE]&lt;=AB$8),--(T_LEAVE[DATE]&gt;=AB$8),ROW(T_LEAVE[LEAVE CODE]))-ROW(T_LEAVE[#Headers]))))))),"")</f>
        <v/>
      </c>
      <c r="AC59" s="75" t="str">
        <f>IFERROR(IF(AC$8="","NA",IF(AC$8&lt;INDEX(T_EMP[START DATE],ROW($B59)-ROW($B$8)),"NE",IF(AND(INDEX(T_EMP[TERMINATION DATE],ROW($B59)-ROW($B$8))&gt;0,AC$8&gt;INDEX(T_EMP[TERMINATION DATE],ROW($B59)-ROW($B$8))),"NE",IF(NOT(ISERROR(MATCH(AC$8,L_HOLS,0))),"H",IF(INDEX(L_WKNDVAL,WEEKDAY(AC$8,1))=1,"WKND",INDEX(T_LEAVE[LEAVE CODE],SUMPRODUCT(--(T_LEAVE[NAME]=$B59),--(T_LEAVE[DATE]&lt;=AC$8),--(T_LEAVE[DATE]&gt;=AC$8),ROW(T_LEAVE[LEAVE CODE]))-ROW(T_LEAVE[#Headers]))))))),"")</f>
        <v/>
      </c>
      <c r="AD59" s="75" t="str">
        <f>IFERROR(IF(AD$8="","NA",IF(AD$8&lt;INDEX(T_EMP[START DATE],ROW($B59)-ROW($B$8)),"NE",IF(AND(INDEX(T_EMP[TERMINATION DATE],ROW($B59)-ROW($B$8))&gt;0,AD$8&gt;INDEX(T_EMP[TERMINATION DATE],ROW($B59)-ROW($B$8))),"NE",IF(NOT(ISERROR(MATCH(AD$8,L_HOLS,0))),"H",IF(INDEX(L_WKNDVAL,WEEKDAY(AD$8,1))=1,"WKND",INDEX(T_LEAVE[LEAVE CODE],SUMPRODUCT(--(T_LEAVE[NAME]=$B59),--(T_LEAVE[DATE]&lt;=AD$8),--(T_LEAVE[DATE]&gt;=AD$8),ROW(T_LEAVE[LEAVE CODE]))-ROW(T_LEAVE[#Headers]))))))),"")</f>
        <v/>
      </c>
      <c r="AE59" s="75" t="str">
        <f>IFERROR(IF(AE$8="","NA",IF(AE$8&lt;INDEX(T_EMP[START DATE],ROW($B59)-ROW($B$8)),"NE",IF(AND(INDEX(T_EMP[TERMINATION DATE],ROW($B59)-ROW($B$8))&gt;0,AE$8&gt;INDEX(T_EMP[TERMINATION DATE],ROW($B59)-ROW($B$8))),"NE",IF(NOT(ISERROR(MATCH(AE$8,L_HOLS,0))),"H",IF(INDEX(L_WKNDVAL,WEEKDAY(AE$8,1))=1,"WKND",INDEX(T_LEAVE[LEAVE CODE],SUMPRODUCT(--(T_LEAVE[NAME]=$B59),--(T_LEAVE[DATE]&lt;=AE$8),--(T_LEAVE[DATE]&gt;=AE$8),ROW(T_LEAVE[LEAVE CODE]))-ROW(T_LEAVE[#Headers]))))))),"")</f>
        <v/>
      </c>
      <c r="AF59" s="75" t="str">
        <f>IFERROR(IF(AF$8="","NA",IF(AF$8&lt;INDEX(T_EMP[START DATE],ROW($B59)-ROW($B$8)),"NE",IF(AND(INDEX(T_EMP[TERMINATION DATE],ROW($B59)-ROW($B$8))&gt;0,AF$8&gt;INDEX(T_EMP[TERMINATION DATE],ROW($B59)-ROW($B$8))),"NE",IF(NOT(ISERROR(MATCH(AF$8,L_HOLS,0))),"H",IF(INDEX(L_WKNDVAL,WEEKDAY(AF$8,1))=1,"WKND",INDEX(T_LEAVE[LEAVE CODE],SUMPRODUCT(--(T_LEAVE[NAME]=$B59),--(T_LEAVE[DATE]&lt;=AF$8),--(T_LEAVE[DATE]&gt;=AF$8),ROW(T_LEAVE[LEAVE CODE]))-ROW(T_LEAVE[#Headers]))))))),"")</f>
        <v/>
      </c>
      <c r="AG59" s="75" t="str">
        <f>IFERROR(IF(AG$8="","NA",IF(AG$8&lt;INDEX(T_EMP[START DATE],ROW($B59)-ROW($B$8)),"NE",IF(AND(INDEX(T_EMP[TERMINATION DATE],ROW($B59)-ROW($B$8))&gt;0,AG$8&gt;INDEX(T_EMP[TERMINATION DATE],ROW($B59)-ROW($B$8))),"NE",IF(NOT(ISERROR(MATCH(AG$8,L_HOLS,0))),"H",IF(INDEX(L_WKNDVAL,WEEKDAY(AG$8,1))=1,"WKND",INDEX(T_LEAVE[LEAVE CODE],SUMPRODUCT(--(T_LEAVE[NAME]=$B59),--(T_LEAVE[DATE]&lt;=AG$8),--(T_LEAVE[DATE]&gt;=AG$8),ROW(T_LEAVE[LEAVE CODE]))-ROW(T_LEAVE[#Headers]))))))),"")</f>
        <v/>
      </c>
      <c r="AH59" s="75" t="str">
        <f>IFERROR(IF(AH$8="","NA",IF(AH$8&lt;INDEX(T_EMP[START DATE],ROW($B59)-ROW($B$8)),"NE",IF(AND(INDEX(T_EMP[TERMINATION DATE],ROW($B59)-ROW($B$8))&gt;0,AH$8&gt;INDEX(T_EMP[TERMINATION DATE],ROW($B59)-ROW($B$8))),"NE",IF(NOT(ISERROR(MATCH(AH$8,L_HOLS,0))),"H",IF(INDEX(L_WKNDVAL,WEEKDAY(AH$8,1))=1,"WKND",INDEX(T_LEAVE[LEAVE CODE],SUMPRODUCT(--(T_LEAVE[NAME]=$B59),--(T_LEAVE[DATE]&lt;=AH$8),--(T_LEAVE[DATE]&gt;=AH$8),ROW(T_LEAVE[LEAVE CODE]))-ROW(T_LEAVE[#Headers]))))))),"")</f>
        <v/>
      </c>
      <c r="AJ59" s="88">
        <f>IF(OR($B59="",AJ$8=""),"",COUNTIFS($D59:$AH59,AJ$8)*INDEX(T_LEAVETYPE[DAY VALUE],1))</f>
        <v>0</v>
      </c>
      <c r="AK59" s="88">
        <f>IF(OR($B59="",AK$8=""),"",COUNTIFS($D59:$AH59,AK$8)*INDEX(T_LEAVETYPE[DAY VALUE],1))</f>
        <v>0</v>
      </c>
      <c r="AL59" s="88">
        <f>IF(OR($B59="",AL$8=""),"",COUNTIFS($D59:$AH59,AL$8)*INDEX(T_LEAVETYPE[DAY VALUE],1))</f>
        <v>0</v>
      </c>
      <c r="AM59" s="88">
        <f>IF(OR($B59="",AM$8=""),"",COUNTIFS($D59:$AH59,AM$8)*INDEX(T_LEAVETYPE[DAY VALUE],1))</f>
        <v>0</v>
      </c>
      <c r="AN59" s="88">
        <f>IF(OR($B59="",AN$8=""),"",COUNTIFS($D59:$AH59,AN$8)*INDEX(T_LEAVETYPE[DAY VALUE],1))</f>
        <v>0</v>
      </c>
      <c r="AO59" s="88">
        <f>IF(OR($B59="",AO$8=""),"",COUNTIFS($D59:$AH59,AO$8)*INDEX(T_LEAVETYPE[DAY VALUE],6))</f>
        <v>0</v>
      </c>
      <c r="AP59" s="88">
        <f>IF(OR($B59="",AP$8=""),"",COUNTIFS($D59:$AH59,AP$8)*INDEX(T_LEAVETYPE[DAY VALUE],7))</f>
        <v>0</v>
      </c>
      <c r="AQ59" s="88">
        <f>IF(OR($B59="",AQ$8=""),"",COUNTIFS($D59:$AH59,AQ$8)*INDEX(T_LEAVETYPE[DAY VALUE],8))</f>
        <v>0</v>
      </c>
      <c r="AR59" s="89">
        <f t="shared" si="5"/>
        <v>0</v>
      </c>
    </row>
    <row r="60" spans="1:44" x14ac:dyDescent="0.25">
      <c r="A60" s="90">
        <f t="shared" si="4"/>
        <v>52</v>
      </c>
      <c r="B60" s="74" t="str">
        <f>IFERROR(INDEX(T_EMP[NAME],ROW(B60)-ROW($B$8)),"")</f>
        <v>ALABAN, ALFRED</v>
      </c>
      <c r="C60" s="91" t="str">
        <f>IFERROR(INDEX(T_EMP[DEPARTMENT],ROW(B60)-ROW($C$8)),"")</f>
        <v>OPERATIONS</v>
      </c>
      <c r="D60" s="75" t="str">
        <f>IFERROR(IF(D$8="","NA",IF(D$8&lt;INDEX(T_EMP[START DATE],ROW($B60)-ROW($B$8)),"NE",IF(AND(INDEX(T_EMP[TERMINATION DATE],ROW($B60)-ROW($B$8))&gt;0,D$8&gt;INDEX(T_EMP[TERMINATION DATE],ROW($B60)-ROW($B$8))),"NE",IF(NOT(ISERROR(MATCH(D$8,L_HOLS,0))),"H",IF(INDEX(L_WKNDVAL,WEEKDAY(D$8,1))=1,"WKND",INDEX(T_LEAVE[LEAVE CODE],SUMPRODUCT(--(T_LEAVE[NAME]=$B60),--(T_LEAVE[DATE]&lt;=D$8),--(T_LEAVE[DATE]&gt;=D$8),ROW(T_LEAVE[LEAVE CODE]))-ROW(T_LEAVE[#Headers]))))))),"")</f>
        <v>H</v>
      </c>
      <c r="E60" s="75" t="str">
        <f>IFERROR(IF(E$8="","NA",IF(E$8&lt;INDEX(T_EMP[START DATE],ROW($B60)-ROW($B$8)),"NE",IF(AND(INDEX(T_EMP[TERMINATION DATE],ROW($B60)-ROW($B$8))&gt;0,E$8&gt;INDEX(T_EMP[TERMINATION DATE],ROW($B60)-ROW($B$8))),"NE",IF(NOT(ISERROR(MATCH(E$8,L_HOLS,0))),"H",IF(INDEX(L_WKNDVAL,WEEKDAY(E$8,1))=1,"WKND",INDEX(T_LEAVE[LEAVE CODE],SUMPRODUCT(--(T_LEAVE[NAME]=$B60),--(T_LEAVE[DATE]&lt;=E$8),--(T_LEAVE[DATE]&gt;=E$8),ROW(T_LEAVE[LEAVE CODE]))-ROW(T_LEAVE[#Headers]))))))),"")</f>
        <v/>
      </c>
      <c r="F60" s="75" t="str">
        <f>IFERROR(IF(F$8="","NA",IF(F$8&lt;INDEX(T_EMP[START DATE],ROW($B60)-ROW($B$8)),"NE",IF(AND(INDEX(T_EMP[TERMINATION DATE],ROW($B60)-ROW($B$8))&gt;0,F$8&gt;INDEX(T_EMP[TERMINATION DATE],ROW($B60)-ROW($B$8))),"NE",IF(NOT(ISERROR(MATCH(F$8,L_HOLS,0))),"H",IF(INDEX(L_WKNDVAL,WEEKDAY(F$8,1))=1,"WKND",INDEX(T_LEAVE[LEAVE CODE],SUMPRODUCT(--(T_LEAVE[NAME]=$B60),--(T_LEAVE[DATE]&lt;=F$8),--(T_LEAVE[DATE]&gt;=F$8),ROW(T_LEAVE[LEAVE CODE]))-ROW(T_LEAVE[#Headers]))))))),"")</f>
        <v/>
      </c>
      <c r="G60" s="75" t="str">
        <f>IFERROR(IF(G$8="","NA",IF(G$8&lt;INDEX(T_EMP[START DATE],ROW($B60)-ROW($B$8)),"NE",IF(AND(INDEX(T_EMP[TERMINATION DATE],ROW($B60)-ROW($B$8))&gt;0,G$8&gt;INDEX(T_EMP[TERMINATION DATE],ROW($B60)-ROW($B$8))),"NE",IF(NOT(ISERROR(MATCH(G$8,L_HOLS,0))),"H",IF(INDEX(L_WKNDVAL,WEEKDAY(G$8,1))=1,"WKND",INDEX(T_LEAVE[LEAVE CODE],SUMPRODUCT(--(T_LEAVE[NAME]=$B60),--(T_LEAVE[DATE]&lt;=G$8),--(T_LEAVE[DATE]&gt;=G$8),ROW(T_LEAVE[LEAVE CODE]))-ROW(T_LEAVE[#Headers]))))))),"")</f>
        <v/>
      </c>
      <c r="H60" s="75" t="str">
        <f>IFERROR(IF(H$8="","NA",IF(H$8&lt;INDEX(T_EMP[START DATE],ROW($B60)-ROW($B$8)),"NE",IF(AND(INDEX(T_EMP[TERMINATION DATE],ROW($B60)-ROW($B$8))&gt;0,H$8&gt;INDEX(T_EMP[TERMINATION DATE],ROW($B60)-ROW($B$8))),"NE",IF(NOT(ISERROR(MATCH(H$8,L_HOLS,0))),"H",IF(INDEX(L_WKNDVAL,WEEKDAY(H$8,1))=1,"WKND",INDEX(T_LEAVE[LEAVE CODE],SUMPRODUCT(--(T_LEAVE[NAME]=$B60),--(T_LEAVE[DATE]&lt;=H$8),--(T_LEAVE[DATE]&gt;=H$8),ROW(T_LEAVE[LEAVE CODE]))-ROW(T_LEAVE[#Headers]))))))),"")</f>
        <v/>
      </c>
      <c r="I60" s="75" t="str">
        <f>IFERROR(IF(I$8="","NA",IF(I$8&lt;INDEX(T_EMP[START DATE],ROW($B60)-ROW($B$8)),"NE",IF(AND(INDEX(T_EMP[TERMINATION DATE],ROW($B60)-ROW($B$8))&gt;0,I$8&gt;INDEX(T_EMP[TERMINATION DATE],ROW($B60)-ROW($B$8))),"NE",IF(NOT(ISERROR(MATCH(I$8,L_HOLS,0))),"H",IF(INDEX(L_WKNDVAL,WEEKDAY(I$8,1))=1,"WKND",INDEX(T_LEAVE[LEAVE CODE],SUMPRODUCT(--(T_LEAVE[NAME]=$B60),--(T_LEAVE[DATE]&lt;=I$8),--(T_LEAVE[DATE]&gt;=I$8),ROW(T_LEAVE[LEAVE CODE]))-ROW(T_LEAVE[#Headers]))))))),"")</f>
        <v/>
      </c>
      <c r="J60" s="75" t="str">
        <f>IFERROR(IF(J$8="","NA",IF(J$8&lt;INDEX(T_EMP[START DATE],ROW($B60)-ROW($B$8)),"NE",IF(AND(INDEX(T_EMP[TERMINATION DATE],ROW($B60)-ROW($B$8))&gt;0,J$8&gt;INDEX(T_EMP[TERMINATION DATE],ROW($B60)-ROW($B$8))),"NE",IF(NOT(ISERROR(MATCH(J$8,L_HOLS,0))),"H",IF(INDEX(L_WKNDVAL,WEEKDAY(J$8,1))=1,"WKND",INDEX(T_LEAVE[LEAVE CODE],SUMPRODUCT(--(T_LEAVE[NAME]=$B60),--(T_LEAVE[DATE]&lt;=J$8),--(T_LEAVE[DATE]&gt;=J$8),ROW(T_LEAVE[LEAVE CODE]))-ROW(T_LEAVE[#Headers]))))))),"")</f>
        <v/>
      </c>
      <c r="K60" s="75" t="str">
        <f>IFERROR(IF(K$8="","NA",IF(K$8&lt;INDEX(T_EMP[START DATE],ROW($B60)-ROW($B$8)),"NE",IF(AND(INDEX(T_EMP[TERMINATION DATE],ROW($B60)-ROW($B$8))&gt;0,K$8&gt;INDEX(T_EMP[TERMINATION DATE],ROW($B60)-ROW($B$8))),"NE",IF(NOT(ISERROR(MATCH(K$8,L_HOLS,0))),"H",IF(INDEX(L_WKNDVAL,WEEKDAY(K$8,1))=1,"WKND",INDEX(T_LEAVE[LEAVE CODE],SUMPRODUCT(--(T_LEAVE[NAME]=$B60),--(T_LEAVE[DATE]&lt;=K$8),--(T_LEAVE[DATE]&gt;=K$8),ROW(T_LEAVE[LEAVE CODE]))-ROW(T_LEAVE[#Headers]))))))),"")</f>
        <v/>
      </c>
      <c r="L60" s="75" t="str">
        <f>IFERROR(IF(L$8="","NA",IF(L$8&lt;INDEX(T_EMP[START DATE],ROW($B60)-ROW($B$8)),"NE",IF(AND(INDEX(T_EMP[TERMINATION DATE],ROW($B60)-ROW($B$8))&gt;0,L$8&gt;INDEX(T_EMP[TERMINATION DATE],ROW($B60)-ROW($B$8))),"NE",IF(NOT(ISERROR(MATCH(L$8,L_HOLS,0))),"H",IF(INDEX(L_WKNDVAL,WEEKDAY(L$8,1))=1,"WKND",INDEX(T_LEAVE[LEAVE CODE],SUMPRODUCT(--(T_LEAVE[NAME]=$B60),--(T_LEAVE[DATE]&lt;=L$8),--(T_LEAVE[DATE]&gt;=L$8),ROW(T_LEAVE[LEAVE CODE]))-ROW(T_LEAVE[#Headers]))))))),"")</f>
        <v/>
      </c>
      <c r="M60" s="75" t="str">
        <f>IFERROR(IF(M$8="","NA",IF(M$8&lt;INDEX(T_EMP[START DATE],ROW($B60)-ROW($B$8)),"NE",IF(AND(INDEX(T_EMP[TERMINATION DATE],ROW($B60)-ROW($B$8))&gt;0,M$8&gt;INDEX(T_EMP[TERMINATION DATE],ROW($B60)-ROW($B$8))),"NE",IF(NOT(ISERROR(MATCH(M$8,L_HOLS,0))),"H",IF(INDEX(L_WKNDVAL,WEEKDAY(M$8,1))=1,"WKND",INDEX(T_LEAVE[LEAVE CODE],SUMPRODUCT(--(T_LEAVE[NAME]=$B60),--(T_LEAVE[DATE]&lt;=M$8),--(T_LEAVE[DATE]&gt;=M$8),ROW(T_LEAVE[LEAVE CODE]))-ROW(T_LEAVE[#Headers]))))))),"")</f>
        <v/>
      </c>
      <c r="N60" s="75" t="str">
        <f>IFERROR(IF(N$8="","NA",IF(N$8&lt;INDEX(T_EMP[START DATE],ROW($B60)-ROW($B$8)),"NE",IF(AND(INDEX(T_EMP[TERMINATION DATE],ROW($B60)-ROW($B$8))&gt;0,N$8&gt;INDEX(T_EMP[TERMINATION DATE],ROW($B60)-ROW($B$8))),"NE",IF(NOT(ISERROR(MATCH(N$8,L_HOLS,0))),"H",IF(INDEX(L_WKNDVAL,WEEKDAY(N$8,1))=1,"WKND",INDEX(T_LEAVE[LEAVE CODE],SUMPRODUCT(--(T_LEAVE[NAME]=$B60),--(T_LEAVE[DATE]&lt;=N$8),--(T_LEAVE[DATE]&gt;=N$8),ROW(T_LEAVE[LEAVE CODE]))-ROW(T_LEAVE[#Headers]))))))),"")</f>
        <v/>
      </c>
      <c r="O60" s="75" t="str">
        <f>IFERROR(IF(O$8="","NA",IF(O$8&lt;INDEX(T_EMP[START DATE],ROW($B60)-ROW($B$8)),"NE",IF(AND(INDEX(T_EMP[TERMINATION DATE],ROW($B60)-ROW($B$8))&gt;0,O$8&gt;INDEX(T_EMP[TERMINATION DATE],ROW($B60)-ROW($B$8))),"NE",IF(NOT(ISERROR(MATCH(O$8,L_HOLS,0))),"H",IF(INDEX(L_WKNDVAL,WEEKDAY(O$8,1))=1,"WKND",INDEX(T_LEAVE[LEAVE CODE],SUMPRODUCT(--(T_LEAVE[NAME]=$B60),--(T_LEAVE[DATE]&lt;=O$8),--(T_LEAVE[DATE]&gt;=O$8),ROW(T_LEAVE[LEAVE CODE]))-ROW(T_LEAVE[#Headers]))))))),"")</f>
        <v/>
      </c>
      <c r="P60" s="75" t="str">
        <f>IFERROR(IF(P$8="","NA",IF(P$8&lt;INDEX(T_EMP[START DATE],ROW($B60)-ROW($B$8)),"NE",IF(AND(INDEX(T_EMP[TERMINATION DATE],ROW($B60)-ROW($B$8))&gt;0,P$8&gt;INDEX(T_EMP[TERMINATION DATE],ROW($B60)-ROW($B$8))),"NE",IF(NOT(ISERROR(MATCH(P$8,L_HOLS,0))),"H",IF(INDEX(L_WKNDVAL,WEEKDAY(P$8,1))=1,"WKND",INDEX(T_LEAVE[LEAVE CODE],SUMPRODUCT(--(T_LEAVE[NAME]=$B60),--(T_LEAVE[DATE]&lt;=P$8),--(T_LEAVE[DATE]&gt;=P$8),ROW(T_LEAVE[LEAVE CODE]))-ROW(T_LEAVE[#Headers]))))))),"")</f>
        <v>H</v>
      </c>
      <c r="Q60" s="75" t="str">
        <f>IFERROR(IF(Q$8="","NA",IF(Q$8&lt;INDEX(T_EMP[START DATE],ROW($B60)-ROW($B$8)),"NE",IF(AND(INDEX(T_EMP[TERMINATION DATE],ROW($B60)-ROW($B$8))&gt;0,Q$8&gt;INDEX(T_EMP[TERMINATION DATE],ROW($B60)-ROW($B$8))),"NE",IF(NOT(ISERROR(MATCH(Q$8,L_HOLS,0))),"H",IF(INDEX(L_WKNDVAL,WEEKDAY(Q$8,1))=1,"WKND",INDEX(T_LEAVE[LEAVE CODE],SUMPRODUCT(--(T_LEAVE[NAME]=$B60),--(T_LEAVE[DATE]&lt;=Q$8),--(T_LEAVE[DATE]&gt;=Q$8),ROW(T_LEAVE[LEAVE CODE]))-ROW(T_LEAVE[#Headers]))))))),"")</f>
        <v/>
      </c>
      <c r="R60" s="75" t="str">
        <f>IFERROR(IF(R$8="","NA",IF(R$8&lt;INDEX(T_EMP[START DATE],ROW($B60)-ROW($B$8)),"NE",IF(AND(INDEX(T_EMP[TERMINATION DATE],ROW($B60)-ROW($B$8))&gt;0,R$8&gt;INDEX(T_EMP[TERMINATION DATE],ROW($B60)-ROW($B$8))),"NE",IF(NOT(ISERROR(MATCH(R$8,L_HOLS,0))),"H",IF(INDEX(L_WKNDVAL,WEEKDAY(R$8,1))=1,"WKND",INDEX(T_LEAVE[LEAVE CODE],SUMPRODUCT(--(T_LEAVE[NAME]=$B60),--(T_LEAVE[DATE]&lt;=R$8),--(T_LEAVE[DATE]&gt;=R$8),ROW(T_LEAVE[LEAVE CODE]))-ROW(T_LEAVE[#Headers]))))))),"")</f>
        <v/>
      </c>
      <c r="S60" s="75" t="str">
        <f>IFERROR(IF(S$8="","NA",IF(S$8&lt;INDEX(T_EMP[START DATE],ROW($B60)-ROW($B$8)),"NE",IF(AND(INDEX(T_EMP[TERMINATION DATE],ROW($B60)-ROW($B$8))&gt;0,S$8&gt;INDEX(T_EMP[TERMINATION DATE],ROW($B60)-ROW($B$8))),"NE",IF(NOT(ISERROR(MATCH(S$8,L_HOLS,0))),"H",IF(INDEX(L_WKNDVAL,WEEKDAY(S$8,1))=1,"WKND",INDEX(T_LEAVE[LEAVE CODE],SUMPRODUCT(--(T_LEAVE[NAME]=$B60),--(T_LEAVE[DATE]&lt;=S$8),--(T_LEAVE[DATE]&gt;=S$8),ROW(T_LEAVE[LEAVE CODE]))-ROW(T_LEAVE[#Headers]))))))),"")</f>
        <v/>
      </c>
      <c r="T60" s="75" t="str">
        <f>IFERROR(IF(T$8="","NA",IF(T$8&lt;INDEX(T_EMP[START DATE],ROW($B60)-ROW($B$8)),"NE",IF(AND(INDEX(T_EMP[TERMINATION DATE],ROW($B60)-ROW($B$8))&gt;0,T$8&gt;INDEX(T_EMP[TERMINATION DATE],ROW($B60)-ROW($B$8))),"NE",IF(NOT(ISERROR(MATCH(T$8,L_HOLS,0))),"H",IF(INDEX(L_WKNDVAL,WEEKDAY(T$8,1))=1,"WKND",INDEX(T_LEAVE[LEAVE CODE],SUMPRODUCT(--(T_LEAVE[NAME]=$B60),--(T_LEAVE[DATE]&lt;=T$8),--(T_LEAVE[DATE]&gt;=T$8),ROW(T_LEAVE[LEAVE CODE]))-ROW(T_LEAVE[#Headers]))))))),"")</f>
        <v/>
      </c>
      <c r="U60" s="75" t="str">
        <f>IFERROR(IF(U$8="","NA",IF(U$8&lt;INDEX(T_EMP[START DATE],ROW($B60)-ROW($B$8)),"NE",IF(AND(INDEX(T_EMP[TERMINATION DATE],ROW($B60)-ROW($B$8))&gt;0,U$8&gt;INDEX(T_EMP[TERMINATION DATE],ROW($B60)-ROW($B$8))),"NE",IF(NOT(ISERROR(MATCH(U$8,L_HOLS,0))),"H",IF(INDEX(L_WKNDVAL,WEEKDAY(U$8,1))=1,"WKND",INDEX(T_LEAVE[LEAVE CODE],SUMPRODUCT(--(T_LEAVE[NAME]=$B60),--(T_LEAVE[DATE]&lt;=U$8),--(T_LEAVE[DATE]&gt;=U$8),ROW(T_LEAVE[LEAVE CODE]))-ROW(T_LEAVE[#Headers]))))))),"")</f>
        <v/>
      </c>
      <c r="V60" s="75" t="str">
        <f>IFERROR(IF(V$8="","NA",IF(V$8&lt;INDEX(T_EMP[START DATE],ROW($B60)-ROW($B$8)),"NE",IF(AND(INDEX(T_EMP[TERMINATION DATE],ROW($B60)-ROW($B$8))&gt;0,V$8&gt;INDEX(T_EMP[TERMINATION DATE],ROW($B60)-ROW($B$8))),"NE",IF(NOT(ISERROR(MATCH(V$8,L_HOLS,0))),"H",IF(INDEX(L_WKNDVAL,WEEKDAY(V$8,1))=1,"WKND",INDEX(T_LEAVE[LEAVE CODE],SUMPRODUCT(--(T_LEAVE[NAME]=$B60),--(T_LEAVE[DATE]&lt;=V$8),--(T_LEAVE[DATE]&gt;=V$8),ROW(T_LEAVE[LEAVE CODE]))-ROW(T_LEAVE[#Headers]))))))),"")</f>
        <v/>
      </c>
      <c r="W60" s="75" t="str">
        <f>IFERROR(IF(W$8="","NA",IF(W$8&lt;INDEX(T_EMP[START DATE],ROW($B60)-ROW($B$8)),"NE",IF(AND(INDEX(T_EMP[TERMINATION DATE],ROW($B60)-ROW($B$8))&gt;0,W$8&gt;INDEX(T_EMP[TERMINATION DATE],ROW($B60)-ROW($B$8))),"NE",IF(NOT(ISERROR(MATCH(W$8,L_HOLS,0))),"H",IF(INDEX(L_WKNDVAL,WEEKDAY(W$8,1))=1,"WKND",INDEX(T_LEAVE[LEAVE CODE],SUMPRODUCT(--(T_LEAVE[NAME]=$B60),--(T_LEAVE[DATE]&lt;=W$8),--(T_LEAVE[DATE]&gt;=W$8),ROW(T_LEAVE[LEAVE CODE]))-ROW(T_LEAVE[#Headers]))))))),"")</f>
        <v/>
      </c>
      <c r="X60" s="75" t="str">
        <f>IFERROR(IF(X$8="","NA",IF(X$8&lt;INDEX(T_EMP[START DATE],ROW($B60)-ROW($B$8)),"NE",IF(AND(INDEX(T_EMP[TERMINATION DATE],ROW($B60)-ROW($B$8))&gt;0,X$8&gt;INDEX(T_EMP[TERMINATION DATE],ROW($B60)-ROW($B$8))),"NE",IF(NOT(ISERROR(MATCH(X$8,L_HOLS,0))),"H",IF(INDEX(L_WKNDVAL,WEEKDAY(X$8,1))=1,"WKND",INDEX(T_LEAVE[LEAVE CODE],SUMPRODUCT(--(T_LEAVE[NAME]=$B60),--(T_LEAVE[DATE]&lt;=X$8),--(T_LEAVE[DATE]&gt;=X$8),ROW(T_LEAVE[LEAVE CODE]))-ROW(T_LEAVE[#Headers]))))))),"")</f>
        <v/>
      </c>
      <c r="Y60" s="75" t="str">
        <f>IFERROR(IF(Y$8="","NA",IF(Y$8&lt;INDEX(T_EMP[START DATE],ROW($B60)-ROW($B$8)),"NE",IF(AND(INDEX(T_EMP[TERMINATION DATE],ROW($B60)-ROW($B$8))&gt;0,Y$8&gt;INDEX(T_EMP[TERMINATION DATE],ROW($B60)-ROW($B$8))),"NE",IF(NOT(ISERROR(MATCH(Y$8,L_HOLS,0))),"H",IF(INDEX(L_WKNDVAL,WEEKDAY(Y$8,1))=1,"WKND",INDEX(T_LEAVE[LEAVE CODE],SUMPRODUCT(--(T_LEAVE[NAME]=$B60),--(T_LEAVE[DATE]&lt;=Y$8),--(T_LEAVE[DATE]&gt;=Y$8),ROW(T_LEAVE[LEAVE CODE]))-ROW(T_LEAVE[#Headers]))))))),"")</f>
        <v/>
      </c>
      <c r="Z60" s="75" t="str">
        <f>IFERROR(IF(Z$8="","NA",IF(Z$8&lt;INDEX(T_EMP[START DATE],ROW($B60)-ROW($B$8)),"NE",IF(AND(INDEX(T_EMP[TERMINATION DATE],ROW($B60)-ROW($B$8))&gt;0,Z$8&gt;INDEX(T_EMP[TERMINATION DATE],ROW($B60)-ROW($B$8))),"NE",IF(NOT(ISERROR(MATCH(Z$8,L_HOLS,0))),"H",IF(INDEX(L_WKNDVAL,WEEKDAY(Z$8,1))=1,"WKND",INDEX(T_LEAVE[LEAVE CODE],SUMPRODUCT(--(T_LEAVE[NAME]=$B60),--(T_LEAVE[DATE]&lt;=Z$8),--(T_LEAVE[DATE]&gt;=Z$8),ROW(T_LEAVE[LEAVE CODE]))-ROW(T_LEAVE[#Headers]))))))),"")</f>
        <v/>
      </c>
      <c r="AA60" s="75" t="str">
        <f>IFERROR(IF(AA$8="","NA",IF(AA$8&lt;INDEX(T_EMP[START DATE],ROW($B60)-ROW($B$8)),"NE",IF(AND(INDEX(T_EMP[TERMINATION DATE],ROW($B60)-ROW($B$8))&gt;0,AA$8&gt;INDEX(T_EMP[TERMINATION DATE],ROW($B60)-ROW($B$8))),"NE",IF(NOT(ISERROR(MATCH(AA$8,L_HOLS,0))),"H",IF(INDEX(L_WKNDVAL,WEEKDAY(AA$8,1))=1,"WKND",INDEX(T_LEAVE[LEAVE CODE],SUMPRODUCT(--(T_LEAVE[NAME]=$B60),--(T_LEAVE[DATE]&lt;=AA$8),--(T_LEAVE[DATE]&gt;=AA$8),ROW(T_LEAVE[LEAVE CODE]))-ROW(T_LEAVE[#Headers]))))))),"")</f>
        <v/>
      </c>
      <c r="AB60" s="75" t="str">
        <f>IFERROR(IF(AB$8="","NA",IF(AB$8&lt;INDEX(T_EMP[START DATE],ROW($B60)-ROW($B$8)),"NE",IF(AND(INDEX(T_EMP[TERMINATION DATE],ROW($B60)-ROW($B$8))&gt;0,AB$8&gt;INDEX(T_EMP[TERMINATION DATE],ROW($B60)-ROW($B$8))),"NE",IF(NOT(ISERROR(MATCH(AB$8,L_HOLS,0))),"H",IF(INDEX(L_WKNDVAL,WEEKDAY(AB$8,1))=1,"WKND",INDEX(T_LEAVE[LEAVE CODE],SUMPRODUCT(--(T_LEAVE[NAME]=$B60),--(T_LEAVE[DATE]&lt;=AB$8),--(T_LEAVE[DATE]&gt;=AB$8),ROW(T_LEAVE[LEAVE CODE]))-ROW(T_LEAVE[#Headers]))))))),"")</f>
        <v/>
      </c>
      <c r="AC60" s="75" t="str">
        <f>IFERROR(IF(AC$8="","NA",IF(AC$8&lt;INDEX(T_EMP[START DATE],ROW($B60)-ROW($B$8)),"NE",IF(AND(INDEX(T_EMP[TERMINATION DATE],ROW($B60)-ROW($B$8))&gt;0,AC$8&gt;INDEX(T_EMP[TERMINATION DATE],ROW($B60)-ROW($B$8))),"NE",IF(NOT(ISERROR(MATCH(AC$8,L_HOLS,0))),"H",IF(INDEX(L_WKNDVAL,WEEKDAY(AC$8,1))=1,"WKND",INDEX(T_LEAVE[LEAVE CODE],SUMPRODUCT(--(T_LEAVE[NAME]=$B60),--(T_LEAVE[DATE]&lt;=AC$8),--(T_LEAVE[DATE]&gt;=AC$8),ROW(T_LEAVE[LEAVE CODE]))-ROW(T_LEAVE[#Headers]))))))),"")</f>
        <v/>
      </c>
      <c r="AD60" s="75" t="str">
        <f>IFERROR(IF(AD$8="","NA",IF(AD$8&lt;INDEX(T_EMP[START DATE],ROW($B60)-ROW($B$8)),"NE",IF(AND(INDEX(T_EMP[TERMINATION DATE],ROW($B60)-ROW($B$8))&gt;0,AD$8&gt;INDEX(T_EMP[TERMINATION DATE],ROW($B60)-ROW($B$8))),"NE",IF(NOT(ISERROR(MATCH(AD$8,L_HOLS,0))),"H",IF(INDEX(L_WKNDVAL,WEEKDAY(AD$8,1))=1,"WKND",INDEX(T_LEAVE[LEAVE CODE],SUMPRODUCT(--(T_LEAVE[NAME]=$B60),--(T_LEAVE[DATE]&lt;=AD$8),--(T_LEAVE[DATE]&gt;=AD$8),ROW(T_LEAVE[LEAVE CODE]))-ROW(T_LEAVE[#Headers]))))))),"")</f>
        <v/>
      </c>
      <c r="AE60" s="75" t="str">
        <f>IFERROR(IF(AE$8="","NA",IF(AE$8&lt;INDEX(T_EMP[START DATE],ROW($B60)-ROW($B$8)),"NE",IF(AND(INDEX(T_EMP[TERMINATION DATE],ROW($B60)-ROW($B$8))&gt;0,AE$8&gt;INDEX(T_EMP[TERMINATION DATE],ROW($B60)-ROW($B$8))),"NE",IF(NOT(ISERROR(MATCH(AE$8,L_HOLS,0))),"H",IF(INDEX(L_WKNDVAL,WEEKDAY(AE$8,1))=1,"WKND",INDEX(T_LEAVE[LEAVE CODE],SUMPRODUCT(--(T_LEAVE[NAME]=$B60),--(T_LEAVE[DATE]&lt;=AE$8),--(T_LEAVE[DATE]&gt;=AE$8),ROW(T_LEAVE[LEAVE CODE]))-ROW(T_LEAVE[#Headers]))))))),"")</f>
        <v/>
      </c>
      <c r="AF60" s="75" t="str">
        <f>IFERROR(IF(AF$8="","NA",IF(AF$8&lt;INDEX(T_EMP[START DATE],ROW($B60)-ROW($B$8)),"NE",IF(AND(INDEX(T_EMP[TERMINATION DATE],ROW($B60)-ROW($B$8))&gt;0,AF$8&gt;INDEX(T_EMP[TERMINATION DATE],ROW($B60)-ROW($B$8))),"NE",IF(NOT(ISERROR(MATCH(AF$8,L_HOLS,0))),"H",IF(INDEX(L_WKNDVAL,WEEKDAY(AF$8,1))=1,"WKND",INDEX(T_LEAVE[LEAVE CODE],SUMPRODUCT(--(T_LEAVE[NAME]=$B60),--(T_LEAVE[DATE]&lt;=AF$8),--(T_LEAVE[DATE]&gt;=AF$8),ROW(T_LEAVE[LEAVE CODE]))-ROW(T_LEAVE[#Headers]))))))),"")</f>
        <v/>
      </c>
      <c r="AG60" s="75" t="str">
        <f>IFERROR(IF(AG$8="","NA",IF(AG$8&lt;INDEX(T_EMP[START DATE],ROW($B60)-ROW($B$8)),"NE",IF(AND(INDEX(T_EMP[TERMINATION DATE],ROW($B60)-ROW($B$8))&gt;0,AG$8&gt;INDEX(T_EMP[TERMINATION DATE],ROW($B60)-ROW($B$8))),"NE",IF(NOT(ISERROR(MATCH(AG$8,L_HOLS,0))),"H",IF(INDEX(L_WKNDVAL,WEEKDAY(AG$8,1))=1,"WKND",INDEX(T_LEAVE[LEAVE CODE],SUMPRODUCT(--(T_LEAVE[NAME]=$B60),--(T_LEAVE[DATE]&lt;=AG$8),--(T_LEAVE[DATE]&gt;=AG$8),ROW(T_LEAVE[LEAVE CODE]))-ROW(T_LEAVE[#Headers]))))))),"")</f>
        <v/>
      </c>
      <c r="AH60" s="75" t="str">
        <f>IFERROR(IF(AH$8="","NA",IF(AH$8&lt;INDEX(T_EMP[START DATE],ROW($B60)-ROW($B$8)),"NE",IF(AND(INDEX(T_EMP[TERMINATION DATE],ROW($B60)-ROW($B$8))&gt;0,AH$8&gt;INDEX(T_EMP[TERMINATION DATE],ROW($B60)-ROW($B$8))),"NE",IF(NOT(ISERROR(MATCH(AH$8,L_HOLS,0))),"H",IF(INDEX(L_WKNDVAL,WEEKDAY(AH$8,1))=1,"WKND",INDEX(T_LEAVE[LEAVE CODE],SUMPRODUCT(--(T_LEAVE[NAME]=$B60),--(T_LEAVE[DATE]&lt;=AH$8),--(T_LEAVE[DATE]&gt;=AH$8),ROW(T_LEAVE[LEAVE CODE]))-ROW(T_LEAVE[#Headers]))))))),"")</f>
        <v/>
      </c>
      <c r="AJ60" s="88">
        <f>IF(OR($B60="",AJ$8=""),"",COUNTIFS($D60:$AH60,AJ$8)*INDEX(T_LEAVETYPE[DAY VALUE],1))</f>
        <v>0</v>
      </c>
      <c r="AK60" s="88">
        <f>IF(OR($B60="",AK$8=""),"",COUNTIFS($D60:$AH60,AK$8)*INDEX(T_LEAVETYPE[DAY VALUE],1))</f>
        <v>0</v>
      </c>
      <c r="AL60" s="88">
        <f>IF(OR($B60="",AL$8=""),"",COUNTIFS($D60:$AH60,AL$8)*INDEX(T_LEAVETYPE[DAY VALUE],1))</f>
        <v>0</v>
      </c>
      <c r="AM60" s="88">
        <f>IF(OR($B60="",AM$8=""),"",COUNTIFS($D60:$AH60,AM$8)*INDEX(T_LEAVETYPE[DAY VALUE],1))</f>
        <v>0</v>
      </c>
      <c r="AN60" s="88">
        <f>IF(OR($B60="",AN$8=""),"",COUNTIFS($D60:$AH60,AN$8)*INDEX(T_LEAVETYPE[DAY VALUE],1))</f>
        <v>0</v>
      </c>
      <c r="AO60" s="88">
        <f>IF(OR($B60="",AO$8=""),"",COUNTIFS($D60:$AH60,AO$8)*INDEX(T_LEAVETYPE[DAY VALUE],6))</f>
        <v>0</v>
      </c>
      <c r="AP60" s="88">
        <f>IF(OR($B60="",AP$8=""),"",COUNTIFS($D60:$AH60,AP$8)*INDEX(T_LEAVETYPE[DAY VALUE],7))</f>
        <v>0</v>
      </c>
      <c r="AQ60" s="88">
        <f>IF(OR($B60="",AQ$8=""),"",COUNTIFS($D60:$AH60,AQ$8)*INDEX(T_LEAVETYPE[DAY VALUE],8))</f>
        <v>0</v>
      </c>
      <c r="AR60" s="89">
        <f t="shared" si="5"/>
        <v>0</v>
      </c>
    </row>
    <row r="61" spans="1:44" x14ac:dyDescent="0.25">
      <c r="A61" s="90">
        <f t="shared" si="4"/>
        <v>53</v>
      </c>
      <c r="B61" s="74" t="str">
        <f>IFERROR(INDEX(T_EMP[NAME],ROW(B61)-ROW($B$8)),"")</f>
        <v>AMADO, CARLO</v>
      </c>
      <c r="C61" s="91" t="str">
        <f>IFERROR(INDEX(T_EMP[DEPARTMENT],ROW(B61)-ROW($C$8)),"")</f>
        <v>OPERATIONS</v>
      </c>
      <c r="D61" s="75" t="str">
        <f>IFERROR(IF(D$8="","NA",IF(D$8&lt;INDEX(T_EMP[START DATE],ROW($B61)-ROW($B$8)),"NE",IF(AND(INDEX(T_EMP[TERMINATION DATE],ROW($B61)-ROW($B$8))&gt;0,D$8&gt;INDEX(T_EMP[TERMINATION DATE],ROW($B61)-ROW($B$8))),"NE",IF(NOT(ISERROR(MATCH(D$8,L_HOLS,0))),"H",IF(INDEX(L_WKNDVAL,WEEKDAY(D$8,1))=1,"WKND",INDEX(T_LEAVE[LEAVE CODE],SUMPRODUCT(--(T_LEAVE[NAME]=$B61),--(T_LEAVE[DATE]&lt;=D$8),--(T_LEAVE[DATE]&gt;=D$8),ROW(T_LEAVE[LEAVE CODE]))-ROW(T_LEAVE[#Headers]))))))),"")</f>
        <v>H</v>
      </c>
      <c r="E61" s="75" t="str">
        <f>IFERROR(IF(E$8="","NA",IF(E$8&lt;INDEX(T_EMP[START DATE],ROW($B61)-ROW($B$8)),"NE",IF(AND(INDEX(T_EMP[TERMINATION DATE],ROW($B61)-ROW($B$8))&gt;0,E$8&gt;INDEX(T_EMP[TERMINATION DATE],ROW($B61)-ROW($B$8))),"NE",IF(NOT(ISERROR(MATCH(E$8,L_HOLS,0))),"H",IF(INDEX(L_WKNDVAL,WEEKDAY(E$8,1))=1,"WKND",INDEX(T_LEAVE[LEAVE CODE],SUMPRODUCT(--(T_LEAVE[NAME]=$B61),--(T_LEAVE[DATE]&lt;=E$8),--(T_LEAVE[DATE]&gt;=E$8),ROW(T_LEAVE[LEAVE CODE]))-ROW(T_LEAVE[#Headers]))))))),"")</f>
        <v/>
      </c>
      <c r="F61" s="75" t="str">
        <f>IFERROR(IF(F$8="","NA",IF(F$8&lt;INDEX(T_EMP[START DATE],ROW($B61)-ROW($B$8)),"NE",IF(AND(INDEX(T_EMP[TERMINATION DATE],ROW($B61)-ROW($B$8))&gt;0,F$8&gt;INDEX(T_EMP[TERMINATION DATE],ROW($B61)-ROW($B$8))),"NE",IF(NOT(ISERROR(MATCH(F$8,L_HOLS,0))),"H",IF(INDEX(L_WKNDVAL,WEEKDAY(F$8,1))=1,"WKND",INDEX(T_LEAVE[LEAVE CODE],SUMPRODUCT(--(T_LEAVE[NAME]=$B61),--(T_LEAVE[DATE]&lt;=F$8),--(T_LEAVE[DATE]&gt;=F$8),ROW(T_LEAVE[LEAVE CODE]))-ROW(T_LEAVE[#Headers]))))))),"")</f>
        <v/>
      </c>
      <c r="G61" s="75" t="str">
        <f>IFERROR(IF(G$8="","NA",IF(G$8&lt;INDEX(T_EMP[START DATE],ROW($B61)-ROW($B$8)),"NE",IF(AND(INDEX(T_EMP[TERMINATION DATE],ROW($B61)-ROW($B$8))&gt;0,G$8&gt;INDEX(T_EMP[TERMINATION DATE],ROW($B61)-ROW($B$8))),"NE",IF(NOT(ISERROR(MATCH(G$8,L_HOLS,0))),"H",IF(INDEX(L_WKNDVAL,WEEKDAY(G$8,1))=1,"WKND",INDEX(T_LEAVE[LEAVE CODE],SUMPRODUCT(--(T_LEAVE[NAME]=$B61),--(T_LEAVE[DATE]&lt;=G$8),--(T_LEAVE[DATE]&gt;=G$8),ROW(T_LEAVE[LEAVE CODE]))-ROW(T_LEAVE[#Headers]))))))),"")</f>
        <v/>
      </c>
      <c r="H61" s="75" t="str">
        <f>IFERROR(IF(H$8="","NA",IF(H$8&lt;INDEX(T_EMP[START DATE],ROW($B61)-ROW($B$8)),"NE",IF(AND(INDEX(T_EMP[TERMINATION DATE],ROW($B61)-ROW($B$8))&gt;0,H$8&gt;INDEX(T_EMP[TERMINATION DATE],ROW($B61)-ROW($B$8))),"NE",IF(NOT(ISERROR(MATCH(H$8,L_HOLS,0))),"H",IF(INDEX(L_WKNDVAL,WEEKDAY(H$8,1))=1,"WKND",INDEX(T_LEAVE[LEAVE CODE],SUMPRODUCT(--(T_LEAVE[NAME]=$B61),--(T_LEAVE[DATE]&lt;=H$8),--(T_LEAVE[DATE]&gt;=H$8),ROW(T_LEAVE[LEAVE CODE]))-ROW(T_LEAVE[#Headers]))))))),"")</f>
        <v/>
      </c>
      <c r="I61" s="75" t="str">
        <f>IFERROR(IF(I$8="","NA",IF(I$8&lt;INDEX(T_EMP[START DATE],ROW($B61)-ROW($B$8)),"NE",IF(AND(INDEX(T_EMP[TERMINATION DATE],ROW($B61)-ROW($B$8))&gt;0,I$8&gt;INDEX(T_EMP[TERMINATION DATE],ROW($B61)-ROW($B$8))),"NE",IF(NOT(ISERROR(MATCH(I$8,L_HOLS,0))),"H",IF(INDEX(L_WKNDVAL,WEEKDAY(I$8,1))=1,"WKND",INDEX(T_LEAVE[LEAVE CODE],SUMPRODUCT(--(T_LEAVE[NAME]=$B61),--(T_LEAVE[DATE]&lt;=I$8),--(T_LEAVE[DATE]&gt;=I$8),ROW(T_LEAVE[LEAVE CODE]))-ROW(T_LEAVE[#Headers]))))))),"")</f>
        <v/>
      </c>
      <c r="J61" s="75" t="str">
        <f>IFERROR(IF(J$8="","NA",IF(J$8&lt;INDEX(T_EMP[START DATE],ROW($B61)-ROW($B$8)),"NE",IF(AND(INDEX(T_EMP[TERMINATION DATE],ROW($B61)-ROW($B$8))&gt;0,J$8&gt;INDEX(T_EMP[TERMINATION DATE],ROW($B61)-ROW($B$8))),"NE",IF(NOT(ISERROR(MATCH(J$8,L_HOLS,0))),"H",IF(INDEX(L_WKNDVAL,WEEKDAY(J$8,1))=1,"WKND",INDEX(T_LEAVE[LEAVE CODE],SUMPRODUCT(--(T_LEAVE[NAME]=$B61),--(T_LEAVE[DATE]&lt;=J$8),--(T_LEAVE[DATE]&gt;=J$8),ROW(T_LEAVE[LEAVE CODE]))-ROW(T_LEAVE[#Headers]))))))),"")</f>
        <v/>
      </c>
      <c r="K61" s="75" t="str">
        <f>IFERROR(IF(K$8="","NA",IF(K$8&lt;INDEX(T_EMP[START DATE],ROW($B61)-ROW($B$8)),"NE",IF(AND(INDEX(T_EMP[TERMINATION DATE],ROW($B61)-ROW($B$8))&gt;0,K$8&gt;INDEX(T_EMP[TERMINATION DATE],ROW($B61)-ROW($B$8))),"NE",IF(NOT(ISERROR(MATCH(K$8,L_HOLS,0))),"H",IF(INDEX(L_WKNDVAL,WEEKDAY(K$8,1))=1,"WKND",INDEX(T_LEAVE[LEAVE CODE],SUMPRODUCT(--(T_LEAVE[NAME]=$B61),--(T_LEAVE[DATE]&lt;=K$8),--(T_LEAVE[DATE]&gt;=K$8),ROW(T_LEAVE[LEAVE CODE]))-ROW(T_LEAVE[#Headers]))))))),"")</f>
        <v/>
      </c>
      <c r="L61" s="75" t="str">
        <f>IFERROR(IF(L$8="","NA",IF(L$8&lt;INDEX(T_EMP[START DATE],ROW($B61)-ROW($B$8)),"NE",IF(AND(INDEX(T_EMP[TERMINATION DATE],ROW($B61)-ROW($B$8))&gt;0,L$8&gt;INDEX(T_EMP[TERMINATION DATE],ROW($B61)-ROW($B$8))),"NE",IF(NOT(ISERROR(MATCH(L$8,L_HOLS,0))),"H",IF(INDEX(L_WKNDVAL,WEEKDAY(L$8,1))=1,"WKND",INDEX(T_LEAVE[LEAVE CODE],SUMPRODUCT(--(T_LEAVE[NAME]=$B61),--(T_LEAVE[DATE]&lt;=L$8),--(T_LEAVE[DATE]&gt;=L$8),ROW(T_LEAVE[LEAVE CODE]))-ROW(T_LEAVE[#Headers]))))))),"")</f>
        <v/>
      </c>
      <c r="M61" s="75" t="str">
        <f>IFERROR(IF(M$8="","NA",IF(M$8&lt;INDEX(T_EMP[START DATE],ROW($B61)-ROW($B$8)),"NE",IF(AND(INDEX(T_EMP[TERMINATION DATE],ROW($B61)-ROW($B$8))&gt;0,M$8&gt;INDEX(T_EMP[TERMINATION DATE],ROW($B61)-ROW($B$8))),"NE",IF(NOT(ISERROR(MATCH(M$8,L_HOLS,0))),"H",IF(INDEX(L_WKNDVAL,WEEKDAY(M$8,1))=1,"WKND",INDEX(T_LEAVE[LEAVE CODE],SUMPRODUCT(--(T_LEAVE[NAME]=$B61),--(T_LEAVE[DATE]&lt;=M$8),--(T_LEAVE[DATE]&gt;=M$8),ROW(T_LEAVE[LEAVE CODE]))-ROW(T_LEAVE[#Headers]))))))),"")</f>
        <v/>
      </c>
      <c r="N61" s="75" t="str">
        <f>IFERROR(IF(N$8="","NA",IF(N$8&lt;INDEX(T_EMP[START DATE],ROW($B61)-ROW($B$8)),"NE",IF(AND(INDEX(T_EMP[TERMINATION DATE],ROW($B61)-ROW($B$8))&gt;0,N$8&gt;INDEX(T_EMP[TERMINATION DATE],ROW($B61)-ROW($B$8))),"NE",IF(NOT(ISERROR(MATCH(N$8,L_HOLS,0))),"H",IF(INDEX(L_WKNDVAL,WEEKDAY(N$8,1))=1,"WKND",INDEX(T_LEAVE[LEAVE CODE],SUMPRODUCT(--(T_LEAVE[NAME]=$B61),--(T_LEAVE[DATE]&lt;=N$8),--(T_LEAVE[DATE]&gt;=N$8),ROW(T_LEAVE[LEAVE CODE]))-ROW(T_LEAVE[#Headers]))))))),"")</f>
        <v/>
      </c>
      <c r="O61" s="75" t="str">
        <f>IFERROR(IF(O$8="","NA",IF(O$8&lt;INDEX(T_EMP[START DATE],ROW($B61)-ROW($B$8)),"NE",IF(AND(INDEX(T_EMP[TERMINATION DATE],ROW($B61)-ROW($B$8))&gt;0,O$8&gt;INDEX(T_EMP[TERMINATION DATE],ROW($B61)-ROW($B$8))),"NE",IF(NOT(ISERROR(MATCH(O$8,L_HOLS,0))),"H",IF(INDEX(L_WKNDVAL,WEEKDAY(O$8,1))=1,"WKND",INDEX(T_LEAVE[LEAVE CODE],SUMPRODUCT(--(T_LEAVE[NAME]=$B61),--(T_LEAVE[DATE]&lt;=O$8),--(T_LEAVE[DATE]&gt;=O$8),ROW(T_LEAVE[LEAVE CODE]))-ROW(T_LEAVE[#Headers]))))))),"")</f>
        <v/>
      </c>
      <c r="P61" s="75" t="str">
        <f>IFERROR(IF(P$8="","NA",IF(P$8&lt;INDEX(T_EMP[START DATE],ROW($B61)-ROW($B$8)),"NE",IF(AND(INDEX(T_EMP[TERMINATION DATE],ROW($B61)-ROW($B$8))&gt;0,P$8&gt;INDEX(T_EMP[TERMINATION DATE],ROW($B61)-ROW($B$8))),"NE",IF(NOT(ISERROR(MATCH(P$8,L_HOLS,0))),"H",IF(INDEX(L_WKNDVAL,WEEKDAY(P$8,1))=1,"WKND",INDEX(T_LEAVE[LEAVE CODE],SUMPRODUCT(--(T_LEAVE[NAME]=$B61),--(T_LEAVE[DATE]&lt;=P$8),--(T_LEAVE[DATE]&gt;=P$8),ROW(T_LEAVE[LEAVE CODE]))-ROW(T_LEAVE[#Headers]))))))),"")</f>
        <v>H</v>
      </c>
      <c r="Q61" s="75" t="str">
        <f>IFERROR(IF(Q$8="","NA",IF(Q$8&lt;INDEX(T_EMP[START DATE],ROW($B61)-ROW($B$8)),"NE",IF(AND(INDEX(T_EMP[TERMINATION DATE],ROW($B61)-ROW($B$8))&gt;0,Q$8&gt;INDEX(T_EMP[TERMINATION DATE],ROW($B61)-ROW($B$8))),"NE",IF(NOT(ISERROR(MATCH(Q$8,L_HOLS,0))),"H",IF(INDEX(L_WKNDVAL,WEEKDAY(Q$8,1))=1,"WKND",INDEX(T_LEAVE[LEAVE CODE],SUMPRODUCT(--(T_LEAVE[NAME]=$B61),--(T_LEAVE[DATE]&lt;=Q$8),--(T_LEAVE[DATE]&gt;=Q$8),ROW(T_LEAVE[LEAVE CODE]))-ROW(T_LEAVE[#Headers]))))))),"")</f>
        <v/>
      </c>
      <c r="R61" s="75" t="str">
        <f>IFERROR(IF(R$8="","NA",IF(R$8&lt;INDEX(T_EMP[START DATE],ROW($B61)-ROW($B$8)),"NE",IF(AND(INDEX(T_EMP[TERMINATION DATE],ROW($B61)-ROW($B$8))&gt;0,R$8&gt;INDEX(T_EMP[TERMINATION DATE],ROW($B61)-ROW($B$8))),"NE",IF(NOT(ISERROR(MATCH(R$8,L_HOLS,0))),"H",IF(INDEX(L_WKNDVAL,WEEKDAY(R$8,1))=1,"WKND",INDEX(T_LEAVE[LEAVE CODE],SUMPRODUCT(--(T_LEAVE[NAME]=$B61),--(T_LEAVE[DATE]&lt;=R$8),--(T_LEAVE[DATE]&gt;=R$8),ROW(T_LEAVE[LEAVE CODE]))-ROW(T_LEAVE[#Headers]))))))),"")</f>
        <v/>
      </c>
      <c r="S61" s="75" t="str">
        <f>IFERROR(IF(S$8="","NA",IF(S$8&lt;INDEX(T_EMP[START DATE],ROW($B61)-ROW($B$8)),"NE",IF(AND(INDEX(T_EMP[TERMINATION DATE],ROW($B61)-ROW($B$8))&gt;0,S$8&gt;INDEX(T_EMP[TERMINATION DATE],ROW($B61)-ROW($B$8))),"NE",IF(NOT(ISERROR(MATCH(S$8,L_HOLS,0))),"H",IF(INDEX(L_WKNDVAL,WEEKDAY(S$8,1))=1,"WKND",INDEX(T_LEAVE[LEAVE CODE],SUMPRODUCT(--(T_LEAVE[NAME]=$B61),--(T_LEAVE[DATE]&lt;=S$8),--(T_LEAVE[DATE]&gt;=S$8),ROW(T_LEAVE[LEAVE CODE]))-ROW(T_LEAVE[#Headers]))))))),"")</f>
        <v/>
      </c>
      <c r="T61" s="75" t="str">
        <f>IFERROR(IF(T$8="","NA",IF(T$8&lt;INDEX(T_EMP[START DATE],ROW($B61)-ROW($B$8)),"NE",IF(AND(INDEX(T_EMP[TERMINATION DATE],ROW($B61)-ROW($B$8))&gt;0,T$8&gt;INDEX(T_EMP[TERMINATION DATE],ROW($B61)-ROW($B$8))),"NE",IF(NOT(ISERROR(MATCH(T$8,L_HOLS,0))),"H",IF(INDEX(L_WKNDVAL,WEEKDAY(T$8,1))=1,"WKND",INDEX(T_LEAVE[LEAVE CODE],SUMPRODUCT(--(T_LEAVE[NAME]=$B61),--(T_LEAVE[DATE]&lt;=T$8),--(T_LEAVE[DATE]&gt;=T$8),ROW(T_LEAVE[LEAVE CODE]))-ROW(T_LEAVE[#Headers]))))))),"")</f>
        <v/>
      </c>
      <c r="U61" s="75" t="str">
        <f>IFERROR(IF(U$8="","NA",IF(U$8&lt;INDEX(T_EMP[START DATE],ROW($B61)-ROW($B$8)),"NE",IF(AND(INDEX(T_EMP[TERMINATION DATE],ROW($B61)-ROW($B$8))&gt;0,U$8&gt;INDEX(T_EMP[TERMINATION DATE],ROW($B61)-ROW($B$8))),"NE",IF(NOT(ISERROR(MATCH(U$8,L_HOLS,0))),"H",IF(INDEX(L_WKNDVAL,WEEKDAY(U$8,1))=1,"WKND",INDEX(T_LEAVE[LEAVE CODE],SUMPRODUCT(--(T_LEAVE[NAME]=$B61),--(T_LEAVE[DATE]&lt;=U$8),--(T_LEAVE[DATE]&gt;=U$8),ROW(T_LEAVE[LEAVE CODE]))-ROW(T_LEAVE[#Headers]))))))),"")</f>
        <v/>
      </c>
      <c r="V61" s="75" t="str">
        <f>IFERROR(IF(V$8="","NA",IF(V$8&lt;INDEX(T_EMP[START DATE],ROW($B61)-ROW($B$8)),"NE",IF(AND(INDEX(T_EMP[TERMINATION DATE],ROW($B61)-ROW($B$8))&gt;0,V$8&gt;INDEX(T_EMP[TERMINATION DATE],ROW($B61)-ROW($B$8))),"NE",IF(NOT(ISERROR(MATCH(V$8,L_HOLS,0))),"H",IF(INDEX(L_WKNDVAL,WEEKDAY(V$8,1))=1,"WKND",INDEX(T_LEAVE[LEAVE CODE],SUMPRODUCT(--(T_LEAVE[NAME]=$B61),--(T_LEAVE[DATE]&lt;=V$8),--(T_LEAVE[DATE]&gt;=V$8),ROW(T_LEAVE[LEAVE CODE]))-ROW(T_LEAVE[#Headers]))))))),"")</f>
        <v/>
      </c>
      <c r="W61" s="75" t="str">
        <f>IFERROR(IF(W$8="","NA",IF(W$8&lt;INDEX(T_EMP[START DATE],ROW($B61)-ROW($B$8)),"NE",IF(AND(INDEX(T_EMP[TERMINATION DATE],ROW($B61)-ROW($B$8))&gt;0,W$8&gt;INDEX(T_EMP[TERMINATION DATE],ROW($B61)-ROW($B$8))),"NE",IF(NOT(ISERROR(MATCH(W$8,L_HOLS,0))),"H",IF(INDEX(L_WKNDVAL,WEEKDAY(W$8,1))=1,"WKND",INDEX(T_LEAVE[LEAVE CODE],SUMPRODUCT(--(T_LEAVE[NAME]=$B61),--(T_LEAVE[DATE]&lt;=W$8),--(T_LEAVE[DATE]&gt;=W$8),ROW(T_LEAVE[LEAVE CODE]))-ROW(T_LEAVE[#Headers]))))))),"")</f>
        <v/>
      </c>
      <c r="X61" s="75" t="str">
        <f>IFERROR(IF(X$8="","NA",IF(X$8&lt;INDEX(T_EMP[START DATE],ROW($B61)-ROW($B$8)),"NE",IF(AND(INDEX(T_EMP[TERMINATION DATE],ROW($B61)-ROW($B$8))&gt;0,X$8&gt;INDEX(T_EMP[TERMINATION DATE],ROW($B61)-ROW($B$8))),"NE",IF(NOT(ISERROR(MATCH(X$8,L_HOLS,0))),"H",IF(INDEX(L_WKNDVAL,WEEKDAY(X$8,1))=1,"WKND",INDEX(T_LEAVE[LEAVE CODE],SUMPRODUCT(--(T_LEAVE[NAME]=$B61),--(T_LEAVE[DATE]&lt;=X$8),--(T_LEAVE[DATE]&gt;=X$8),ROW(T_LEAVE[LEAVE CODE]))-ROW(T_LEAVE[#Headers]))))))),"")</f>
        <v/>
      </c>
      <c r="Y61" s="75" t="str">
        <f>IFERROR(IF(Y$8="","NA",IF(Y$8&lt;INDEX(T_EMP[START DATE],ROW($B61)-ROW($B$8)),"NE",IF(AND(INDEX(T_EMP[TERMINATION DATE],ROW($B61)-ROW($B$8))&gt;0,Y$8&gt;INDEX(T_EMP[TERMINATION DATE],ROW($B61)-ROW($B$8))),"NE",IF(NOT(ISERROR(MATCH(Y$8,L_HOLS,0))),"H",IF(INDEX(L_WKNDVAL,WEEKDAY(Y$8,1))=1,"WKND",INDEX(T_LEAVE[LEAVE CODE],SUMPRODUCT(--(T_LEAVE[NAME]=$B61),--(T_LEAVE[DATE]&lt;=Y$8),--(T_LEAVE[DATE]&gt;=Y$8),ROW(T_LEAVE[LEAVE CODE]))-ROW(T_LEAVE[#Headers]))))))),"")</f>
        <v/>
      </c>
      <c r="Z61" s="75" t="str">
        <f>IFERROR(IF(Z$8="","NA",IF(Z$8&lt;INDEX(T_EMP[START DATE],ROW($B61)-ROW($B$8)),"NE",IF(AND(INDEX(T_EMP[TERMINATION DATE],ROW($B61)-ROW($B$8))&gt;0,Z$8&gt;INDEX(T_EMP[TERMINATION DATE],ROW($B61)-ROW($B$8))),"NE",IF(NOT(ISERROR(MATCH(Z$8,L_HOLS,0))),"H",IF(INDEX(L_WKNDVAL,WEEKDAY(Z$8,1))=1,"WKND",INDEX(T_LEAVE[LEAVE CODE],SUMPRODUCT(--(T_LEAVE[NAME]=$B61),--(T_LEAVE[DATE]&lt;=Z$8),--(T_LEAVE[DATE]&gt;=Z$8),ROW(T_LEAVE[LEAVE CODE]))-ROW(T_LEAVE[#Headers]))))))),"")</f>
        <v/>
      </c>
      <c r="AA61" s="75" t="str">
        <f>IFERROR(IF(AA$8="","NA",IF(AA$8&lt;INDEX(T_EMP[START DATE],ROW($B61)-ROW($B$8)),"NE",IF(AND(INDEX(T_EMP[TERMINATION DATE],ROW($B61)-ROW($B$8))&gt;0,AA$8&gt;INDEX(T_EMP[TERMINATION DATE],ROW($B61)-ROW($B$8))),"NE",IF(NOT(ISERROR(MATCH(AA$8,L_HOLS,0))),"H",IF(INDEX(L_WKNDVAL,WEEKDAY(AA$8,1))=1,"WKND",INDEX(T_LEAVE[LEAVE CODE],SUMPRODUCT(--(T_LEAVE[NAME]=$B61),--(T_LEAVE[DATE]&lt;=AA$8),--(T_LEAVE[DATE]&gt;=AA$8),ROW(T_LEAVE[LEAVE CODE]))-ROW(T_LEAVE[#Headers]))))))),"")</f>
        <v/>
      </c>
      <c r="AB61" s="75" t="str">
        <f>IFERROR(IF(AB$8="","NA",IF(AB$8&lt;INDEX(T_EMP[START DATE],ROW($B61)-ROW($B$8)),"NE",IF(AND(INDEX(T_EMP[TERMINATION DATE],ROW($B61)-ROW($B$8))&gt;0,AB$8&gt;INDEX(T_EMP[TERMINATION DATE],ROW($B61)-ROW($B$8))),"NE",IF(NOT(ISERROR(MATCH(AB$8,L_HOLS,0))),"H",IF(INDEX(L_WKNDVAL,WEEKDAY(AB$8,1))=1,"WKND",INDEX(T_LEAVE[LEAVE CODE],SUMPRODUCT(--(T_LEAVE[NAME]=$B61),--(T_LEAVE[DATE]&lt;=AB$8),--(T_LEAVE[DATE]&gt;=AB$8),ROW(T_LEAVE[LEAVE CODE]))-ROW(T_LEAVE[#Headers]))))))),"")</f>
        <v/>
      </c>
      <c r="AC61" s="75" t="str">
        <f>IFERROR(IF(AC$8="","NA",IF(AC$8&lt;INDEX(T_EMP[START DATE],ROW($B61)-ROW($B$8)),"NE",IF(AND(INDEX(T_EMP[TERMINATION DATE],ROW($B61)-ROW($B$8))&gt;0,AC$8&gt;INDEX(T_EMP[TERMINATION DATE],ROW($B61)-ROW($B$8))),"NE",IF(NOT(ISERROR(MATCH(AC$8,L_HOLS,0))),"H",IF(INDEX(L_WKNDVAL,WEEKDAY(AC$8,1))=1,"WKND",INDEX(T_LEAVE[LEAVE CODE],SUMPRODUCT(--(T_LEAVE[NAME]=$B61),--(T_LEAVE[DATE]&lt;=AC$8),--(T_LEAVE[DATE]&gt;=AC$8),ROW(T_LEAVE[LEAVE CODE]))-ROW(T_LEAVE[#Headers]))))))),"")</f>
        <v/>
      </c>
      <c r="AD61" s="75" t="str">
        <f>IFERROR(IF(AD$8="","NA",IF(AD$8&lt;INDEX(T_EMP[START DATE],ROW($B61)-ROW($B$8)),"NE",IF(AND(INDEX(T_EMP[TERMINATION DATE],ROW($B61)-ROW($B$8))&gt;0,AD$8&gt;INDEX(T_EMP[TERMINATION DATE],ROW($B61)-ROW($B$8))),"NE",IF(NOT(ISERROR(MATCH(AD$8,L_HOLS,0))),"H",IF(INDEX(L_WKNDVAL,WEEKDAY(AD$8,1))=1,"WKND",INDEX(T_LEAVE[LEAVE CODE],SUMPRODUCT(--(T_LEAVE[NAME]=$B61),--(T_LEAVE[DATE]&lt;=AD$8),--(T_LEAVE[DATE]&gt;=AD$8),ROW(T_LEAVE[LEAVE CODE]))-ROW(T_LEAVE[#Headers]))))))),"")</f>
        <v/>
      </c>
      <c r="AE61" s="75" t="str">
        <f>IFERROR(IF(AE$8="","NA",IF(AE$8&lt;INDEX(T_EMP[START DATE],ROW($B61)-ROW($B$8)),"NE",IF(AND(INDEX(T_EMP[TERMINATION DATE],ROW($B61)-ROW($B$8))&gt;0,AE$8&gt;INDEX(T_EMP[TERMINATION DATE],ROW($B61)-ROW($B$8))),"NE",IF(NOT(ISERROR(MATCH(AE$8,L_HOLS,0))),"H",IF(INDEX(L_WKNDVAL,WEEKDAY(AE$8,1))=1,"WKND",INDEX(T_LEAVE[LEAVE CODE],SUMPRODUCT(--(T_LEAVE[NAME]=$B61),--(T_LEAVE[DATE]&lt;=AE$8),--(T_LEAVE[DATE]&gt;=AE$8),ROW(T_LEAVE[LEAVE CODE]))-ROW(T_LEAVE[#Headers]))))))),"")</f>
        <v/>
      </c>
      <c r="AF61" s="75" t="str">
        <f>IFERROR(IF(AF$8="","NA",IF(AF$8&lt;INDEX(T_EMP[START DATE],ROW($B61)-ROW($B$8)),"NE",IF(AND(INDEX(T_EMP[TERMINATION DATE],ROW($B61)-ROW($B$8))&gt;0,AF$8&gt;INDEX(T_EMP[TERMINATION DATE],ROW($B61)-ROW($B$8))),"NE",IF(NOT(ISERROR(MATCH(AF$8,L_HOLS,0))),"H",IF(INDEX(L_WKNDVAL,WEEKDAY(AF$8,1))=1,"WKND",INDEX(T_LEAVE[LEAVE CODE],SUMPRODUCT(--(T_LEAVE[NAME]=$B61),--(T_LEAVE[DATE]&lt;=AF$8),--(T_LEAVE[DATE]&gt;=AF$8),ROW(T_LEAVE[LEAVE CODE]))-ROW(T_LEAVE[#Headers]))))))),"")</f>
        <v/>
      </c>
      <c r="AG61" s="75" t="str">
        <f>IFERROR(IF(AG$8="","NA",IF(AG$8&lt;INDEX(T_EMP[START DATE],ROW($B61)-ROW($B$8)),"NE",IF(AND(INDEX(T_EMP[TERMINATION DATE],ROW($B61)-ROW($B$8))&gt;0,AG$8&gt;INDEX(T_EMP[TERMINATION DATE],ROW($B61)-ROW($B$8))),"NE",IF(NOT(ISERROR(MATCH(AG$8,L_HOLS,0))),"H",IF(INDEX(L_WKNDVAL,WEEKDAY(AG$8,1))=1,"WKND",INDEX(T_LEAVE[LEAVE CODE],SUMPRODUCT(--(T_LEAVE[NAME]=$B61),--(T_LEAVE[DATE]&lt;=AG$8),--(T_LEAVE[DATE]&gt;=AG$8),ROW(T_LEAVE[LEAVE CODE]))-ROW(T_LEAVE[#Headers]))))))),"")</f>
        <v/>
      </c>
      <c r="AH61" s="75" t="str">
        <f>IFERROR(IF(AH$8="","NA",IF(AH$8&lt;INDEX(T_EMP[START DATE],ROW($B61)-ROW($B$8)),"NE",IF(AND(INDEX(T_EMP[TERMINATION DATE],ROW($B61)-ROW($B$8))&gt;0,AH$8&gt;INDEX(T_EMP[TERMINATION DATE],ROW($B61)-ROW($B$8))),"NE",IF(NOT(ISERROR(MATCH(AH$8,L_HOLS,0))),"H",IF(INDEX(L_WKNDVAL,WEEKDAY(AH$8,1))=1,"WKND",INDEX(T_LEAVE[LEAVE CODE],SUMPRODUCT(--(T_LEAVE[NAME]=$B61),--(T_LEAVE[DATE]&lt;=AH$8),--(T_LEAVE[DATE]&gt;=AH$8),ROW(T_LEAVE[LEAVE CODE]))-ROW(T_LEAVE[#Headers]))))))),"")</f>
        <v/>
      </c>
      <c r="AJ61" s="88">
        <f>IF(OR($B61="",AJ$8=""),"",COUNTIFS($D61:$AH61,AJ$8)*INDEX(T_LEAVETYPE[DAY VALUE],1))</f>
        <v>0</v>
      </c>
      <c r="AK61" s="88">
        <f>IF(OR($B61="",AK$8=""),"",COUNTIFS($D61:$AH61,AK$8)*INDEX(T_LEAVETYPE[DAY VALUE],1))</f>
        <v>0</v>
      </c>
      <c r="AL61" s="88">
        <f>IF(OR($B61="",AL$8=""),"",COUNTIFS($D61:$AH61,AL$8)*INDEX(T_LEAVETYPE[DAY VALUE],1))</f>
        <v>0</v>
      </c>
      <c r="AM61" s="88">
        <f>IF(OR($B61="",AM$8=""),"",COUNTIFS($D61:$AH61,AM$8)*INDEX(T_LEAVETYPE[DAY VALUE],1))</f>
        <v>0</v>
      </c>
      <c r="AN61" s="88">
        <f>IF(OR($B61="",AN$8=""),"",COUNTIFS($D61:$AH61,AN$8)*INDEX(T_LEAVETYPE[DAY VALUE],1))</f>
        <v>0</v>
      </c>
      <c r="AO61" s="88">
        <f>IF(OR($B61="",AO$8=""),"",COUNTIFS($D61:$AH61,AO$8)*INDEX(T_LEAVETYPE[DAY VALUE],6))</f>
        <v>0</v>
      </c>
      <c r="AP61" s="88">
        <f>IF(OR($B61="",AP$8=""),"",COUNTIFS($D61:$AH61,AP$8)*INDEX(T_LEAVETYPE[DAY VALUE],7))</f>
        <v>0</v>
      </c>
      <c r="AQ61" s="88">
        <f>IF(OR($B61="",AQ$8=""),"",COUNTIFS($D61:$AH61,AQ$8)*INDEX(T_LEAVETYPE[DAY VALUE],8))</f>
        <v>0</v>
      </c>
      <c r="AR61" s="89">
        <f t="shared" si="5"/>
        <v>0</v>
      </c>
    </row>
    <row r="62" spans="1:44" x14ac:dyDescent="0.25">
      <c r="A62" s="90">
        <f t="shared" si="4"/>
        <v>54</v>
      </c>
      <c r="B62" s="74" t="str">
        <f>IFERROR(INDEX(T_EMP[NAME],ROW(B62)-ROW($B$8)),"")</f>
        <v>VILLAFLOR, CHRIZTINE KAYE</v>
      </c>
      <c r="C62" s="91" t="str">
        <f>IFERROR(INDEX(T_EMP[DEPARTMENT],ROW(B62)-ROW($C$8)),"")</f>
        <v>OPERATIONS</v>
      </c>
      <c r="D62" s="75" t="str">
        <f>IFERROR(IF(D$8="","NA",IF(D$8&lt;INDEX(T_EMP[START DATE],ROW($B62)-ROW($B$8)),"NE",IF(AND(INDEX(T_EMP[TERMINATION DATE],ROW($B62)-ROW($B$8))&gt;0,D$8&gt;INDEX(T_EMP[TERMINATION DATE],ROW($B62)-ROW($B$8))),"NE",IF(NOT(ISERROR(MATCH(D$8,L_HOLS,0))),"H",IF(INDEX(L_WKNDVAL,WEEKDAY(D$8,1))=1,"WKND",INDEX(T_LEAVE[LEAVE CODE],SUMPRODUCT(--(T_LEAVE[NAME]=$B62),--(T_LEAVE[DATE]&lt;=D$8),--(T_LEAVE[DATE]&gt;=D$8),ROW(T_LEAVE[LEAVE CODE]))-ROW(T_LEAVE[#Headers]))))))),"")</f>
        <v>H</v>
      </c>
      <c r="E62" s="75" t="str">
        <f>IFERROR(IF(E$8="","NA",IF(E$8&lt;INDEX(T_EMP[START DATE],ROW($B62)-ROW($B$8)),"NE",IF(AND(INDEX(T_EMP[TERMINATION DATE],ROW($B62)-ROW($B$8))&gt;0,E$8&gt;INDEX(T_EMP[TERMINATION DATE],ROW($B62)-ROW($B$8))),"NE",IF(NOT(ISERROR(MATCH(E$8,L_HOLS,0))),"H",IF(INDEX(L_WKNDVAL,WEEKDAY(E$8,1))=1,"WKND",INDEX(T_LEAVE[LEAVE CODE],SUMPRODUCT(--(T_LEAVE[NAME]=$B62),--(T_LEAVE[DATE]&lt;=E$8),--(T_LEAVE[DATE]&gt;=E$8),ROW(T_LEAVE[LEAVE CODE]))-ROW(T_LEAVE[#Headers]))))))),"")</f>
        <v/>
      </c>
      <c r="F62" s="75" t="str">
        <f>IFERROR(IF(F$8="","NA",IF(F$8&lt;INDEX(T_EMP[START DATE],ROW($B62)-ROW($B$8)),"NE",IF(AND(INDEX(T_EMP[TERMINATION DATE],ROW($B62)-ROW($B$8))&gt;0,F$8&gt;INDEX(T_EMP[TERMINATION DATE],ROW($B62)-ROW($B$8))),"NE",IF(NOT(ISERROR(MATCH(F$8,L_HOLS,0))),"H",IF(INDEX(L_WKNDVAL,WEEKDAY(F$8,1))=1,"WKND",INDEX(T_LEAVE[LEAVE CODE],SUMPRODUCT(--(T_LEAVE[NAME]=$B62),--(T_LEAVE[DATE]&lt;=F$8),--(T_LEAVE[DATE]&gt;=F$8),ROW(T_LEAVE[LEAVE CODE]))-ROW(T_LEAVE[#Headers]))))))),"")</f>
        <v/>
      </c>
      <c r="G62" s="75" t="str">
        <f>IFERROR(IF(G$8="","NA",IF(G$8&lt;INDEX(T_EMP[START DATE],ROW($B62)-ROW($B$8)),"NE",IF(AND(INDEX(T_EMP[TERMINATION DATE],ROW($B62)-ROW($B$8))&gt;0,G$8&gt;INDEX(T_EMP[TERMINATION DATE],ROW($B62)-ROW($B$8))),"NE",IF(NOT(ISERROR(MATCH(G$8,L_HOLS,0))),"H",IF(INDEX(L_WKNDVAL,WEEKDAY(G$8,1))=1,"WKND",INDEX(T_LEAVE[LEAVE CODE],SUMPRODUCT(--(T_LEAVE[NAME]=$B62),--(T_LEAVE[DATE]&lt;=G$8),--(T_LEAVE[DATE]&gt;=G$8),ROW(T_LEAVE[LEAVE CODE]))-ROW(T_LEAVE[#Headers]))))))),"")</f>
        <v/>
      </c>
      <c r="H62" s="75" t="str">
        <f>IFERROR(IF(H$8="","NA",IF(H$8&lt;INDEX(T_EMP[START DATE],ROW($B62)-ROW($B$8)),"NE",IF(AND(INDEX(T_EMP[TERMINATION DATE],ROW($B62)-ROW($B$8))&gt;0,H$8&gt;INDEX(T_EMP[TERMINATION DATE],ROW($B62)-ROW($B$8))),"NE",IF(NOT(ISERROR(MATCH(H$8,L_HOLS,0))),"H",IF(INDEX(L_WKNDVAL,WEEKDAY(H$8,1))=1,"WKND",INDEX(T_LEAVE[LEAVE CODE],SUMPRODUCT(--(T_LEAVE[NAME]=$B62),--(T_LEAVE[DATE]&lt;=H$8),--(T_LEAVE[DATE]&gt;=H$8),ROW(T_LEAVE[LEAVE CODE]))-ROW(T_LEAVE[#Headers]))))))),"")</f>
        <v/>
      </c>
      <c r="I62" s="75" t="str">
        <f>IFERROR(IF(I$8="","NA",IF(I$8&lt;INDEX(T_EMP[START DATE],ROW($B62)-ROW($B$8)),"NE",IF(AND(INDEX(T_EMP[TERMINATION DATE],ROW($B62)-ROW($B$8))&gt;0,I$8&gt;INDEX(T_EMP[TERMINATION DATE],ROW($B62)-ROW($B$8))),"NE",IF(NOT(ISERROR(MATCH(I$8,L_HOLS,0))),"H",IF(INDEX(L_WKNDVAL,WEEKDAY(I$8,1))=1,"WKND",INDEX(T_LEAVE[LEAVE CODE],SUMPRODUCT(--(T_LEAVE[NAME]=$B62),--(T_LEAVE[DATE]&lt;=I$8),--(T_LEAVE[DATE]&gt;=I$8),ROW(T_LEAVE[LEAVE CODE]))-ROW(T_LEAVE[#Headers]))))))),"")</f>
        <v/>
      </c>
      <c r="J62" s="75" t="str">
        <f>IFERROR(IF(J$8="","NA",IF(J$8&lt;INDEX(T_EMP[START DATE],ROW($B62)-ROW($B$8)),"NE",IF(AND(INDEX(T_EMP[TERMINATION DATE],ROW($B62)-ROW($B$8))&gt;0,J$8&gt;INDEX(T_EMP[TERMINATION DATE],ROW($B62)-ROW($B$8))),"NE",IF(NOT(ISERROR(MATCH(J$8,L_HOLS,0))),"H",IF(INDEX(L_WKNDVAL,WEEKDAY(J$8,1))=1,"WKND",INDEX(T_LEAVE[LEAVE CODE],SUMPRODUCT(--(T_LEAVE[NAME]=$B62),--(T_LEAVE[DATE]&lt;=J$8),--(T_LEAVE[DATE]&gt;=J$8),ROW(T_LEAVE[LEAVE CODE]))-ROW(T_LEAVE[#Headers]))))))),"")</f>
        <v/>
      </c>
      <c r="K62" s="75" t="str">
        <f>IFERROR(IF(K$8="","NA",IF(K$8&lt;INDEX(T_EMP[START DATE],ROW($B62)-ROW($B$8)),"NE",IF(AND(INDEX(T_EMP[TERMINATION DATE],ROW($B62)-ROW($B$8))&gt;0,K$8&gt;INDEX(T_EMP[TERMINATION DATE],ROW($B62)-ROW($B$8))),"NE",IF(NOT(ISERROR(MATCH(K$8,L_HOLS,0))),"H",IF(INDEX(L_WKNDVAL,WEEKDAY(K$8,1))=1,"WKND",INDEX(T_LEAVE[LEAVE CODE],SUMPRODUCT(--(T_LEAVE[NAME]=$B62),--(T_LEAVE[DATE]&lt;=K$8),--(T_LEAVE[DATE]&gt;=K$8),ROW(T_LEAVE[LEAVE CODE]))-ROW(T_LEAVE[#Headers]))))))),"")</f>
        <v/>
      </c>
      <c r="L62" s="75" t="str">
        <f>IFERROR(IF(L$8="","NA",IF(L$8&lt;INDEX(T_EMP[START DATE],ROW($B62)-ROW($B$8)),"NE",IF(AND(INDEX(T_EMP[TERMINATION DATE],ROW($B62)-ROW($B$8))&gt;0,L$8&gt;INDEX(T_EMP[TERMINATION DATE],ROW($B62)-ROW($B$8))),"NE",IF(NOT(ISERROR(MATCH(L$8,L_HOLS,0))),"H",IF(INDEX(L_WKNDVAL,WEEKDAY(L$8,1))=1,"WKND",INDEX(T_LEAVE[LEAVE CODE],SUMPRODUCT(--(T_LEAVE[NAME]=$B62),--(T_LEAVE[DATE]&lt;=L$8),--(T_LEAVE[DATE]&gt;=L$8),ROW(T_LEAVE[LEAVE CODE]))-ROW(T_LEAVE[#Headers]))))))),"")</f>
        <v/>
      </c>
      <c r="M62" s="75" t="str">
        <f>IFERROR(IF(M$8="","NA",IF(M$8&lt;INDEX(T_EMP[START DATE],ROW($B62)-ROW($B$8)),"NE",IF(AND(INDEX(T_EMP[TERMINATION DATE],ROW($B62)-ROW($B$8))&gt;0,M$8&gt;INDEX(T_EMP[TERMINATION DATE],ROW($B62)-ROW($B$8))),"NE",IF(NOT(ISERROR(MATCH(M$8,L_HOLS,0))),"H",IF(INDEX(L_WKNDVAL,WEEKDAY(M$8,1))=1,"WKND",INDEX(T_LEAVE[LEAVE CODE],SUMPRODUCT(--(T_LEAVE[NAME]=$B62),--(T_LEAVE[DATE]&lt;=M$8),--(T_LEAVE[DATE]&gt;=M$8),ROW(T_LEAVE[LEAVE CODE]))-ROW(T_LEAVE[#Headers]))))))),"")</f>
        <v/>
      </c>
      <c r="N62" s="75" t="str">
        <f>IFERROR(IF(N$8="","NA",IF(N$8&lt;INDEX(T_EMP[START DATE],ROW($B62)-ROW($B$8)),"NE",IF(AND(INDEX(T_EMP[TERMINATION DATE],ROW($B62)-ROW($B$8))&gt;0,N$8&gt;INDEX(T_EMP[TERMINATION DATE],ROW($B62)-ROW($B$8))),"NE",IF(NOT(ISERROR(MATCH(N$8,L_HOLS,0))),"H",IF(INDEX(L_WKNDVAL,WEEKDAY(N$8,1))=1,"WKND",INDEX(T_LEAVE[LEAVE CODE],SUMPRODUCT(--(T_LEAVE[NAME]=$B62),--(T_LEAVE[DATE]&lt;=N$8),--(T_LEAVE[DATE]&gt;=N$8),ROW(T_LEAVE[LEAVE CODE]))-ROW(T_LEAVE[#Headers]))))))),"")</f>
        <v/>
      </c>
      <c r="O62" s="75" t="str">
        <f>IFERROR(IF(O$8="","NA",IF(O$8&lt;INDEX(T_EMP[START DATE],ROW($B62)-ROW($B$8)),"NE",IF(AND(INDEX(T_EMP[TERMINATION DATE],ROW($B62)-ROW($B$8))&gt;0,O$8&gt;INDEX(T_EMP[TERMINATION DATE],ROW($B62)-ROW($B$8))),"NE",IF(NOT(ISERROR(MATCH(O$8,L_HOLS,0))),"H",IF(INDEX(L_WKNDVAL,WEEKDAY(O$8,1))=1,"WKND",INDEX(T_LEAVE[LEAVE CODE],SUMPRODUCT(--(T_LEAVE[NAME]=$B62),--(T_LEAVE[DATE]&lt;=O$8),--(T_LEAVE[DATE]&gt;=O$8),ROW(T_LEAVE[LEAVE CODE]))-ROW(T_LEAVE[#Headers]))))))),"")</f>
        <v/>
      </c>
      <c r="P62" s="75" t="str">
        <f>IFERROR(IF(P$8="","NA",IF(P$8&lt;INDEX(T_EMP[START DATE],ROW($B62)-ROW($B$8)),"NE",IF(AND(INDEX(T_EMP[TERMINATION DATE],ROW($B62)-ROW($B$8))&gt;0,P$8&gt;INDEX(T_EMP[TERMINATION DATE],ROW($B62)-ROW($B$8))),"NE",IF(NOT(ISERROR(MATCH(P$8,L_HOLS,0))),"H",IF(INDEX(L_WKNDVAL,WEEKDAY(P$8,1))=1,"WKND",INDEX(T_LEAVE[LEAVE CODE],SUMPRODUCT(--(T_LEAVE[NAME]=$B62),--(T_LEAVE[DATE]&lt;=P$8),--(T_LEAVE[DATE]&gt;=P$8),ROW(T_LEAVE[LEAVE CODE]))-ROW(T_LEAVE[#Headers]))))))),"")</f>
        <v>H</v>
      </c>
      <c r="Q62" s="75" t="str">
        <f>IFERROR(IF(Q$8="","NA",IF(Q$8&lt;INDEX(T_EMP[START DATE],ROW($B62)-ROW($B$8)),"NE",IF(AND(INDEX(T_EMP[TERMINATION DATE],ROW($B62)-ROW($B$8))&gt;0,Q$8&gt;INDEX(T_EMP[TERMINATION DATE],ROW($B62)-ROW($B$8))),"NE",IF(NOT(ISERROR(MATCH(Q$8,L_HOLS,0))),"H",IF(INDEX(L_WKNDVAL,WEEKDAY(Q$8,1))=1,"WKND",INDEX(T_LEAVE[LEAVE CODE],SUMPRODUCT(--(T_LEAVE[NAME]=$B62),--(T_LEAVE[DATE]&lt;=Q$8),--(T_LEAVE[DATE]&gt;=Q$8),ROW(T_LEAVE[LEAVE CODE]))-ROW(T_LEAVE[#Headers]))))))),"")</f>
        <v/>
      </c>
      <c r="R62" s="75" t="str">
        <f>IFERROR(IF(R$8="","NA",IF(R$8&lt;INDEX(T_EMP[START DATE],ROW($B62)-ROW($B$8)),"NE",IF(AND(INDEX(T_EMP[TERMINATION DATE],ROW($B62)-ROW($B$8))&gt;0,R$8&gt;INDEX(T_EMP[TERMINATION DATE],ROW($B62)-ROW($B$8))),"NE",IF(NOT(ISERROR(MATCH(R$8,L_HOLS,0))),"H",IF(INDEX(L_WKNDVAL,WEEKDAY(R$8,1))=1,"WKND",INDEX(T_LEAVE[LEAVE CODE],SUMPRODUCT(--(T_LEAVE[NAME]=$B62),--(T_LEAVE[DATE]&lt;=R$8),--(T_LEAVE[DATE]&gt;=R$8),ROW(T_LEAVE[LEAVE CODE]))-ROW(T_LEAVE[#Headers]))))))),"")</f>
        <v/>
      </c>
      <c r="S62" s="75" t="str">
        <f>IFERROR(IF(S$8="","NA",IF(S$8&lt;INDEX(T_EMP[START DATE],ROW($B62)-ROW($B$8)),"NE",IF(AND(INDEX(T_EMP[TERMINATION DATE],ROW($B62)-ROW($B$8))&gt;0,S$8&gt;INDEX(T_EMP[TERMINATION DATE],ROW($B62)-ROW($B$8))),"NE",IF(NOT(ISERROR(MATCH(S$8,L_HOLS,0))),"H",IF(INDEX(L_WKNDVAL,WEEKDAY(S$8,1))=1,"WKND",INDEX(T_LEAVE[LEAVE CODE],SUMPRODUCT(--(T_LEAVE[NAME]=$B62),--(T_LEAVE[DATE]&lt;=S$8),--(T_LEAVE[DATE]&gt;=S$8),ROW(T_LEAVE[LEAVE CODE]))-ROW(T_LEAVE[#Headers]))))))),"")</f>
        <v/>
      </c>
      <c r="T62" s="75" t="str">
        <f>IFERROR(IF(T$8="","NA",IF(T$8&lt;INDEX(T_EMP[START DATE],ROW($B62)-ROW($B$8)),"NE",IF(AND(INDEX(T_EMP[TERMINATION DATE],ROW($B62)-ROW($B$8))&gt;0,T$8&gt;INDEX(T_EMP[TERMINATION DATE],ROW($B62)-ROW($B$8))),"NE",IF(NOT(ISERROR(MATCH(T$8,L_HOLS,0))),"H",IF(INDEX(L_WKNDVAL,WEEKDAY(T$8,1))=1,"WKND",INDEX(T_LEAVE[LEAVE CODE],SUMPRODUCT(--(T_LEAVE[NAME]=$B62),--(T_LEAVE[DATE]&lt;=T$8),--(T_LEAVE[DATE]&gt;=T$8),ROW(T_LEAVE[LEAVE CODE]))-ROW(T_LEAVE[#Headers]))))))),"")</f>
        <v/>
      </c>
      <c r="U62" s="75" t="str">
        <f>IFERROR(IF(U$8="","NA",IF(U$8&lt;INDEX(T_EMP[START DATE],ROW($B62)-ROW($B$8)),"NE",IF(AND(INDEX(T_EMP[TERMINATION DATE],ROW($B62)-ROW($B$8))&gt;0,U$8&gt;INDEX(T_EMP[TERMINATION DATE],ROW($B62)-ROW($B$8))),"NE",IF(NOT(ISERROR(MATCH(U$8,L_HOLS,0))),"H",IF(INDEX(L_WKNDVAL,WEEKDAY(U$8,1))=1,"WKND",INDEX(T_LEAVE[LEAVE CODE],SUMPRODUCT(--(T_LEAVE[NAME]=$B62),--(T_LEAVE[DATE]&lt;=U$8),--(T_LEAVE[DATE]&gt;=U$8),ROW(T_LEAVE[LEAVE CODE]))-ROW(T_LEAVE[#Headers]))))))),"")</f>
        <v/>
      </c>
      <c r="V62" s="75" t="str">
        <f>IFERROR(IF(V$8="","NA",IF(V$8&lt;INDEX(T_EMP[START DATE],ROW($B62)-ROW($B$8)),"NE",IF(AND(INDEX(T_EMP[TERMINATION DATE],ROW($B62)-ROW($B$8))&gt;0,V$8&gt;INDEX(T_EMP[TERMINATION DATE],ROW($B62)-ROW($B$8))),"NE",IF(NOT(ISERROR(MATCH(V$8,L_HOLS,0))),"H",IF(INDEX(L_WKNDVAL,WEEKDAY(V$8,1))=1,"WKND",INDEX(T_LEAVE[LEAVE CODE],SUMPRODUCT(--(T_LEAVE[NAME]=$B62),--(T_LEAVE[DATE]&lt;=V$8),--(T_LEAVE[DATE]&gt;=V$8),ROW(T_LEAVE[LEAVE CODE]))-ROW(T_LEAVE[#Headers]))))))),"")</f>
        <v/>
      </c>
      <c r="W62" s="75" t="str">
        <f>IFERROR(IF(W$8="","NA",IF(W$8&lt;INDEX(T_EMP[START DATE],ROW($B62)-ROW($B$8)),"NE",IF(AND(INDEX(T_EMP[TERMINATION DATE],ROW($B62)-ROW($B$8))&gt;0,W$8&gt;INDEX(T_EMP[TERMINATION DATE],ROW($B62)-ROW($B$8))),"NE",IF(NOT(ISERROR(MATCH(W$8,L_HOLS,0))),"H",IF(INDEX(L_WKNDVAL,WEEKDAY(W$8,1))=1,"WKND",INDEX(T_LEAVE[LEAVE CODE],SUMPRODUCT(--(T_LEAVE[NAME]=$B62),--(T_LEAVE[DATE]&lt;=W$8),--(T_LEAVE[DATE]&gt;=W$8),ROW(T_LEAVE[LEAVE CODE]))-ROW(T_LEAVE[#Headers]))))))),"")</f>
        <v/>
      </c>
      <c r="X62" s="75" t="str">
        <f>IFERROR(IF(X$8="","NA",IF(X$8&lt;INDEX(T_EMP[START DATE],ROW($B62)-ROW($B$8)),"NE",IF(AND(INDEX(T_EMP[TERMINATION DATE],ROW($B62)-ROW($B$8))&gt;0,X$8&gt;INDEX(T_EMP[TERMINATION DATE],ROW($B62)-ROW($B$8))),"NE",IF(NOT(ISERROR(MATCH(X$8,L_HOLS,0))),"H",IF(INDEX(L_WKNDVAL,WEEKDAY(X$8,1))=1,"WKND",INDEX(T_LEAVE[LEAVE CODE],SUMPRODUCT(--(T_LEAVE[NAME]=$B62),--(T_LEAVE[DATE]&lt;=X$8),--(T_LEAVE[DATE]&gt;=X$8),ROW(T_LEAVE[LEAVE CODE]))-ROW(T_LEAVE[#Headers]))))))),"")</f>
        <v/>
      </c>
      <c r="Y62" s="75" t="str">
        <f>IFERROR(IF(Y$8="","NA",IF(Y$8&lt;INDEX(T_EMP[START DATE],ROW($B62)-ROW($B$8)),"NE",IF(AND(INDEX(T_EMP[TERMINATION DATE],ROW($B62)-ROW($B$8))&gt;0,Y$8&gt;INDEX(T_EMP[TERMINATION DATE],ROW($B62)-ROW($B$8))),"NE",IF(NOT(ISERROR(MATCH(Y$8,L_HOLS,0))),"H",IF(INDEX(L_WKNDVAL,WEEKDAY(Y$8,1))=1,"WKND",INDEX(T_LEAVE[LEAVE CODE],SUMPRODUCT(--(T_LEAVE[NAME]=$B62),--(T_LEAVE[DATE]&lt;=Y$8),--(T_LEAVE[DATE]&gt;=Y$8),ROW(T_LEAVE[LEAVE CODE]))-ROW(T_LEAVE[#Headers]))))))),"")</f>
        <v/>
      </c>
      <c r="Z62" s="75" t="str">
        <f>IFERROR(IF(Z$8="","NA",IF(Z$8&lt;INDEX(T_EMP[START DATE],ROW($B62)-ROW($B$8)),"NE",IF(AND(INDEX(T_EMP[TERMINATION DATE],ROW($B62)-ROW($B$8))&gt;0,Z$8&gt;INDEX(T_EMP[TERMINATION DATE],ROW($B62)-ROW($B$8))),"NE",IF(NOT(ISERROR(MATCH(Z$8,L_HOLS,0))),"H",IF(INDEX(L_WKNDVAL,WEEKDAY(Z$8,1))=1,"WKND",INDEX(T_LEAVE[LEAVE CODE],SUMPRODUCT(--(T_LEAVE[NAME]=$B62),--(T_LEAVE[DATE]&lt;=Z$8),--(T_LEAVE[DATE]&gt;=Z$8),ROW(T_LEAVE[LEAVE CODE]))-ROW(T_LEAVE[#Headers]))))))),"")</f>
        <v/>
      </c>
      <c r="AA62" s="75" t="str">
        <f>IFERROR(IF(AA$8="","NA",IF(AA$8&lt;INDEX(T_EMP[START DATE],ROW($B62)-ROW($B$8)),"NE",IF(AND(INDEX(T_EMP[TERMINATION DATE],ROW($B62)-ROW($B$8))&gt;0,AA$8&gt;INDEX(T_EMP[TERMINATION DATE],ROW($B62)-ROW($B$8))),"NE",IF(NOT(ISERROR(MATCH(AA$8,L_HOLS,0))),"H",IF(INDEX(L_WKNDVAL,WEEKDAY(AA$8,1))=1,"WKND",INDEX(T_LEAVE[LEAVE CODE],SUMPRODUCT(--(T_LEAVE[NAME]=$B62),--(T_LEAVE[DATE]&lt;=AA$8),--(T_LEAVE[DATE]&gt;=AA$8),ROW(T_LEAVE[LEAVE CODE]))-ROW(T_LEAVE[#Headers]))))))),"")</f>
        <v/>
      </c>
      <c r="AB62" s="75" t="str">
        <f>IFERROR(IF(AB$8="","NA",IF(AB$8&lt;INDEX(T_EMP[START DATE],ROW($B62)-ROW($B$8)),"NE",IF(AND(INDEX(T_EMP[TERMINATION DATE],ROW($B62)-ROW($B$8))&gt;0,AB$8&gt;INDEX(T_EMP[TERMINATION DATE],ROW($B62)-ROW($B$8))),"NE",IF(NOT(ISERROR(MATCH(AB$8,L_HOLS,0))),"H",IF(INDEX(L_WKNDVAL,WEEKDAY(AB$8,1))=1,"WKND",INDEX(T_LEAVE[LEAVE CODE],SUMPRODUCT(--(T_LEAVE[NAME]=$B62),--(T_LEAVE[DATE]&lt;=AB$8),--(T_LEAVE[DATE]&gt;=AB$8),ROW(T_LEAVE[LEAVE CODE]))-ROW(T_LEAVE[#Headers]))))))),"")</f>
        <v/>
      </c>
      <c r="AC62" s="75" t="str">
        <f>IFERROR(IF(AC$8="","NA",IF(AC$8&lt;INDEX(T_EMP[START DATE],ROW($B62)-ROW($B$8)),"NE",IF(AND(INDEX(T_EMP[TERMINATION DATE],ROW($B62)-ROW($B$8))&gt;0,AC$8&gt;INDEX(T_EMP[TERMINATION DATE],ROW($B62)-ROW($B$8))),"NE",IF(NOT(ISERROR(MATCH(AC$8,L_HOLS,0))),"H",IF(INDEX(L_WKNDVAL,WEEKDAY(AC$8,1))=1,"WKND",INDEX(T_LEAVE[LEAVE CODE],SUMPRODUCT(--(T_LEAVE[NAME]=$B62),--(T_LEAVE[DATE]&lt;=AC$8),--(T_LEAVE[DATE]&gt;=AC$8),ROW(T_LEAVE[LEAVE CODE]))-ROW(T_LEAVE[#Headers]))))))),"")</f>
        <v/>
      </c>
      <c r="AD62" s="75" t="str">
        <f>IFERROR(IF(AD$8="","NA",IF(AD$8&lt;INDEX(T_EMP[START DATE],ROW($B62)-ROW($B$8)),"NE",IF(AND(INDEX(T_EMP[TERMINATION DATE],ROW($B62)-ROW($B$8))&gt;0,AD$8&gt;INDEX(T_EMP[TERMINATION DATE],ROW($B62)-ROW($B$8))),"NE",IF(NOT(ISERROR(MATCH(AD$8,L_HOLS,0))),"H",IF(INDEX(L_WKNDVAL,WEEKDAY(AD$8,1))=1,"WKND",INDEX(T_LEAVE[LEAVE CODE],SUMPRODUCT(--(T_LEAVE[NAME]=$B62),--(T_LEAVE[DATE]&lt;=AD$8),--(T_LEAVE[DATE]&gt;=AD$8),ROW(T_LEAVE[LEAVE CODE]))-ROW(T_LEAVE[#Headers]))))))),"")</f>
        <v/>
      </c>
      <c r="AE62" s="75" t="str">
        <f>IFERROR(IF(AE$8="","NA",IF(AE$8&lt;INDEX(T_EMP[START DATE],ROW($B62)-ROW($B$8)),"NE",IF(AND(INDEX(T_EMP[TERMINATION DATE],ROW($B62)-ROW($B$8))&gt;0,AE$8&gt;INDEX(T_EMP[TERMINATION DATE],ROW($B62)-ROW($B$8))),"NE",IF(NOT(ISERROR(MATCH(AE$8,L_HOLS,0))),"H",IF(INDEX(L_WKNDVAL,WEEKDAY(AE$8,1))=1,"WKND",INDEX(T_LEAVE[LEAVE CODE],SUMPRODUCT(--(T_LEAVE[NAME]=$B62),--(T_LEAVE[DATE]&lt;=AE$8),--(T_LEAVE[DATE]&gt;=AE$8),ROW(T_LEAVE[LEAVE CODE]))-ROW(T_LEAVE[#Headers]))))))),"")</f>
        <v/>
      </c>
      <c r="AF62" s="75" t="str">
        <f>IFERROR(IF(AF$8="","NA",IF(AF$8&lt;INDEX(T_EMP[START DATE],ROW($B62)-ROW($B$8)),"NE",IF(AND(INDEX(T_EMP[TERMINATION DATE],ROW($B62)-ROW($B$8))&gt;0,AF$8&gt;INDEX(T_EMP[TERMINATION DATE],ROW($B62)-ROW($B$8))),"NE",IF(NOT(ISERROR(MATCH(AF$8,L_HOLS,0))),"H",IF(INDEX(L_WKNDVAL,WEEKDAY(AF$8,1))=1,"WKND",INDEX(T_LEAVE[LEAVE CODE],SUMPRODUCT(--(T_LEAVE[NAME]=$B62),--(T_LEAVE[DATE]&lt;=AF$8),--(T_LEAVE[DATE]&gt;=AF$8),ROW(T_LEAVE[LEAVE CODE]))-ROW(T_LEAVE[#Headers]))))))),"")</f>
        <v/>
      </c>
      <c r="AG62" s="75" t="str">
        <f>IFERROR(IF(AG$8="","NA",IF(AG$8&lt;INDEX(T_EMP[START DATE],ROW($B62)-ROW($B$8)),"NE",IF(AND(INDEX(T_EMP[TERMINATION DATE],ROW($B62)-ROW($B$8))&gt;0,AG$8&gt;INDEX(T_EMP[TERMINATION DATE],ROW($B62)-ROW($B$8))),"NE",IF(NOT(ISERROR(MATCH(AG$8,L_HOLS,0))),"H",IF(INDEX(L_WKNDVAL,WEEKDAY(AG$8,1))=1,"WKND",INDEX(T_LEAVE[LEAVE CODE],SUMPRODUCT(--(T_LEAVE[NAME]=$B62),--(T_LEAVE[DATE]&lt;=AG$8),--(T_LEAVE[DATE]&gt;=AG$8),ROW(T_LEAVE[LEAVE CODE]))-ROW(T_LEAVE[#Headers]))))))),"")</f>
        <v/>
      </c>
      <c r="AH62" s="75" t="str">
        <f>IFERROR(IF(AH$8="","NA",IF(AH$8&lt;INDEX(T_EMP[START DATE],ROW($B62)-ROW($B$8)),"NE",IF(AND(INDEX(T_EMP[TERMINATION DATE],ROW($B62)-ROW($B$8))&gt;0,AH$8&gt;INDEX(T_EMP[TERMINATION DATE],ROW($B62)-ROW($B$8))),"NE",IF(NOT(ISERROR(MATCH(AH$8,L_HOLS,0))),"H",IF(INDEX(L_WKNDVAL,WEEKDAY(AH$8,1))=1,"WKND",INDEX(T_LEAVE[LEAVE CODE],SUMPRODUCT(--(T_LEAVE[NAME]=$B62),--(T_LEAVE[DATE]&lt;=AH$8),--(T_LEAVE[DATE]&gt;=AH$8),ROW(T_LEAVE[LEAVE CODE]))-ROW(T_LEAVE[#Headers]))))))),"")</f>
        <v/>
      </c>
      <c r="AJ62" s="88">
        <f>IF(OR($B62="",AJ$8=""),"",COUNTIFS($D62:$AH62,AJ$8)*INDEX(T_LEAVETYPE[DAY VALUE],1))</f>
        <v>0</v>
      </c>
      <c r="AK62" s="88">
        <f>IF(OR($B62="",AK$8=""),"",COUNTIFS($D62:$AH62,AK$8)*INDEX(T_LEAVETYPE[DAY VALUE],1))</f>
        <v>0</v>
      </c>
      <c r="AL62" s="88">
        <f>IF(OR($B62="",AL$8=""),"",COUNTIFS($D62:$AH62,AL$8)*INDEX(T_LEAVETYPE[DAY VALUE],1))</f>
        <v>0</v>
      </c>
      <c r="AM62" s="88">
        <f>IF(OR($B62="",AM$8=""),"",COUNTIFS($D62:$AH62,AM$8)*INDEX(T_LEAVETYPE[DAY VALUE],1))</f>
        <v>0</v>
      </c>
      <c r="AN62" s="88">
        <f>IF(OR($B62="",AN$8=""),"",COUNTIFS($D62:$AH62,AN$8)*INDEX(T_LEAVETYPE[DAY VALUE],1))</f>
        <v>0</v>
      </c>
      <c r="AO62" s="88">
        <f>IF(OR($B62="",AO$8=""),"",COUNTIFS($D62:$AH62,AO$8)*INDEX(T_LEAVETYPE[DAY VALUE],6))</f>
        <v>0</v>
      </c>
      <c r="AP62" s="88">
        <f>IF(OR($B62="",AP$8=""),"",COUNTIFS($D62:$AH62,AP$8)*INDEX(T_LEAVETYPE[DAY VALUE],7))</f>
        <v>0</v>
      </c>
      <c r="AQ62" s="88">
        <f>IF(OR($B62="",AQ$8=""),"",COUNTIFS($D62:$AH62,AQ$8)*INDEX(T_LEAVETYPE[DAY VALUE],8))</f>
        <v>0</v>
      </c>
      <c r="AR62" s="89">
        <f t="shared" si="5"/>
        <v>0</v>
      </c>
    </row>
    <row r="63" spans="1:44" x14ac:dyDescent="0.25">
      <c r="A63" s="90">
        <f t="shared" si="4"/>
        <v>55</v>
      </c>
      <c r="B63" s="74" t="str">
        <f>IFERROR(INDEX(T_EMP[NAME],ROW(B63)-ROW($B$8)),"")</f>
        <v>FRANCINE MONIQUE , BALLADOS</v>
      </c>
      <c r="C63" s="91" t="str">
        <f>IFERROR(INDEX(T_EMP[DEPARTMENT],ROW(B63)-ROW($C$8)),"")</f>
        <v>OPERATIONS</v>
      </c>
      <c r="D63" s="75" t="str">
        <f>IFERROR(IF(D$8="","NA",IF(D$8&lt;INDEX(T_EMP[START DATE],ROW($B63)-ROW($B$8)),"NE",IF(AND(INDEX(T_EMP[TERMINATION DATE],ROW($B63)-ROW($B$8))&gt;0,D$8&gt;INDEX(T_EMP[TERMINATION DATE],ROW($B63)-ROW($B$8))),"NE",IF(NOT(ISERROR(MATCH(D$8,L_HOLS,0))),"H",IF(INDEX(L_WKNDVAL,WEEKDAY(D$8,1))=1,"WKND",INDEX(T_LEAVE[LEAVE CODE],SUMPRODUCT(--(T_LEAVE[NAME]=$B63),--(T_LEAVE[DATE]&lt;=D$8),--(T_LEAVE[DATE]&gt;=D$8),ROW(T_LEAVE[LEAVE CODE]))-ROW(T_LEAVE[#Headers]))))))),"")</f>
        <v>H</v>
      </c>
      <c r="E63" s="75" t="str">
        <f>IFERROR(IF(E$8="","NA",IF(E$8&lt;INDEX(T_EMP[START DATE],ROW($B63)-ROW($B$8)),"NE",IF(AND(INDEX(T_EMP[TERMINATION DATE],ROW($B63)-ROW($B$8))&gt;0,E$8&gt;INDEX(T_EMP[TERMINATION DATE],ROW($B63)-ROW($B$8))),"NE",IF(NOT(ISERROR(MATCH(E$8,L_HOLS,0))),"H",IF(INDEX(L_WKNDVAL,WEEKDAY(E$8,1))=1,"WKND",INDEX(T_LEAVE[LEAVE CODE],SUMPRODUCT(--(T_LEAVE[NAME]=$B63),--(T_LEAVE[DATE]&lt;=E$8),--(T_LEAVE[DATE]&gt;=E$8),ROW(T_LEAVE[LEAVE CODE]))-ROW(T_LEAVE[#Headers]))))))),"")</f>
        <v/>
      </c>
      <c r="F63" s="75" t="str">
        <f>IFERROR(IF(F$8="","NA",IF(F$8&lt;INDEX(T_EMP[START DATE],ROW($B63)-ROW($B$8)),"NE",IF(AND(INDEX(T_EMP[TERMINATION DATE],ROW($B63)-ROW($B$8))&gt;0,F$8&gt;INDEX(T_EMP[TERMINATION DATE],ROW($B63)-ROW($B$8))),"NE",IF(NOT(ISERROR(MATCH(F$8,L_HOLS,0))),"H",IF(INDEX(L_WKNDVAL,WEEKDAY(F$8,1))=1,"WKND",INDEX(T_LEAVE[LEAVE CODE],SUMPRODUCT(--(T_LEAVE[NAME]=$B63),--(T_LEAVE[DATE]&lt;=F$8),--(T_LEAVE[DATE]&gt;=F$8),ROW(T_LEAVE[LEAVE CODE]))-ROW(T_LEAVE[#Headers]))))))),"")</f>
        <v/>
      </c>
      <c r="G63" s="75" t="str">
        <f>IFERROR(IF(G$8="","NA",IF(G$8&lt;INDEX(T_EMP[START DATE],ROW($B63)-ROW($B$8)),"NE",IF(AND(INDEX(T_EMP[TERMINATION DATE],ROW($B63)-ROW($B$8))&gt;0,G$8&gt;INDEX(T_EMP[TERMINATION DATE],ROW($B63)-ROW($B$8))),"NE",IF(NOT(ISERROR(MATCH(G$8,L_HOLS,0))),"H",IF(INDEX(L_WKNDVAL,WEEKDAY(G$8,1))=1,"WKND",INDEX(T_LEAVE[LEAVE CODE],SUMPRODUCT(--(T_LEAVE[NAME]=$B63),--(T_LEAVE[DATE]&lt;=G$8),--(T_LEAVE[DATE]&gt;=G$8),ROW(T_LEAVE[LEAVE CODE]))-ROW(T_LEAVE[#Headers]))))))),"")</f>
        <v/>
      </c>
      <c r="H63" s="75" t="str">
        <f>IFERROR(IF(H$8="","NA",IF(H$8&lt;INDEX(T_EMP[START DATE],ROW($B63)-ROW($B$8)),"NE",IF(AND(INDEX(T_EMP[TERMINATION DATE],ROW($B63)-ROW($B$8))&gt;0,H$8&gt;INDEX(T_EMP[TERMINATION DATE],ROW($B63)-ROW($B$8))),"NE",IF(NOT(ISERROR(MATCH(H$8,L_HOLS,0))),"H",IF(INDEX(L_WKNDVAL,WEEKDAY(H$8,1))=1,"WKND",INDEX(T_LEAVE[LEAVE CODE],SUMPRODUCT(--(T_LEAVE[NAME]=$B63),--(T_LEAVE[DATE]&lt;=H$8),--(T_LEAVE[DATE]&gt;=H$8),ROW(T_LEAVE[LEAVE CODE]))-ROW(T_LEAVE[#Headers]))))))),"")</f>
        <v/>
      </c>
      <c r="I63" s="75" t="str">
        <f>IFERROR(IF(I$8="","NA",IF(I$8&lt;INDEX(T_EMP[START DATE],ROW($B63)-ROW($B$8)),"NE",IF(AND(INDEX(T_EMP[TERMINATION DATE],ROW($B63)-ROW($B$8))&gt;0,I$8&gt;INDEX(T_EMP[TERMINATION DATE],ROW($B63)-ROW($B$8))),"NE",IF(NOT(ISERROR(MATCH(I$8,L_HOLS,0))),"H",IF(INDEX(L_WKNDVAL,WEEKDAY(I$8,1))=1,"WKND",INDEX(T_LEAVE[LEAVE CODE],SUMPRODUCT(--(T_LEAVE[NAME]=$B63),--(T_LEAVE[DATE]&lt;=I$8),--(T_LEAVE[DATE]&gt;=I$8),ROW(T_LEAVE[LEAVE CODE]))-ROW(T_LEAVE[#Headers]))))))),"")</f>
        <v/>
      </c>
      <c r="J63" s="75" t="str">
        <f>IFERROR(IF(J$8="","NA",IF(J$8&lt;INDEX(T_EMP[START DATE],ROW($B63)-ROW($B$8)),"NE",IF(AND(INDEX(T_EMP[TERMINATION DATE],ROW($B63)-ROW($B$8))&gt;0,J$8&gt;INDEX(T_EMP[TERMINATION DATE],ROW($B63)-ROW($B$8))),"NE",IF(NOT(ISERROR(MATCH(J$8,L_HOLS,0))),"H",IF(INDEX(L_WKNDVAL,WEEKDAY(J$8,1))=1,"WKND",INDEX(T_LEAVE[LEAVE CODE],SUMPRODUCT(--(T_LEAVE[NAME]=$B63),--(T_LEAVE[DATE]&lt;=J$8),--(T_LEAVE[DATE]&gt;=J$8),ROW(T_LEAVE[LEAVE CODE]))-ROW(T_LEAVE[#Headers]))))))),"")</f>
        <v/>
      </c>
      <c r="K63" s="75" t="str">
        <f>IFERROR(IF(K$8="","NA",IF(K$8&lt;INDEX(T_EMP[START DATE],ROW($B63)-ROW($B$8)),"NE",IF(AND(INDEX(T_EMP[TERMINATION DATE],ROW($B63)-ROW($B$8))&gt;0,K$8&gt;INDEX(T_EMP[TERMINATION DATE],ROW($B63)-ROW($B$8))),"NE",IF(NOT(ISERROR(MATCH(K$8,L_HOLS,0))),"H",IF(INDEX(L_WKNDVAL,WEEKDAY(K$8,1))=1,"WKND",INDEX(T_LEAVE[LEAVE CODE],SUMPRODUCT(--(T_LEAVE[NAME]=$B63),--(T_LEAVE[DATE]&lt;=K$8),--(T_LEAVE[DATE]&gt;=K$8),ROW(T_LEAVE[LEAVE CODE]))-ROW(T_LEAVE[#Headers]))))))),"")</f>
        <v/>
      </c>
      <c r="L63" s="75" t="str">
        <f>IFERROR(IF(L$8="","NA",IF(L$8&lt;INDEX(T_EMP[START DATE],ROW($B63)-ROW($B$8)),"NE",IF(AND(INDEX(T_EMP[TERMINATION DATE],ROW($B63)-ROW($B$8))&gt;0,L$8&gt;INDEX(T_EMP[TERMINATION DATE],ROW($B63)-ROW($B$8))),"NE",IF(NOT(ISERROR(MATCH(L$8,L_HOLS,0))),"H",IF(INDEX(L_WKNDVAL,WEEKDAY(L$8,1))=1,"WKND",INDEX(T_LEAVE[LEAVE CODE],SUMPRODUCT(--(T_LEAVE[NAME]=$B63),--(T_LEAVE[DATE]&lt;=L$8),--(T_LEAVE[DATE]&gt;=L$8),ROW(T_LEAVE[LEAVE CODE]))-ROW(T_LEAVE[#Headers]))))))),"")</f>
        <v/>
      </c>
      <c r="M63" s="75" t="str">
        <f>IFERROR(IF(M$8="","NA",IF(M$8&lt;INDEX(T_EMP[START DATE],ROW($B63)-ROW($B$8)),"NE",IF(AND(INDEX(T_EMP[TERMINATION DATE],ROW($B63)-ROW($B$8))&gt;0,M$8&gt;INDEX(T_EMP[TERMINATION DATE],ROW($B63)-ROW($B$8))),"NE",IF(NOT(ISERROR(MATCH(M$8,L_HOLS,0))),"H",IF(INDEX(L_WKNDVAL,WEEKDAY(M$8,1))=1,"WKND",INDEX(T_LEAVE[LEAVE CODE],SUMPRODUCT(--(T_LEAVE[NAME]=$B63),--(T_LEAVE[DATE]&lt;=M$8),--(T_LEAVE[DATE]&gt;=M$8),ROW(T_LEAVE[LEAVE CODE]))-ROW(T_LEAVE[#Headers]))))))),"")</f>
        <v/>
      </c>
      <c r="N63" s="75" t="str">
        <f>IFERROR(IF(N$8="","NA",IF(N$8&lt;INDEX(T_EMP[START DATE],ROW($B63)-ROW($B$8)),"NE",IF(AND(INDEX(T_EMP[TERMINATION DATE],ROW($B63)-ROW($B$8))&gt;0,N$8&gt;INDEX(T_EMP[TERMINATION DATE],ROW($B63)-ROW($B$8))),"NE",IF(NOT(ISERROR(MATCH(N$8,L_HOLS,0))),"H",IF(INDEX(L_WKNDVAL,WEEKDAY(N$8,1))=1,"WKND",INDEX(T_LEAVE[LEAVE CODE],SUMPRODUCT(--(T_LEAVE[NAME]=$B63),--(T_LEAVE[DATE]&lt;=N$8),--(T_LEAVE[DATE]&gt;=N$8),ROW(T_LEAVE[LEAVE CODE]))-ROW(T_LEAVE[#Headers]))))))),"")</f>
        <v/>
      </c>
      <c r="O63" s="75" t="str">
        <f>IFERROR(IF(O$8="","NA",IF(O$8&lt;INDEX(T_EMP[START DATE],ROW($B63)-ROW($B$8)),"NE",IF(AND(INDEX(T_EMP[TERMINATION DATE],ROW($B63)-ROW($B$8))&gt;0,O$8&gt;INDEX(T_EMP[TERMINATION DATE],ROW($B63)-ROW($B$8))),"NE",IF(NOT(ISERROR(MATCH(O$8,L_HOLS,0))),"H",IF(INDEX(L_WKNDVAL,WEEKDAY(O$8,1))=1,"WKND",INDEX(T_LEAVE[LEAVE CODE],SUMPRODUCT(--(T_LEAVE[NAME]=$B63),--(T_LEAVE[DATE]&lt;=O$8),--(T_LEAVE[DATE]&gt;=O$8),ROW(T_LEAVE[LEAVE CODE]))-ROW(T_LEAVE[#Headers]))))))),"")</f>
        <v/>
      </c>
      <c r="P63" s="75" t="str">
        <f>IFERROR(IF(P$8="","NA",IF(P$8&lt;INDEX(T_EMP[START DATE],ROW($B63)-ROW($B$8)),"NE",IF(AND(INDEX(T_EMP[TERMINATION DATE],ROW($B63)-ROW($B$8))&gt;0,P$8&gt;INDEX(T_EMP[TERMINATION DATE],ROW($B63)-ROW($B$8))),"NE",IF(NOT(ISERROR(MATCH(P$8,L_HOLS,0))),"H",IF(INDEX(L_WKNDVAL,WEEKDAY(P$8,1))=1,"WKND",INDEX(T_LEAVE[LEAVE CODE],SUMPRODUCT(--(T_LEAVE[NAME]=$B63),--(T_LEAVE[DATE]&lt;=P$8),--(T_LEAVE[DATE]&gt;=P$8),ROW(T_LEAVE[LEAVE CODE]))-ROW(T_LEAVE[#Headers]))))))),"")</f>
        <v>H</v>
      </c>
      <c r="Q63" s="75" t="str">
        <f>IFERROR(IF(Q$8="","NA",IF(Q$8&lt;INDEX(T_EMP[START DATE],ROW($B63)-ROW($B$8)),"NE",IF(AND(INDEX(T_EMP[TERMINATION DATE],ROW($B63)-ROW($B$8))&gt;0,Q$8&gt;INDEX(T_EMP[TERMINATION DATE],ROW($B63)-ROW($B$8))),"NE",IF(NOT(ISERROR(MATCH(Q$8,L_HOLS,0))),"H",IF(INDEX(L_WKNDVAL,WEEKDAY(Q$8,1))=1,"WKND",INDEX(T_LEAVE[LEAVE CODE],SUMPRODUCT(--(T_LEAVE[NAME]=$B63),--(T_LEAVE[DATE]&lt;=Q$8),--(T_LEAVE[DATE]&gt;=Q$8),ROW(T_LEAVE[LEAVE CODE]))-ROW(T_LEAVE[#Headers]))))))),"")</f>
        <v/>
      </c>
      <c r="R63" s="75" t="str">
        <f>IFERROR(IF(R$8="","NA",IF(R$8&lt;INDEX(T_EMP[START DATE],ROW($B63)-ROW($B$8)),"NE",IF(AND(INDEX(T_EMP[TERMINATION DATE],ROW($B63)-ROW($B$8))&gt;0,R$8&gt;INDEX(T_EMP[TERMINATION DATE],ROW($B63)-ROW($B$8))),"NE",IF(NOT(ISERROR(MATCH(R$8,L_HOLS,0))),"H",IF(INDEX(L_WKNDVAL,WEEKDAY(R$8,1))=1,"WKND",INDEX(T_LEAVE[LEAVE CODE],SUMPRODUCT(--(T_LEAVE[NAME]=$B63),--(T_LEAVE[DATE]&lt;=R$8),--(T_LEAVE[DATE]&gt;=R$8),ROW(T_LEAVE[LEAVE CODE]))-ROW(T_LEAVE[#Headers]))))))),"")</f>
        <v/>
      </c>
      <c r="S63" s="75" t="str">
        <f>IFERROR(IF(S$8="","NA",IF(S$8&lt;INDEX(T_EMP[START DATE],ROW($B63)-ROW($B$8)),"NE",IF(AND(INDEX(T_EMP[TERMINATION DATE],ROW($B63)-ROW($B$8))&gt;0,S$8&gt;INDEX(T_EMP[TERMINATION DATE],ROW($B63)-ROW($B$8))),"NE",IF(NOT(ISERROR(MATCH(S$8,L_HOLS,0))),"H",IF(INDEX(L_WKNDVAL,WEEKDAY(S$8,1))=1,"WKND",INDEX(T_LEAVE[LEAVE CODE],SUMPRODUCT(--(T_LEAVE[NAME]=$B63),--(T_LEAVE[DATE]&lt;=S$8),--(T_LEAVE[DATE]&gt;=S$8),ROW(T_LEAVE[LEAVE CODE]))-ROW(T_LEAVE[#Headers]))))))),"")</f>
        <v/>
      </c>
      <c r="T63" s="75" t="str">
        <f>IFERROR(IF(T$8="","NA",IF(T$8&lt;INDEX(T_EMP[START DATE],ROW($B63)-ROW($B$8)),"NE",IF(AND(INDEX(T_EMP[TERMINATION DATE],ROW($B63)-ROW($B$8))&gt;0,T$8&gt;INDEX(T_EMP[TERMINATION DATE],ROW($B63)-ROW($B$8))),"NE",IF(NOT(ISERROR(MATCH(T$8,L_HOLS,0))),"H",IF(INDEX(L_WKNDVAL,WEEKDAY(T$8,1))=1,"WKND",INDEX(T_LEAVE[LEAVE CODE],SUMPRODUCT(--(T_LEAVE[NAME]=$B63),--(T_LEAVE[DATE]&lt;=T$8),--(T_LEAVE[DATE]&gt;=T$8),ROW(T_LEAVE[LEAVE CODE]))-ROW(T_LEAVE[#Headers]))))))),"")</f>
        <v/>
      </c>
      <c r="U63" s="75" t="str">
        <f>IFERROR(IF(U$8="","NA",IF(U$8&lt;INDEX(T_EMP[START DATE],ROW($B63)-ROW($B$8)),"NE",IF(AND(INDEX(T_EMP[TERMINATION DATE],ROW($B63)-ROW($B$8))&gt;0,U$8&gt;INDEX(T_EMP[TERMINATION DATE],ROW($B63)-ROW($B$8))),"NE",IF(NOT(ISERROR(MATCH(U$8,L_HOLS,0))),"H",IF(INDEX(L_WKNDVAL,WEEKDAY(U$8,1))=1,"WKND",INDEX(T_LEAVE[LEAVE CODE],SUMPRODUCT(--(T_LEAVE[NAME]=$B63),--(T_LEAVE[DATE]&lt;=U$8),--(T_LEAVE[DATE]&gt;=U$8),ROW(T_LEAVE[LEAVE CODE]))-ROW(T_LEAVE[#Headers]))))))),"")</f>
        <v/>
      </c>
      <c r="V63" s="75" t="str">
        <f>IFERROR(IF(V$8="","NA",IF(V$8&lt;INDEX(T_EMP[START DATE],ROW($B63)-ROW($B$8)),"NE",IF(AND(INDEX(T_EMP[TERMINATION DATE],ROW($B63)-ROW($B$8))&gt;0,V$8&gt;INDEX(T_EMP[TERMINATION DATE],ROW($B63)-ROW($B$8))),"NE",IF(NOT(ISERROR(MATCH(V$8,L_HOLS,0))),"H",IF(INDEX(L_WKNDVAL,WEEKDAY(V$8,1))=1,"WKND",INDEX(T_LEAVE[LEAVE CODE],SUMPRODUCT(--(T_LEAVE[NAME]=$B63),--(T_LEAVE[DATE]&lt;=V$8),--(T_LEAVE[DATE]&gt;=V$8),ROW(T_LEAVE[LEAVE CODE]))-ROW(T_LEAVE[#Headers]))))))),"")</f>
        <v/>
      </c>
      <c r="W63" s="75" t="str">
        <f>IFERROR(IF(W$8="","NA",IF(W$8&lt;INDEX(T_EMP[START DATE],ROW($B63)-ROW($B$8)),"NE",IF(AND(INDEX(T_EMP[TERMINATION DATE],ROW($B63)-ROW($B$8))&gt;0,W$8&gt;INDEX(T_EMP[TERMINATION DATE],ROW($B63)-ROW($B$8))),"NE",IF(NOT(ISERROR(MATCH(W$8,L_HOLS,0))),"H",IF(INDEX(L_WKNDVAL,WEEKDAY(W$8,1))=1,"WKND",INDEX(T_LEAVE[LEAVE CODE],SUMPRODUCT(--(T_LEAVE[NAME]=$B63),--(T_LEAVE[DATE]&lt;=W$8),--(T_LEAVE[DATE]&gt;=W$8),ROW(T_LEAVE[LEAVE CODE]))-ROW(T_LEAVE[#Headers]))))))),"")</f>
        <v/>
      </c>
      <c r="X63" s="75" t="str">
        <f>IFERROR(IF(X$8="","NA",IF(X$8&lt;INDEX(T_EMP[START DATE],ROW($B63)-ROW($B$8)),"NE",IF(AND(INDEX(T_EMP[TERMINATION DATE],ROW($B63)-ROW($B$8))&gt;0,X$8&gt;INDEX(T_EMP[TERMINATION DATE],ROW($B63)-ROW($B$8))),"NE",IF(NOT(ISERROR(MATCH(X$8,L_HOLS,0))),"H",IF(INDEX(L_WKNDVAL,WEEKDAY(X$8,1))=1,"WKND",INDEX(T_LEAVE[LEAVE CODE],SUMPRODUCT(--(T_LEAVE[NAME]=$B63),--(T_LEAVE[DATE]&lt;=X$8),--(T_LEAVE[DATE]&gt;=X$8),ROW(T_LEAVE[LEAVE CODE]))-ROW(T_LEAVE[#Headers]))))))),"")</f>
        <v/>
      </c>
      <c r="Y63" s="75" t="str">
        <f>IFERROR(IF(Y$8="","NA",IF(Y$8&lt;INDEX(T_EMP[START DATE],ROW($B63)-ROW($B$8)),"NE",IF(AND(INDEX(T_EMP[TERMINATION DATE],ROW($B63)-ROW($B$8))&gt;0,Y$8&gt;INDEX(T_EMP[TERMINATION DATE],ROW($B63)-ROW($B$8))),"NE",IF(NOT(ISERROR(MATCH(Y$8,L_HOLS,0))),"H",IF(INDEX(L_WKNDVAL,WEEKDAY(Y$8,1))=1,"WKND",INDEX(T_LEAVE[LEAVE CODE],SUMPRODUCT(--(T_LEAVE[NAME]=$B63),--(T_LEAVE[DATE]&lt;=Y$8),--(T_LEAVE[DATE]&gt;=Y$8),ROW(T_LEAVE[LEAVE CODE]))-ROW(T_LEAVE[#Headers]))))))),"")</f>
        <v/>
      </c>
      <c r="Z63" s="75" t="str">
        <f>IFERROR(IF(Z$8="","NA",IF(Z$8&lt;INDEX(T_EMP[START DATE],ROW($B63)-ROW($B$8)),"NE",IF(AND(INDEX(T_EMP[TERMINATION DATE],ROW($B63)-ROW($B$8))&gt;0,Z$8&gt;INDEX(T_EMP[TERMINATION DATE],ROW($B63)-ROW($B$8))),"NE",IF(NOT(ISERROR(MATCH(Z$8,L_HOLS,0))),"H",IF(INDEX(L_WKNDVAL,WEEKDAY(Z$8,1))=1,"WKND",INDEX(T_LEAVE[LEAVE CODE],SUMPRODUCT(--(T_LEAVE[NAME]=$B63),--(T_LEAVE[DATE]&lt;=Z$8),--(T_LEAVE[DATE]&gt;=Z$8),ROW(T_LEAVE[LEAVE CODE]))-ROW(T_LEAVE[#Headers]))))))),"")</f>
        <v/>
      </c>
      <c r="AA63" s="75" t="str">
        <f>IFERROR(IF(AA$8="","NA",IF(AA$8&lt;INDEX(T_EMP[START DATE],ROW($B63)-ROW($B$8)),"NE",IF(AND(INDEX(T_EMP[TERMINATION DATE],ROW($B63)-ROW($B$8))&gt;0,AA$8&gt;INDEX(T_EMP[TERMINATION DATE],ROW($B63)-ROW($B$8))),"NE",IF(NOT(ISERROR(MATCH(AA$8,L_HOLS,0))),"H",IF(INDEX(L_WKNDVAL,WEEKDAY(AA$8,1))=1,"WKND",INDEX(T_LEAVE[LEAVE CODE],SUMPRODUCT(--(T_LEAVE[NAME]=$B63),--(T_LEAVE[DATE]&lt;=AA$8),--(T_LEAVE[DATE]&gt;=AA$8),ROW(T_LEAVE[LEAVE CODE]))-ROW(T_LEAVE[#Headers]))))))),"")</f>
        <v/>
      </c>
      <c r="AB63" s="75" t="str">
        <f>IFERROR(IF(AB$8="","NA",IF(AB$8&lt;INDEX(T_EMP[START DATE],ROW($B63)-ROW($B$8)),"NE",IF(AND(INDEX(T_EMP[TERMINATION DATE],ROW($B63)-ROW($B$8))&gt;0,AB$8&gt;INDEX(T_EMP[TERMINATION DATE],ROW($B63)-ROW($B$8))),"NE",IF(NOT(ISERROR(MATCH(AB$8,L_HOLS,0))),"H",IF(INDEX(L_WKNDVAL,WEEKDAY(AB$8,1))=1,"WKND",INDEX(T_LEAVE[LEAVE CODE],SUMPRODUCT(--(T_LEAVE[NAME]=$B63),--(T_LEAVE[DATE]&lt;=AB$8),--(T_LEAVE[DATE]&gt;=AB$8),ROW(T_LEAVE[LEAVE CODE]))-ROW(T_LEAVE[#Headers]))))))),"")</f>
        <v/>
      </c>
      <c r="AC63" s="75" t="str">
        <f>IFERROR(IF(AC$8="","NA",IF(AC$8&lt;INDEX(T_EMP[START DATE],ROW($B63)-ROW($B$8)),"NE",IF(AND(INDEX(T_EMP[TERMINATION DATE],ROW($B63)-ROW($B$8))&gt;0,AC$8&gt;INDEX(T_EMP[TERMINATION DATE],ROW($B63)-ROW($B$8))),"NE",IF(NOT(ISERROR(MATCH(AC$8,L_HOLS,0))),"H",IF(INDEX(L_WKNDVAL,WEEKDAY(AC$8,1))=1,"WKND",INDEX(T_LEAVE[LEAVE CODE],SUMPRODUCT(--(T_LEAVE[NAME]=$B63),--(T_LEAVE[DATE]&lt;=AC$8),--(T_LEAVE[DATE]&gt;=AC$8),ROW(T_LEAVE[LEAVE CODE]))-ROW(T_LEAVE[#Headers]))))))),"")</f>
        <v/>
      </c>
      <c r="AD63" s="75" t="str">
        <f>IFERROR(IF(AD$8="","NA",IF(AD$8&lt;INDEX(T_EMP[START DATE],ROW($B63)-ROW($B$8)),"NE",IF(AND(INDEX(T_EMP[TERMINATION DATE],ROW($B63)-ROW($B$8))&gt;0,AD$8&gt;INDEX(T_EMP[TERMINATION DATE],ROW($B63)-ROW($B$8))),"NE",IF(NOT(ISERROR(MATCH(AD$8,L_HOLS,0))),"H",IF(INDEX(L_WKNDVAL,WEEKDAY(AD$8,1))=1,"WKND",INDEX(T_LEAVE[LEAVE CODE],SUMPRODUCT(--(T_LEAVE[NAME]=$B63),--(T_LEAVE[DATE]&lt;=AD$8),--(T_LEAVE[DATE]&gt;=AD$8),ROW(T_LEAVE[LEAVE CODE]))-ROW(T_LEAVE[#Headers]))))))),"")</f>
        <v/>
      </c>
      <c r="AE63" s="75" t="str">
        <f>IFERROR(IF(AE$8="","NA",IF(AE$8&lt;INDEX(T_EMP[START DATE],ROW($B63)-ROW($B$8)),"NE",IF(AND(INDEX(T_EMP[TERMINATION DATE],ROW($B63)-ROW($B$8))&gt;0,AE$8&gt;INDEX(T_EMP[TERMINATION DATE],ROW($B63)-ROW($B$8))),"NE",IF(NOT(ISERROR(MATCH(AE$8,L_HOLS,0))),"H",IF(INDEX(L_WKNDVAL,WEEKDAY(AE$8,1))=1,"WKND",INDEX(T_LEAVE[LEAVE CODE],SUMPRODUCT(--(T_LEAVE[NAME]=$B63),--(T_LEAVE[DATE]&lt;=AE$8),--(T_LEAVE[DATE]&gt;=AE$8),ROW(T_LEAVE[LEAVE CODE]))-ROW(T_LEAVE[#Headers]))))))),"")</f>
        <v/>
      </c>
      <c r="AF63" s="75" t="str">
        <f>IFERROR(IF(AF$8="","NA",IF(AF$8&lt;INDEX(T_EMP[START DATE],ROW($B63)-ROW($B$8)),"NE",IF(AND(INDEX(T_EMP[TERMINATION DATE],ROW($B63)-ROW($B$8))&gt;0,AF$8&gt;INDEX(T_EMP[TERMINATION DATE],ROW($B63)-ROW($B$8))),"NE",IF(NOT(ISERROR(MATCH(AF$8,L_HOLS,0))),"H",IF(INDEX(L_WKNDVAL,WEEKDAY(AF$8,1))=1,"WKND",INDEX(T_LEAVE[LEAVE CODE],SUMPRODUCT(--(T_LEAVE[NAME]=$B63),--(T_LEAVE[DATE]&lt;=AF$8),--(T_LEAVE[DATE]&gt;=AF$8),ROW(T_LEAVE[LEAVE CODE]))-ROW(T_LEAVE[#Headers]))))))),"")</f>
        <v/>
      </c>
      <c r="AG63" s="75" t="str">
        <f>IFERROR(IF(AG$8="","NA",IF(AG$8&lt;INDEX(T_EMP[START DATE],ROW($B63)-ROW($B$8)),"NE",IF(AND(INDEX(T_EMP[TERMINATION DATE],ROW($B63)-ROW($B$8))&gt;0,AG$8&gt;INDEX(T_EMP[TERMINATION DATE],ROW($B63)-ROW($B$8))),"NE",IF(NOT(ISERROR(MATCH(AG$8,L_HOLS,0))),"H",IF(INDEX(L_WKNDVAL,WEEKDAY(AG$8,1))=1,"WKND",INDEX(T_LEAVE[LEAVE CODE],SUMPRODUCT(--(T_LEAVE[NAME]=$B63),--(T_LEAVE[DATE]&lt;=AG$8),--(T_LEAVE[DATE]&gt;=AG$8),ROW(T_LEAVE[LEAVE CODE]))-ROW(T_LEAVE[#Headers]))))))),"")</f>
        <v/>
      </c>
      <c r="AH63" s="75" t="str">
        <f>IFERROR(IF(AH$8="","NA",IF(AH$8&lt;INDEX(T_EMP[START DATE],ROW($B63)-ROW($B$8)),"NE",IF(AND(INDEX(T_EMP[TERMINATION DATE],ROW($B63)-ROW($B$8))&gt;0,AH$8&gt;INDEX(T_EMP[TERMINATION DATE],ROW($B63)-ROW($B$8))),"NE",IF(NOT(ISERROR(MATCH(AH$8,L_HOLS,0))),"H",IF(INDEX(L_WKNDVAL,WEEKDAY(AH$8,1))=1,"WKND",INDEX(T_LEAVE[LEAVE CODE],SUMPRODUCT(--(T_LEAVE[NAME]=$B63),--(T_LEAVE[DATE]&lt;=AH$8),--(T_LEAVE[DATE]&gt;=AH$8),ROW(T_LEAVE[LEAVE CODE]))-ROW(T_LEAVE[#Headers]))))))),"")</f>
        <v/>
      </c>
      <c r="AJ63" s="88">
        <f>IF(OR($B63="",AJ$8=""),"",COUNTIFS($D63:$AH63,AJ$8)*INDEX(T_LEAVETYPE[DAY VALUE],1))</f>
        <v>0</v>
      </c>
      <c r="AK63" s="88">
        <f>IF(OR($B63="",AK$8=""),"",COUNTIFS($D63:$AH63,AK$8)*INDEX(T_LEAVETYPE[DAY VALUE],1))</f>
        <v>0</v>
      </c>
      <c r="AL63" s="88">
        <f>IF(OR($B63="",AL$8=""),"",COUNTIFS($D63:$AH63,AL$8)*INDEX(T_LEAVETYPE[DAY VALUE],1))</f>
        <v>0</v>
      </c>
      <c r="AM63" s="88">
        <f>IF(OR($B63="",AM$8=""),"",COUNTIFS($D63:$AH63,AM$8)*INDEX(T_LEAVETYPE[DAY VALUE],1))</f>
        <v>0</v>
      </c>
      <c r="AN63" s="88">
        <f>IF(OR($B63="",AN$8=""),"",COUNTIFS($D63:$AH63,AN$8)*INDEX(T_LEAVETYPE[DAY VALUE],1))</f>
        <v>0</v>
      </c>
      <c r="AO63" s="88">
        <f>IF(OR($B63="",AO$8=""),"",COUNTIFS($D63:$AH63,AO$8)*INDEX(T_LEAVETYPE[DAY VALUE],6))</f>
        <v>0</v>
      </c>
      <c r="AP63" s="88">
        <f>IF(OR($B63="",AP$8=""),"",COUNTIFS($D63:$AH63,AP$8)*INDEX(T_LEAVETYPE[DAY VALUE],7))</f>
        <v>0</v>
      </c>
      <c r="AQ63" s="88">
        <f>IF(OR($B63="",AQ$8=""),"",COUNTIFS($D63:$AH63,AQ$8)*INDEX(T_LEAVETYPE[DAY VALUE],8))</f>
        <v>0</v>
      </c>
      <c r="AR63" s="89">
        <f t="shared" si="5"/>
        <v>0</v>
      </c>
    </row>
    <row r="64" spans="1:44" x14ac:dyDescent="0.25">
      <c r="A64" s="90">
        <f t="shared" si="4"/>
        <v>56</v>
      </c>
      <c r="B64" s="74" t="str">
        <f>IFERROR(INDEX(T_EMP[NAME],ROW(B64)-ROW($B$8)),"")</f>
        <v>SISON, JONATHAN</v>
      </c>
      <c r="C64" s="91" t="str">
        <f>IFERROR(INDEX(T_EMP[DEPARTMENT],ROW(B64)-ROW($C$8)),"")</f>
        <v>OPERATIONS</v>
      </c>
      <c r="D64" s="75" t="str">
        <f>IFERROR(IF(D$8="","NA",IF(D$8&lt;INDEX(T_EMP[START DATE],ROW($B64)-ROW($B$8)),"NE",IF(AND(INDEX(T_EMP[TERMINATION DATE],ROW($B64)-ROW($B$8))&gt;0,D$8&gt;INDEX(T_EMP[TERMINATION DATE],ROW($B64)-ROW($B$8))),"NE",IF(NOT(ISERROR(MATCH(D$8,L_HOLS,0))),"H",IF(INDEX(L_WKNDVAL,WEEKDAY(D$8,1))=1,"WKND",INDEX(T_LEAVE[LEAVE CODE],SUMPRODUCT(--(T_LEAVE[NAME]=$B64),--(T_LEAVE[DATE]&lt;=D$8),--(T_LEAVE[DATE]&gt;=D$8),ROW(T_LEAVE[LEAVE CODE]))-ROW(T_LEAVE[#Headers]))))))),"")</f>
        <v>H</v>
      </c>
      <c r="E64" s="75" t="str">
        <f>IFERROR(IF(E$8="","NA",IF(E$8&lt;INDEX(T_EMP[START DATE],ROW($B64)-ROW($B$8)),"NE",IF(AND(INDEX(T_EMP[TERMINATION DATE],ROW($B64)-ROW($B$8))&gt;0,E$8&gt;INDEX(T_EMP[TERMINATION DATE],ROW($B64)-ROW($B$8))),"NE",IF(NOT(ISERROR(MATCH(E$8,L_HOLS,0))),"H",IF(INDEX(L_WKNDVAL,WEEKDAY(E$8,1))=1,"WKND",INDEX(T_LEAVE[LEAVE CODE],SUMPRODUCT(--(T_LEAVE[NAME]=$B64),--(T_LEAVE[DATE]&lt;=E$8),--(T_LEAVE[DATE]&gt;=E$8),ROW(T_LEAVE[LEAVE CODE]))-ROW(T_LEAVE[#Headers]))))))),"")</f>
        <v/>
      </c>
      <c r="F64" s="75" t="str">
        <f>IFERROR(IF(F$8="","NA",IF(F$8&lt;INDEX(T_EMP[START DATE],ROW($B64)-ROW($B$8)),"NE",IF(AND(INDEX(T_EMP[TERMINATION DATE],ROW($B64)-ROW($B$8))&gt;0,F$8&gt;INDEX(T_EMP[TERMINATION DATE],ROW($B64)-ROW($B$8))),"NE",IF(NOT(ISERROR(MATCH(F$8,L_HOLS,0))),"H",IF(INDEX(L_WKNDVAL,WEEKDAY(F$8,1))=1,"WKND",INDEX(T_LEAVE[LEAVE CODE],SUMPRODUCT(--(T_LEAVE[NAME]=$B64),--(T_LEAVE[DATE]&lt;=F$8),--(T_LEAVE[DATE]&gt;=F$8),ROW(T_LEAVE[LEAVE CODE]))-ROW(T_LEAVE[#Headers]))))))),"")</f>
        <v/>
      </c>
      <c r="G64" s="75" t="str">
        <f>IFERROR(IF(G$8="","NA",IF(G$8&lt;INDEX(T_EMP[START DATE],ROW($B64)-ROW($B$8)),"NE",IF(AND(INDEX(T_EMP[TERMINATION DATE],ROW($B64)-ROW($B$8))&gt;0,G$8&gt;INDEX(T_EMP[TERMINATION DATE],ROW($B64)-ROW($B$8))),"NE",IF(NOT(ISERROR(MATCH(G$8,L_HOLS,0))),"H",IF(INDEX(L_WKNDVAL,WEEKDAY(G$8,1))=1,"WKND",INDEX(T_LEAVE[LEAVE CODE],SUMPRODUCT(--(T_LEAVE[NAME]=$B64),--(T_LEAVE[DATE]&lt;=G$8),--(T_LEAVE[DATE]&gt;=G$8),ROW(T_LEAVE[LEAVE CODE]))-ROW(T_LEAVE[#Headers]))))))),"")</f>
        <v/>
      </c>
      <c r="H64" s="75" t="str">
        <f>IFERROR(IF(H$8="","NA",IF(H$8&lt;INDEX(T_EMP[START DATE],ROW($B64)-ROW($B$8)),"NE",IF(AND(INDEX(T_EMP[TERMINATION DATE],ROW($B64)-ROW($B$8))&gt;0,H$8&gt;INDEX(T_EMP[TERMINATION DATE],ROW($B64)-ROW($B$8))),"NE",IF(NOT(ISERROR(MATCH(H$8,L_HOLS,0))),"H",IF(INDEX(L_WKNDVAL,WEEKDAY(H$8,1))=1,"WKND",INDEX(T_LEAVE[LEAVE CODE],SUMPRODUCT(--(T_LEAVE[NAME]=$B64),--(T_LEAVE[DATE]&lt;=H$8),--(T_LEAVE[DATE]&gt;=H$8),ROW(T_LEAVE[LEAVE CODE]))-ROW(T_LEAVE[#Headers]))))))),"")</f>
        <v/>
      </c>
      <c r="I64" s="75" t="str">
        <f>IFERROR(IF(I$8="","NA",IF(I$8&lt;INDEX(T_EMP[START DATE],ROW($B64)-ROW($B$8)),"NE",IF(AND(INDEX(T_EMP[TERMINATION DATE],ROW($B64)-ROW($B$8))&gt;0,I$8&gt;INDEX(T_EMP[TERMINATION DATE],ROW($B64)-ROW($B$8))),"NE",IF(NOT(ISERROR(MATCH(I$8,L_HOLS,0))),"H",IF(INDEX(L_WKNDVAL,WEEKDAY(I$8,1))=1,"WKND",INDEX(T_LEAVE[LEAVE CODE],SUMPRODUCT(--(T_LEAVE[NAME]=$B64),--(T_LEAVE[DATE]&lt;=I$8),--(T_LEAVE[DATE]&gt;=I$8),ROW(T_LEAVE[LEAVE CODE]))-ROW(T_LEAVE[#Headers]))))))),"")</f>
        <v/>
      </c>
      <c r="J64" s="75" t="str">
        <f>IFERROR(IF(J$8="","NA",IF(J$8&lt;INDEX(T_EMP[START DATE],ROW($B64)-ROW($B$8)),"NE",IF(AND(INDEX(T_EMP[TERMINATION DATE],ROW($B64)-ROW($B$8))&gt;0,J$8&gt;INDEX(T_EMP[TERMINATION DATE],ROW($B64)-ROW($B$8))),"NE",IF(NOT(ISERROR(MATCH(J$8,L_HOLS,0))),"H",IF(INDEX(L_WKNDVAL,WEEKDAY(J$8,1))=1,"WKND",INDEX(T_LEAVE[LEAVE CODE],SUMPRODUCT(--(T_LEAVE[NAME]=$B64),--(T_LEAVE[DATE]&lt;=J$8),--(T_LEAVE[DATE]&gt;=J$8),ROW(T_LEAVE[LEAVE CODE]))-ROW(T_LEAVE[#Headers]))))))),"")</f>
        <v/>
      </c>
      <c r="K64" s="75" t="str">
        <f>IFERROR(IF(K$8="","NA",IF(K$8&lt;INDEX(T_EMP[START DATE],ROW($B64)-ROW($B$8)),"NE",IF(AND(INDEX(T_EMP[TERMINATION DATE],ROW($B64)-ROW($B$8))&gt;0,K$8&gt;INDEX(T_EMP[TERMINATION DATE],ROW($B64)-ROW($B$8))),"NE",IF(NOT(ISERROR(MATCH(K$8,L_HOLS,0))),"H",IF(INDEX(L_WKNDVAL,WEEKDAY(K$8,1))=1,"WKND",INDEX(T_LEAVE[LEAVE CODE],SUMPRODUCT(--(T_LEAVE[NAME]=$B64),--(T_LEAVE[DATE]&lt;=K$8),--(T_LEAVE[DATE]&gt;=K$8),ROW(T_LEAVE[LEAVE CODE]))-ROW(T_LEAVE[#Headers]))))))),"")</f>
        <v/>
      </c>
      <c r="L64" s="75" t="str">
        <f>IFERROR(IF(L$8="","NA",IF(L$8&lt;INDEX(T_EMP[START DATE],ROW($B64)-ROW($B$8)),"NE",IF(AND(INDEX(T_EMP[TERMINATION DATE],ROW($B64)-ROW($B$8))&gt;0,L$8&gt;INDEX(T_EMP[TERMINATION DATE],ROW($B64)-ROW($B$8))),"NE",IF(NOT(ISERROR(MATCH(L$8,L_HOLS,0))),"H",IF(INDEX(L_WKNDVAL,WEEKDAY(L$8,1))=1,"WKND",INDEX(T_LEAVE[LEAVE CODE],SUMPRODUCT(--(T_LEAVE[NAME]=$B64),--(T_LEAVE[DATE]&lt;=L$8),--(T_LEAVE[DATE]&gt;=L$8),ROW(T_LEAVE[LEAVE CODE]))-ROW(T_LEAVE[#Headers]))))))),"")</f>
        <v/>
      </c>
      <c r="M64" s="75" t="str">
        <f>IFERROR(IF(M$8="","NA",IF(M$8&lt;INDEX(T_EMP[START DATE],ROW($B64)-ROW($B$8)),"NE",IF(AND(INDEX(T_EMP[TERMINATION DATE],ROW($B64)-ROW($B$8))&gt;0,M$8&gt;INDEX(T_EMP[TERMINATION DATE],ROW($B64)-ROW($B$8))),"NE",IF(NOT(ISERROR(MATCH(M$8,L_HOLS,0))),"H",IF(INDEX(L_WKNDVAL,WEEKDAY(M$8,1))=1,"WKND",INDEX(T_LEAVE[LEAVE CODE],SUMPRODUCT(--(T_LEAVE[NAME]=$B64),--(T_LEAVE[DATE]&lt;=M$8),--(T_LEAVE[DATE]&gt;=M$8),ROW(T_LEAVE[LEAVE CODE]))-ROW(T_LEAVE[#Headers]))))))),"")</f>
        <v/>
      </c>
      <c r="N64" s="75" t="str">
        <f>IFERROR(IF(N$8="","NA",IF(N$8&lt;INDEX(T_EMP[START DATE],ROW($B64)-ROW($B$8)),"NE",IF(AND(INDEX(T_EMP[TERMINATION DATE],ROW($B64)-ROW($B$8))&gt;0,N$8&gt;INDEX(T_EMP[TERMINATION DATE],ROW($B64)-ROW($B$8))),"NE",IF(NOT(ISERROR(MATCH(N$8,L_HOLS,0))),"H",IF(INDEX(L_WKNDVAL,WEEKDAY(N$8,1))=1,"WKND",INDEX(T_LEAVE[LEAVE CODE],SUMPRODUCT(--(T_LEAVE[NAME]=$B64),--(T_LEAVE[DATE]&lt;=N$8),--(T_LEAVE[DATE]&gt;=N$8),ROW(T_LEAVE[LEAVE CODE]))-ROW(T_LEAVE[#Headers]))))))),"")</f>
        <v/>
      </c>
      <c r="O64" s="75" t="str">
        <f>IFERROR(IF(O$8="","NA",IF(O$8&lt;INDEX(T_EMP[START DATE],ROW($B64)-ROW($B$8)),"NE",IF(AND(INDEX(T_EMP[TERMINATION DATE],ROW($B64)-ROW($B$8))&gt;0,O$8&gt;INDEX(T_EMP[TERMINATION DATE],ROW($B64)-ROW($B$8))),"NE",IF(NOT(ISERROR(MATCH(O$8,L_HOLS,0))),"H",IF(INDEX(L_WKNDVAL,WEEKDAY(O$8,1))=1,"WKND",INDEX(T_LEAVE[LEAVE CODE],SUMPRODUCT(--(T_LEAVE[NAME]=$B64),--(T_LEAVE[DATE]&lt;=O$8),--(T_LEAVE[DATE]&gt;=O$8),ROW(T_LEAVE[LEAVE CODE]))-ROW(T_LEAVE[#Headers]))))))),"")</f>
        <v/>
      </c>
      <c r="P64" s="75" t="str">
        <f>IFERROR(IF(P$8="","NA",IF(P$8&lt;INDEX(T_EMP[START DATE],ROW($B64)-ROW($B$8)),"NE",IF(AND(INDEX(T_EMP[TERMINATION DATE],ROW($B64)-ROW($B$8))&gt;0,P$8&gt;INDEX(T_EMP[TERMINATION DATE],ROW($B64)-ROW($B$8))),"NE",IF(NOT(ISERROR(MATCH(P$8,L_HOLS,0))),"H",IF(INDEX(L_WKNDVAL,WEEKDAY(P$8,1))=1,"WKND",INDEX(T_LEAVE[LEAVE CODE],SUMPRODUCT(--(T_LEAVE[NAME]=$B64),--(T_LEAVE[DATE]&lt;=P$8),--(T_LEAVE[DATE]&gt;=P$8),ROW(T_LEAVE[LEAVE CODE]))-ROW(T_LEAVE[#Headers]))))))),"")</f>
        <v>H</v>
      </c>
      <c r="Q64" s="75" t="str">
        <f>IFERROR(IF(Q$8="","NA",IF(Q$8&lt;INDEX(T_EMP[START DATE],ROW($B64)-ROW($B$8)),"NE",IF(AND(INDEX(T_EMP[TERMINATION DATE],ROW($B64)-ROW($B$8))&gt;0,Q$8&gt;INDEX(T_EMP[TERMINATION DATE],ROW($B64)-ROW($B$8))),"NE",IF(NOT(ISERROR(MATCH(Q$8,L_HOLS,0))),"H",IF(INDEX(L_WKNDVAL,WEEKDAY(Q$8,1))=1,"WKND",INDEX(T_LEAVE[LEAVE CODE],SUMPRODUCT(--(T_LEAVE[NAME]=$B64),--(T_LEAVE[DATE]&lt;=Q$8),--(T_LEAVE[DATE]&gt;=Q$8),ROW(T_LEAVE[LEAVE CODE]))-ROW(T_LEAVE[#Headers]))))))),"")</f>
        <v/>
      </c>
      <c r="R64" s="75" t="str">
        <f>IFERROR(IF(R$8="","NA",IF(R$8&lt;INDEX(T_EMP[START DATE],ROW($B64)-ROW($B$8)),"NE",IF(AND(INDEX(T_EMP[TERMINATION DATE],ROW($B64)-ROW($B$8))&gt;0,R$8&gt;INDEX(T_EMP[TERMINATION DATE],ROW($B64)-ROW($B$8))),"NE",IF(NOT(ISERROR(MATCH(R$8,L_HOLS,0))),"H",IF(INDEX(L_WKNDVAL,WEEKDAY(R$8,1))=1,"WKND",INDEX(T_LEAVE[LEAVE CODE],SUMPRODUCT(--(T_LEAVE[NAME]=$B64),--(T_LEAVE[DATE]&lt;=R$8),--(T_LEAVE[DATE]&gt;=R$8),ROW(T_LEAVE[LEAVE CODE]))-ROW(T_LEAVE[#Headers]))))))),"")</f>
        <v/>
      </c>
      <c r="S64" s="75" t="str">
        <f>IFERROR(IF(S$8="","NA",IF(S$8&lt;INDEX(T_EMP[START DATE],ROW($B64)-ROW($B$8)),"NE",IF(AND(INDEX(T_EMP[TERMINATION DATE],ROW($B64)-ROW($B$8))&gt;0,S$8&gt;INDEX(T_EMP[TERMINATION DATE],ROW($B64)-ROW($B$8))),"NE",IF(NOT(ISERROR(MATCH(S$8,L_HOLS,0))),"H",IF(INDEX(L_WKNDVAL,WEEKDAY(S$8,1))=1,"WKND",INDEX(T_LEAVE[LEAVE CODE],SUMPRODUCT(--(T_LEAVE[NAME]=$B64),--(T_LEAVE[DATE]&lt;=S$8),--(T_LEAVE[DATE]&gt;=S$8),ROW(T_LEAVE[LEAVE CODE]))-ROW(T_LEAVE[#Headers]))))))),"")</f>
        <v/>
      </c>
      <c r="T64" s="75" t="str">
        <f>IFERROR(IF(T$8="","NA",IF(T$8&lt;INDEX(T_EMP[START DATE],ROW($B64)-ROW($B$8)),"NE",IF(AND(INDEX(T_EMP[TERMINATION DATE],ROW($B64)-ROW($B$8))&gt;0,T$8&gt;INDEX(T_EMP[TERMINATION DATE],ROW($B64)-ROW($B$8))),"NE",IF(NOT(ISERROR(MATCH(T$8,L_HOLS,0))),"H",IF(INDEX(L_WKNDVAL,WEEKDAY(T$8,1))=1,"WKND",INDEX(T_LEAVE[LEAVE CODE],SUMPRODUCT(--(T_LEAVE[NAME]=$B64),--(T_LEAVE[DATE]&lt;=T$8),--(T_LEAVE[DATE]&gt;=T$8),ROW(T_LEAVE[LEAVE CODE]))-ROW(T_LEAVE[#Headers]))))))),"")</f>
        <v/>
      </c>
      <c r="U64" s="75" t="str">
        <f>IFERROR(IF(U$8="","NA",IF(U$8&lt;INDEX(T_EMP[START DATE],ROW($B64)-ROW($B$8)),"NE",IF(AND(INDEX(T_EMP[TERMINATION DATE],ROW($B64)-ROW($B$8))&gt;0,U$8&gt;INDEX(T_EMP[TERMINATION DATE],ROW($B64)-ROW($B$8))),"NE",IF(NOT(ISERROR(MATCH(U$8,L_HOLS,0))),"H",IF(INDEX(L_WKNDVAL,WEEKDAY(U$8,1))=1,"WKND",INDEX(T_LEAVE[LEAVE CODE],SUMPRODUCT(--(T_LEAVE[NAME]=$B64),--(T_LEAVE[DATE]&lt;=U$8),--(T_LEAVE[DATE]&gt;=U$8),ROW(T_LEAVE[LEAVE CODE]))-ROW(T_LEAVE[#Headers]))))))),"")</f>
        <v/>
      </c>
      <c r="V64" s="75" t="str">
        <f>IFERROR(IF(V$8="","NA",IF(V$8&lt;INDEX(T_EMP[START DATE],ROW($B64)-ROW($B$8)),"NE",IF(AND(INDEX(T_EMP[TERMINATION DATE],ROW($B64)-ROW($B$8))&gt;0,V$8&gt;INDEX(T_EMP[TERMINATION DATE],ROW($B64)-ROW($B$8))),"NE",IF(NOT(ISERROR(MATCH(V$8,L_HOLS,0))),"H",IF(INDEX(L_WKNDVAL,WEEKDAY(V$8,1))=1,"WKND",INDEX(T_LEAVE[LEAVE CODE],SUMPRODUCT(--(T_LEAVE[NAME]=$B64),--(T_LEAVE[DATE]&lt;=V$8),--(T_LEAVE[DATE]&gt;=V$8),ROW(T_LEAVE[LEAVE CODE]))-ROW(T_LEAVE[#Headers]))))))),"")</f>
        <v/>
      </c>
      <c r="W64" s="75" t="str">
        <f>IFERROR(IF(W$8="","NA",IF(W$8&lt;INDEX(T_EMP[START DATE],ROW($B64)-ROW($B$8)),"NE",IF(AND(INDEX(T_EMP[TERMINATION DATE],ROW($B64)-ROW($B$8))&gt;0,W$8&gt;INDEX(T_EMP[TERMINATION DATE],ROW($B64)-ROW($B$8))),"NE",IF(NOT(ISERROR(MATCH(W$8,L_HOLS,0))),"H",IF(INDEX(L_WKNDVAL,WEEKDAY(W$8,1))=1,"WKND",INDEX(T_LEAVE[LEAVE CODE],SUMPRODUCT(--(T_LEAVE[NAME]=$B64),--(T_LEAVE[DATE]&lt;=W$8),--(T_LEAVE[DATE]&gt;=W$8),ROW(T_LEAVE[LEAVE CODE]))-ROW(T_LEAVE[#Headers]))))))),"")</f>
        <v/>
      </c>
      <c r="X64" s="75" t="str">
        <f>IFERROR(IF(X$8="","NA",IF(X$8&lt;INDEX(T_EMP[START DATE],ROW($B64)-ROW($B$8)),"NE",IF(AND(INDEX(T_EMP[TERMINATION DATE],ROW($B64)-ROW($B$8))&gt;0,X$8&gt;INDEX(T_EMP[TERMINATION DATE],ROW($B64)-ROW($B$8))),"NE",IF(NOT(ISERROR(MATCH(X$8,L_HOLS,0))),"H",IF(INDEX(L_WKNDVAL,WEEKDAY(X$8,1))=1,"WKND",INDEX(T_LEAVE[LEAVE CODE],SUMPRODUCT(--(T_LEAVE[NAME]=$B64),--(T_LEAVE[DATE]&lt;=X$8),--(T_LEAVE[DATE]&gt;=X$8),ROW(T_LEAVE[LEAVE CODE]))-ROW(T_LEAVE[#Headers]))))))),"")</f>
        <v/>
      </c>
      <c r="Y64" s="75" t="str">
        <f>IFERROR(IF(Y$8="","NA",IF(Y$8&lt;INDEX(T_EMP[START DATE],ROW($B64)-ROW($B$8)),"NE",IF(AND(INDEX(T_EMP[TERMINATION DATE],ROW($B64)-ROW($B$8))&gt;0,Y$8&gt;INDEX(T_EMP[TERMINATION DATE],ROW($B64)-ROW($B$8))),"NE",IF(NOT(ISERROR(MATCH(Y$8,L_HOLS,0))),"H",IF(INDEX(L_WKNDVAL,WEEKDAY(Y$8,1))=1,"WKND",INDEX(T_LEAVE[LEAVE CODE],SUMPRODUCT(--(T_LEAVE[NAME]=$B64),--(T_LEAVE[DATE]&lt;=Y$8),--(T_LEAVE[DATE]&gt;=Y$8),ROW(T_LEAVE[LEAVE CODE]))-ROW(T_LEAVE[#Headers]))))))),"")</f>
        <v/>
      </c>
      <c r="Z64" s="75" t="str">
        <f>IFERROR(IF(Z$8="","NA",IF(Z$8&lt;INDEX(T_EMP[START DATE],ROW($B64)-ROW($B$8)),"NE",IF(AND(INDEX(T_EMP[TERMINATION DATE],ROW($B64)-ROW($B$8))&gt;0,Z$8&gt;INDEX(T_EMP[TERMINATION DATE],ROW($B64)-ROW($B$8))),"NE",IF(NOT(ISERROR(MATCH(Z$8,L_HOLS,0))),"H",IF(INDEX(L_WKNDVAL,WEEKDAY(Z$8,1))=1,"WKND",INDEX(T_LEAVE[LEAVE CODE],SUMPRODUCT(--(T_LEAVE[NAME]=$B64),--(T_LEAVE[DATE]&lt;=Z$8),--(T_LEAVE[DATE]&gt;=Z$8),ROW(T_LEAVE[LEAVE CODE]))-ROW(T_LEAVE[#Headers]))))))),"")</f>
        <v/>
      </c>
      <c r="AA64" s="75" t="str">
        <f>IFERROR(IF(AA$8="","NA",IF(AA$8&lt;INDEX(T_EMP[START DATE],ROW($B64)-ROW($B$8)),"NE",IF(AND(INDEX(T_EMP[TERMINATION DATE],ROW($B64)-ROW($B$8))&gt;0,AA$8&gt;INDEX(T_EMP[TERMINATION DATE],ROW($B64)-ROW($B$8))),"NE",IF(NOT(ISERROR(MATCH(AA$8,L_HOLS,0))),"H",IF(INDEX(L_WKNDVAL,WEEKDAY(AA$8,1))=1,"WKND",INDEX(T_LEAVE[LEAVE CODE],SUMPRODUCT(--(T_LEAVE[NAME]=$B64),--(T_LEAVE[DATE]&lt;=AA$8),--(T_LEAVE[DATE]&gt;=AA$8),ROW(T_LEAVE[LEAVE CODE]))-ROW(T_LEAVE[#Headers]))))))),"")</f>
        <v/>
      </c>
      <c r="AB64" s="75" t="str">
        <f>IFERROR(IF(AB$8="","NA",IF(AB$8&lt;INDEX(T_EMP[START DATE],ROW($B64)-ROW($B$8)),"NE",IF(AND(INDEX(T_EMP[TERMINATION DATE],ROW($B64)-ROW($B$8))&gt;0,AB$8&gt;INDEX(T_EMP[TERMINATION DATE],ROW($B64)-ROW($B$8))),"NE",IF(NOT(ISERROR(MATCH(AB$8,L_HOLS,0))),"H",IF(INDEX(L_WKNDVAL,WEEKDAY(AB$8,1))=1,"WKND",INDEX(T_LEAVE[LEAVE CODE],SUMPRODUCT(--(T_LEAVE[NAME]=$B64),--(T_LEAVE[DATE]&lt;=AB$8),--(T_LEAVE[DATE]&gt;=AB$8),ROW(T_LEAVE[LEAVE CODE]))-ROW(T_LEAVE[#Headers]))))))),"")</f>
        <v/>
      </c>
      <c r="AC64" s="75" t="str">
        <f>IFERROR(IF(AC$8="","NA",IF(AC$8&lt;INDEX(T_EMP[START DATE],ROW($B64)-ROW($B$8)),"NE",IF(AND(INDEX(T_EMP[TERMINATION DATE],ROW($B64)-ROW($B$8))&gt;0,AC$8&gt;INDEX(T_EMP[TERMINATION DATE],ROW($B64)-ROW($B$8))),"NE",IF(NOT(ISERROR(MATCH(AC$8,L_HOLS,0))),"H",IF(INDEX(L_WKNDVAL,WEEKDAY(AC$8,1))=1,"WKND",INDEX(T_LEAVE[LEAVE CODE],SUMPRODUCT(--(T_LEAVE[NAME]=$B64),--(T_LEAVE[DATE]&lt;=AC$8),--(T_LEAVE[DATE]&gt;=AC$8),ROW(T_LEAVE[LEAVE CODE]))-ROW(T_LEAVE[#Headers]))))))),"")</f>
        <v/>
      </c>
      <c r="AD64" s="75" t="str">
        <f>IFERROR(IF(AD$8="","NA",IF(AD$8&lt;INDEX(T_EMP[START DATE],ROW($B64)-ROW($B$8)),"NE",IF(AND(INDEX(T_EMP[TERMINATION DATE],ROW($B64)-ROW($B$8))&gt;0,AD$8&gt;INDEX(T_EMP[TERMINATION DATE],ROW($B64)-ROW($B$8))),"NE",IF(NOT(ISERROR(MATCH(AD$8,L_HOLS,0))),"H",IF(INDEX(L_WKNDVAL,WEEKDAY(AD$8,1))=1,"WKND",INDEX(T_LEAVE[LEAVE CODE],SUMPRODUCT(--(T_LEAVE[NAME]=$B64),--(T_LEAVE[DATE]&lt;=AD$8),--(T_LEAVE[DATE]&gt;=AD$8),ROW(T_LEAVE[LEAVE CODE]))-ROW(T_LEAVE[#Headers]))))))),"")</f>
        <v/>
      </c>
      <c r="AE64" s="75" t="str">
        <f>IFERROR(IF(AE$8="","NA",IF(AE$8&lt;INDEX(T_EMP[START DATE],ROW($B64)-ROW($B$8)),"NE",IF(AND(INDEX(T_EMP[TERMINATION DATE],ROW($B64)-ROW($B$8))&gt;0,AE$8&gt;INDEX(T_EMP[TERMINATION DATE],ROW($B64)-ROW($B$8))),"NE",IF(NOT(ISERROR(MATCH(AE$8,L_HOLS,0))),"H",IF(INDEX(L_WKNDVAL,WEEKDAY(AE$8,1))=1,"WKND",INDEX(T_LEAVE[LEAVE CODE],SUMPRODUCT(--(T_LEAVE[NAME]=$B64),--(T_LEAVE[DATE]&lt;=AE$8),--(T_LEAVE[DATE]&gt;=AE$8),ROW(T_LEAVE[LEAVE CODE]))-ROW(T_LEAVE[#Headers]))))))),"")</f>
        <v/>
      </c>
      <c r="AF64" s="75" t="str">
        <f>IFERROR(IF(AF$8="","NA",IF(AF$8&lt;INDEX(T_EMP[START DATE],ROW($B64)-ROW($B$8)),"NE",IF(AND(INDEX(T_EMP[TERMINATION DATE],ROW($B64)-ROW($B$8))&gt;0,AF$8&gt;INDEX(T_EMP[TERMINATION DATE],ROW($B64)-ROW($B$8))),"NE",IF(NOT(ISERROR(MATCH(AF$8,L_HOLS,0))),"H",IF(INDEX(L_WKNDVAL,WEEKDAY(AF$8,1))=1,"WKND",INDEX(T_LEAVE[LEAVE CODE],SUMPRODUCT(--(T_LEAVE[NAME]=$B64),--(T_LEAVE[DATE]&lt;=AF$8),--(T_LEAVE[DATE]&gt;=AF$8),ROW(T_LEAVE[LEAVE CODE]))-ROW(T_LEAVE[#Headers]))))))),"")</f>
        <v/>
      </c>
      <c r="AG64" s="75" t="str">
        <f>IFERROR(IF(AG$8="","NA",IF(AG$8&lt;INDEX(T_EMP[START DATE],ROW($B64)-ROW($B$8)),"NE",IF(AND(INDEX(T_EMP[TERMINATION DATE],ROW($B64)-ROW($B$8))&gt;0,AG$8&gt;INDEX(T_EMP[TERMINATION DATE],ROW($B64)-ROW($B$8))),"NE",IF(NOT(ISERROR(MATCH(AG$8,L_HOLS,0))),"H",IF(INDEX(L_WKNDVAL,WEEKDAY(AG$8,1))=1,"WKND",INDEX(T_LEAVE[LEAVE CODE],SUMPRODUCT(--(T_LEAVE[NAME]=$B64),--(T_LEAVE[DATE]&lt;=AG$8),--(T_LEAVE[DATE]&gt;=AG$8),ROW(T_LEAVE[LEAVE CODE]))-ROW(T_LEAVE[#Headers]))))))),"")</f>
        <v/>
      </c>
      <c r="AH64" s="75" t="str">
        <f>IFERROR(IF(AH$8="","NA",IF(AH$8&lt;INDEX(T_EMP[START DATE],ROW($B64)-ROW($B$8)),"NE",IF(AND(INDEX(T_EMP[TERMINATION DATE],ROW($B64)-ROW($B$8))&gt;0,AH$8&gt;INDEX(T_EMP[TERMINATION DATE],ROW($B64)-ROW($B$8))),"NE",IF(NOT(ISERROR(MATCH(AH$8,L_HOLS,0))),"H",IF(INDEX(L_WKNDVAL,WEEKDAY(AH$8,1))=1,"WKND",INDEX(T_LEAVE[LEAVE CODE],SUMPRODUCT(--(T_LEAVE[NAME]=$B64),--(T_LEAVE[DATE]&lt;=AH$8),--(T_LEAVE[DATE]&gt;=AH$8),ROW(T_LEAVE[LEAVE CODE]))-ROW(T_LEAVE[#Headers]))))))),"")</f>
        <v/>
      </c>
      <c r="AJ64" s="88">
        <f>IF(OR($B64="",AJ$8=""),"",COUNTIFS($D64:$AH64,AJ$8)*INDEX(T_LEAVETYPE[DAY VALUE],1))</f>
        <v>0</v>
      </c>
      <c r="AK64" s="88">
        <f>IF(OR($B64="",AK$8=""),"",COUNTIFS($D64:$AH64,AK$8)*INDEX(T_LEAVETYPE[DAY VALUE],1))</f>
        <v>0</v>
      </c>
      <c r="AL64" s="88">
        <f>IF(OR($B64="",AL$8=""),"",COUNTIFS($D64:$AH64,AL$8)*INDEX(T_LEAVETYPE[DAY VALUE],1))</f>
        <v>0</v>
      </c>
      <c r="AM64" s="88">
        <f>IF(OR($B64="",AM$8=""),"",COUNTIFS($D64:$AH64,AM$8)*INDEX(T_LEAVETYPE[DAY VALUE],1))</f>
        <v>0</v>
      </c>
      <c r="AN64" s="88">
        <f>IF(OR($B64="",AN$8=""),"",COUNTIFS($D64:$AH64,AN$8)*INDEX(T_LEAVETYPE[DAY VALUE],1))</f>
        <v>0</v>
      </c>
      <c r="AO64" s="88">
        <f>IF(OR($B64="",AO$8=""),"",COUNTIFS($D64:$AH64,AO$8)*INDEX(T_LEAVETYPE[DAY VALUE],6))</f>
        <v>0</v>
      </c>
      <c r="AP64" s="88">
        <f>IF(OR($B64="",AP$8=""),"",COUNTIFS($D64:$AH64,AP$8)*INDEX(T_LEAVETYPE[DAY VALUE],7))</f>
        <v>0</v>
      </c>
      <c r="AQ64" s="88">
        <f>IF(OR($B64="",AQ$8=""),"",COUNTIFS($D64:$AH64,AQ$8)*INDEX(T_LEAVETYPE[DAY VALUE],8))</f>
        <v>0</v>
      </c>
      <c r="AR64" s="89">
        <f t="shared" si="5"/>
        <v>0</v>
      </c>
    </row>
    <row r="65" spans="1:44" x14ac:dyDescent="0.25">
      <c r="A65" s="90">
        <f t="shared" si="4"/>
        <v>57</v>
      </c>
      <c r="B65" s="74" t="str">
        <f>IFERROR(INDEX(T_EMP[NAME],ROW(B65)-ROW($B$8)),"")</f>
        <v>ROXAS, MAVERICK</v>
      </c>
      <c r="C65" s="91" t="str">
        <f>IFERROR(INDEX(T_EMP[DEPARTMENT],ROW(B65)-ROW($C$8)),"")</f>
        <v>OPERATIONS</v>
      </c>
      <c r="D65" s="75" t="str">
        <f>IFERROR(IF(D$8="","NA",IF(D$8&lt;INDEX(T_EMP[START DATE],ROW($B65)-ROW($B$8)),"NE",IF(AND(INDEX(T_EMP[TERMINATION DATE],ROW($B65)-ROW($B$8))&gt;0,D$8&gt;INDEX(T_EMP[TERMINATION DATE],ROW($B65)-ROW($B$8))),"NE",IF(NOT(ISERROR(MATCH(D$8,L_HOLS,0))),"H",IF(INDEX(L_WKNDVAL,WEEKDAY(D$8,1))=1,"WKND",INDEX(T_LEAVE[LEAVE CODE],SUMPRODUCT(--(T_LEAVE[NAME]=$B65),--(T_LEAVE[DATE]&lt;=D$8),--(T_LEAVE[DATE]&gt;=D$8),ROW(T_LEAVE[LEAVE CODE]))-ROW(T_LEAVE[#Headers]))))))),"")</f>
        <v>H</v>
      </c>
      <c r="E65" s="75" t="str">
        <f>IFERROR(IF(E$8="","NA",IF(E$8&lt;INDEX(T_EMP[START DATE],ROW($B65)-ROW($B$8)),"NE",IF(AND(INDEX(T_EMP[TERMINATION DATE],ROW($B65)-ROW($B$8))&gt;0,E$8&gt;INDEX(T_EMP[TERMINATION DATE],ROW($B65)-ROW($B$8))),"NE",IF(NOT(ISERROR(MATCH(E$8,L_HOLS,0))),"H",IF(INDEX(L_WKNDVAL,WEEKDAY(E$8,1))=1,"WKND",INDEX(T_LEAVE[LEAVE CODE],SUMPRODUCT(--(T_LEAVE[NAME]=$B65),--(T_LEAVE[DATE]&lt;=E$8),--(T_LEAVE[DATE]&gt;=E$8),ROW(T_LEAVE[LEAVE CODE]))-ROW(T_LEAVE[#Headers]))))))),"")</f>
        <v/>
      </c>
      <c r="F65" s="75" t="str">
        <f>IFERROR(IF(F$8="","NA",IF(F$8&lt;INDEX(T_EMP[START DATE],ROW($B65)-ROW($B$8)),"NE",IF(AND(INDEX(T_EMP[TERMINATION DATE],ROW($B65)-ROW($B$8))&gt;0,F$8&gt;INDEX(T_EMP[TERMINATION DATE],ROW($B65)-ROW($B$8))),"NE",IF(NOT(ISERROR(MATCH(F$8,L_HOLS,0))),"H",IF(INDEX(L_WKNDVAL,WEEKDAY(F$8,1))=1,"WKND",INDEX(T_LEAVE[LEAVE CODE],SUMPRODUCT(--(T_LEAVE[NAME]=$B65),--(T_LEAVE[DATE]&lt;=F$8),--(T_LEAVE[DATE]&gt;=F$8),ROW(T_LEAVE[LEAVE CODE]))-ROW(T_LEAVE[#Headers]))))))),"")</f>
        <v/>
      </c>
      <c r="G65" s="75" t="str">
        <f>IFERROR(IF(G$8="","NA",IF(G$8&lt;INDEX(T_EMP[START DATE],ROW($B65)-ROW($B$8)),"NE",IF(AND(INDEX(T_EMP[TERMINATION DATE],ROW($B65)-ROW($B$8))&gt;0,G$8&gt;INDEX(T_EMP[TERMINATION DATE],ROW($B65)-ROW($B$8))),"NE",IF(NOT(ISERROR(MATCH(G$8,L_HOLS,0))),"H",IF(INDEX(L_WKNDVAL,WEEKDAY(G$8,1))=1,"WKND",INDEX(T_LEAVE[LEAVE CODE],SUMPRODUCT(--(T_LEAVE[NAME]=$B65),--(T_LEAVE[DATE]&lt;=G$8),--(T_LEAVE[DATE]&gt;=G$8),ROW(T_LEAVE[LEAVE CODE]))-ROW(T_LEAVE[#Headers]))))))),"")</f>
        <v/>
      </c>
      <c r="H65" s="75" t="str">
        <f>IFERROR(IF(H$8="","NA",IF(H$8&lt;INDEX(T_EMP[START DATE],ROW($B65)-ROW($B$8)),"NE",IF(AND(INDEX(T_EMP[TERMINATION DATE],ROW($B65)-ROW($B$8))&gt;0,H$8&gt;INDEX(T_EMP[TERMINATION DATE],ROW($B65)-ROW($B$8))),"NE",IF(NOT(ISERROR(MATCH(H$8,L_HOLS,0))),"H",IF(INDEX(L_WKNDVAL,WEEKDAY(H$8,1))=1,"WKND",INDEX(T_LEAVE[LEAVE CODE],SUMPRODUCT(--(T_LEAVE[NAME]=$B65),--(T_LEAVE[DATE]&lt;=H$8),--(T_LEAVE[DATE]&gt;=H$8),ROW(T_LEAVE[LEAVE CODE]))-ROW(T_LEAVE[#Headers]))))))),"")</f>
        <v/>
      </c>
      <c r="I65" s="75" t="str">
        <f>IFERROR(IF(I$8="","NA",IF(I$8&lt;INDEX(T_EMP[START DATE],ROW($B65)-ROW($B$8)),"NE",IF(AND(INDEX(T_EMP[TERMINATION DATE],ROW($B65)-ROW($B$8))&gt;0,I$8&gt;INDEX(T_EMP[TERMINATION DATE],ROW($B65)-ROW($B$8))),"NE",IF(NOT(ISERROR(MATCH(I$8,L_HOLS,0))),"H",IF(INDEX(L_WKNDVAL,WEEKDAY(I$8,1))=1,"WKND",INDEX(T_LEAVE[LEAVE CODE],SUMPRODUCT(--(T_LEAVE[NAME]=$B65),--(T_LEAVE[DATE]&lt;=I$8),--(T_LEAVE[DATE]&gt;=I$8),ROW(T_LEAVE[LEAVE CODE]))-ROW(T_LEAVE[#Headers]))))))),"")</f>
        <v/>
      </c>
      <c r="J65" s="75" t="str">
        <f>IFERROR(IF(J$8="","NA",IF(J$8&lt;INDEX(T_EMP[START DATE],ROW($B65)-ROW($B$8)),"NE",IF(AND(INDEX(T_EMP[TERMINATION DATE],ROW($B65)-ROW($B$8))&gt;0,J$8&gt;INDEX(T_EMP[TERMINATION DATE],ROW($B65)-ROW($B$8))),"NE",IF(NOT(ISERROR(MATCH(J$8,L_HOLS,0))),"H",IF(INDEX(L_WKNDVAL,WEEKDAY(J$8,1))=1,"WKND",INDEX(T_LEAVE[LEAVE CODE],SUMPRODUCT(--(T_LEAVE[NAME]=$B65),--(T_LEAVE[DATE]&lt;=J$8),--(T_LEAVE[DATE]&gt;=J$8),ROW(T_LEAVE[LEAVE CODE]))-ROW(T_LEAVE[#Headers]))))))),"")</f>
        <v/>
      </c>
      <c r="K65" s="75" t="str">
        <f>IFERROR(IF(K$8="","NA",IF(K$8&lt;INDEX(T_EMP[START DATE],ROW($B65)-ROW($B$8)),"NE",IF(AND(INDEX(T_EMP[TERMINATION DATE],ROW($B65)-ROW($B$8))&gt;0,K$8&gt;INDEX(T_EMP[TERMINATION DATE],ROW($B65)-ROW($B$8))),"NE",IF(NOT(ISERROR(MATCH(K$8,L_HOLS,0))),"H",IF(INDEX(L_WKNDVAL,WEEKDAY(K$8,1))=1,"WKND",INDEX(T_LEAVE[LEAVE CODE],SUMPRODUCT(--(T_LEAVE[NAME]=$B65),--(T_LEAVE[DATE]&lt;=K$8),--(T_LEAVE[DATE]&gt;=K$8),ROW(T_LEAVE[LEAVE CODE]))-ROW(T_LEAVE[#Headers]))))))),"")</f>
        <v/>
      </c>
      <c r="L65" s="75" t="str">
        <f>IFERROR(IF(L$8="","NA",IF(L$8&lt;INDEX(T_EMP[START DATE],ROW($B65)-ROW($B$8)),"NE",IF(AND(INDEX(T_EMP[TERMINATION DATE],ROW($B65)-ROW($B$8))&gt;0,L$8&gt;INDEX(T_EMP[TERMINATION DATE],ROW($B65)-ROW($B$8))),"NE",IF(NOT(ISERROR(MATCH(L$8,L_HOLS,0))),"H",IF(INDEX(L_WKNDVAL,WEEKDAY(L$8,1))=1,"WKND",INDEX(T_LEAVE[LEAVE CODE],SUMPRODUCT(--(T_LEAVE[NAME]=$B65),--(T_LEAVE[DATE]&lt;=L$8),--(T_LEAVE[DATE]&gt;=L$8),ROW(T_LEAVE[LEAVE CODE]))-ROW(T_LEAVE[#Headers]))))))),"")</f>
        <v/>
      </c>
      <c r="M65" s="75" t="str">
        <f>IFERROR(IF(M$8="","NA",IF(M$8&lt;INDEX(T_EMP[START DATE],ROW($B65)-ROW($B$8)),"NE",IF(AND(INDEX(T_EMP[TERMINATION DATE],ROW($B65)-ROW($B$8))&gt;0,M$8&gt;INDEX(T_EMP[TERMINATION DATE],ROW($B65)-ROW($B$8))),"NE",IF(NOT(ISERROR(MATCH(M$8,L_HOLS,0))),"H",IF(INDEX(L_WKNDVAL,WEEKDAY(M$8,1))=1,"WKND",INDEX(T_LEAVE[LEAVE CODE],SUMPRODUCT(--(T_LEAVE[NAME]=$B65),--(T_LEAVE[DATE]&lt;=M$8),--(T_LEAVE[DATE]&gt;=M$8),ROW(T_LEAVE[LEAVE CODE]))-ROW(T_LEAVE[#Headers]))))))),"")</f>
        <v/>
      </c>
      <c r="N65" s="75" t="str">
        <f>IFERROR(IF(N$8="","NA",IF(N$8&lt;INDEX(T_EMP[START DATE],ROW($B65)-ROW($B$8)),"NE",IF(AND(INDEX(T_EMP[TERMINATION DATE],ROW($B65)-ROW($B$8))&gt;0,N$8&gt;INDEX(T_EMP[TERMINATION DATE],ROW($B65)-ROW($B$8))),"NE",IF(NOT(ISERROR(MATCH(N$8,L_HOLS,0))),"H",IF(INDEX(L_WKNDVAL,WEEKDAY(N$8,1))=1,"WKND",INDEX(T_LEAVE[LEAVE CODE],SUMPRODUCT(--(T_LEAVE[NAME]=$B65),--(T_LEAVE[DATE]&lt;=N$8),--(T_LEAVE[DATE]&gt;=N$8),ROW(T_LEAVE[LEAVE CODE]))-ROW(T_LEAVE[#Headers]))))))),"")</f>
        <v/>
      </c>
      <c r="O65" s="75" t="str">
        <f>IFERROR(IF(O$8="","NA",IF(O$8&lt;INDEX(T_EMP[START DATE],ROW($B65)-ROW($B$8)),"NE",IF(AND(INDEX(T_EMP[TERMINATION DATE],ROW($B65)-ROW($B$8))&gt;0,O$8&gt;INDEX(T_EMP[TERMINATION DATE],ROW($B65)-ROW($B$8))),"NE",IF(NOT(ISERROR(MATCH(O$8,L_HOLS,0))),"H",IF(INDEX(L_WKNDVAL,WEEKDAY(O$8,1))=1,"WKND",INDEX(T_LEAVE[LEAVE CODE],SUMPRODUCT(--(T_LEAVE[NAME]=$B65),--(T_LEAVE[DATE]&lt;=O$8),--(T_LEAVE[DATE]&gt;=O$8),ROW(T_LEAVE[LEAVE CODE]))-ROW(T_LEAVE[#Headers]))))))),"")</f>
        <v/>
      </c>
      <c r="P65" s="75" t="str">
        <f>IFERROR(IF(P$8="","NA",IF(P$8&lt;INDEX(T_EMP[START DATE],ROW($B65)-ROW($B$8)),"NE",IF(AND(INDEX(T_EMP[TERMINATION DATE],ROW($B65)-ROW($B$8))&gt;0,P$8&gt;INDEX(T_EMP[TERMINATION DATE],ROW($B65)-ROW($B$8))),"NE",IF(NOT(ISERROR(MATCH(P$8,L_HOLS,0))),"H",IF(INDEX(L_WKNDVAL,WEEKDAY(P$8,1))=1,"WKND",INDEX(T_LEAVE[LEAVE CODE],SUMPRODUCT(--(T_LEAVE[NAME]=$B65),--(T_LEAVE[DATE]&lt;=P$8),--(T_LEAVE[DATE]&gt;=P$8),ROW(T_LEAVE[LEAVE CODE]))-ROW(T_LEAVE[#Headers]))))))),"")</f>
        <v>H</v>
      </c>
      <c r="Q65" s="75" t="str">
        <f>IFERROR(IF(Q$8="","NA",IF(Q$8&lt;INDEX(T_EMP[START DATE],ROW($B65)-ROW($B$8)),"NE",IF(AND(INDEX(T_EMP[TERMINATION DATE],ROW($B65)-ROW($B$8))&gt;0,Q$8&gt;INDEX(T_EMP[TERMINATION DATE],ROW($B65)-ROW($B$8))),"NE",IF(NOT(ISERROR(MATCH(Q$8,L_HOLS,0))),"H",IF(INDEX(L_WKNDVAL,WEEKDAY(Q$8,1))=1,"WKND",INDEX(T_LEAVE[LEAVE CODE],SUMPRODUCT(--(T_LEAVE[NAME]=$B65),--(T_LEAVE[DATE]&lt;=Q$8),--(T_LEAVE[DATE]&gt;=Q$8),ROW(T_LEAVE[LEAVE CODE]))-ROW(T_LEAVE[#Headers]))))))),"")</f>
        <v/>
      </c>
      <c r="R65" s="75" t="str">
        <f>IFERROR(IF(R$8="","NA",IF(R$8&lt;INDEX(T_EMP[START DATE],ROW($B65)-ROW($B$8)),"NE",IF(AND(INDEX(T_EMP[TERMINATION DATE],ROW($B65)-ROW($B$8))&gt;0,R$8&gt;INDEX(T_EMP[TERMINATION DATE],ROW($B65)-ROW($B$8))),"NE",IF(NOT(ISERROR(MATCH(R$8,L_HOLS,0))),"H",IF(INDEX(L_WKNDVAL,WEEKDAY(R$8,1))=1,"WKND",INDEX(T_LEAVE[LEAVE CODE],SUMPRODUCT(--(T_LEAVE[NAME]=$B65),--(T_LEAVE[DATE]&lt;=R$8),--(T_LEAVE[DATE]&gt;=R$8),ROW(T_LEAVE[LEAVE CODE]))-ROW(T_LEAVE[#Headers]))))))),"")</f>
        <v/>
      </c>
      <c r="S65" s="75" t="str">
        <f>IFERROR(IF(S$8="","NA",IF(S$8&lt;INDEX(T_EMP[START DATE],ROW($B65)-ROW($B$8)),"NE",IF(AND(INDEX(T_EMP[TERMINATION DATE],ROW($B65)-ROW($B$8))&gt;0,S$8&gt;INDEX(T_EMP[TERMINATION DATE],ROW($B65)-ROW($B$8))),"NE",IF(NOT(ISERROR(MATCH(S$8,L_HOLS,0))),"H",IF(INDEX(L_WKNDVAL,WEEKDAY(S$8,1))=1,"WKND",INDEX(T_LEAVE[LEAVE CODE],SUMPRODUCT(--(T_LEAVE[NAME]=$B65),--(T_LEAVE[DATE]&lt;=S$8),--(T_LEAVE[DATE]&gt;=S$8),ROW(T_LEAVE[LEAVE CODE]))-ROW(T_LEAVE[#Headers]))))))),"")</f>
        <v/>
      </c>
      <c r="T65" s="75" t="str">
        <f>IFERROR(IF(T$8="","NA",IF(T$8&lt;INDEX(T_EMP[START DATE],ROW($B65)-ROW($B$8)),"NE",IF(AND(INDEX(T_EMP[TERMINATION DATE],ROW($B65)-ROW($B$8))&gt;0,T$8&gt;INDEX(T_EMP[TERMINATION DATE],ROW($B65)-ROW($B$8))),"NE",IF(NOT(ISERROR(MATCH(T$8,L_HOLS,0))),"H",IF(INDEX(L_WKNDVAL,WEEKDAY(T$8,1))=1,"WKND",INDEX(T_LEAVE[LEAVE CODE],SUMPRODUCT(--(T_LEAVE[NAME]=$B65),--(T_LEAVE[DATE]&lt;=T$8),--(T_LEAVE[DATE]&gt;=T$8),ROW(T_LEAVE[LEAVE CODE]))-ROW(T_LEAVE[#Headers]))))))),"")</f>
        <v/>
      </c>
      <c r="U65" s="75" t="str">
        <f>IFERROR(IF(U$8="","NA",IF(U$8&lt;INDEX(T_EMP[START DATE],ROW($B65)-ROW($B$8)),"NE",IF(AND(INDEX(T_EMP[TERMINATION DATE],ROW($B65)-ROW($B$8))&gt;0,U$8&gt;INDEX(T_EMP[TERMINATION DATE],ROW($B65)-ROW($B$8))),"NE",IF(NOT(ISERROR(MATCH(U$8,L_HOLS,0))),"H",IF(INDEX(L_WKNDVAL,WEEKDAY(U$8,1))=1,"WKND",INDEX(T_LEAVE[LEAVE CODE],SUMPRODUCT(--(T_LEAVE[NAME]=$B65),--(T_LEAVE[DATE]&lt;=U$8),--(T_LEAVE[DATE]&gt;=U$8),ROW(T_LEAVE[LEAVE CODE]))-ROW(T_LEAVE[#Headers]))))))),"")</f>
        <v/>
      </c>
      <c r="V65" s="75" t="str">
        <f>IFERROR(IF(V$8="","NA",IF(V$8&lt;INDEX(T_EMP[START DATE],ROW($B65)-ROW($B$8)),"NE",IF(AND(INDEX(T_EMP[TERMINATION DATE],ROW($B65)-ROW($B$8))&gt;0,V$8&gt;INDEX(T_EMP[TERMINATION DATE],ROW($B65)-ROW($B$8))),"NE",IF(NOT(ISERROR(MATCH(V$8,L_HOLS,0))),"H",IF(INDEX(L_WKNDVAL,WEEKDAY(V$8,1))=1,"WKND",INDEX(T_LEAVE[LEAVE CODE],SUMPRODUCT(--(T_LEAVE[NAME]=$B65),--(T_LEAVE[DATE]&lt;=V$8),--(T_LEAVE[DATE]&gt;=V$8),ROW(T_LEAVE[LEAVE CODE]))-ROW(T_LEAVE[#Headers]))))))),"")</f>
        <v/>
      </c>
      <c r="W65" s="75" t="str">
        <f>IFERROR(IF(W$8="","NA",IF(W$8&lt;INDEX(T_EMP[START DATE],ROW($B65)-ROW($B$8)),"NE",IF(AND(INDEX(T_EMP[TERMINATION DATE],ROW($B65)-ROW($B$8))&gt;0,W$8&gt;INDEX(T_EMP[TERMINATION DATE],ROW($B65)-ROW($B$8))),"NE",IF(NOT(ISERROR(MATCH(W$8,L_HOLS,0))),"H",IF(INDEX(L_WKNDVAL,WEEKDAY(W$8,1))=1,"WKND",INDEX(T_LEAVE[LEAVE CODE],SUMPRODUCT(--(T_LEAVE[NAME]=$B65),--(T_LEAVE[DATE]&lt;=W$8),--(T_LEAVE[DATE]&gt;=W$8),ROW(T_LEAVE[LEAVE CODE]))-ROW(T_LEAVE[#Headers]))))))),"")</f>
        <v/>
      </c>
      <c r="X65" s="75" t="str">
        <f>IFERROR(IF(X$8="","NA",IF(X$8&lt;INDEX(T_EMP[START DATE],ROW($B65)-ROW($B$8)),"NE",IF(AND(INDEX(T_EMP[TERMINATION DATE],ROW($B65)-ROW($B$8))&gt;0,X$8&gt;INDEX(T_EMP[TERMINATION DATE],ROW($B65)-ROW($B$8))),"NE",IF(NOT(ISERROR(MATCH(X$8,L_HOLS,0))),"H",IF(INDEX(L_WKNDVAL,WEEKDAY(X$8,1))=1,"WKND",INDEX(T_LEAVE[LEAVE CODE],SUMPRODUCT(--(T_LEAVE[NAME]=$B65),--(T_LEAVE[DATE]&lt;=X$8),--(T_LEAVE[DATE]&gt;=X$8),ROW(T_LEAVE[LEAVE CODE]))-ROW(T_LEAVE[#Headers]))))))),"")</f>
        <v/>
      </c>
      <c r="Y65" s="75" t="str">
        <f>IFERROR(IF(Y$8="","NA",IF(Y$8&lt;INDEX(T_EMP[START DATE],ROW($B65)-ROW($B$8)),"NE",IF(AND(INDEX(T_EMP[TERMINATION DATE],ROW($B65)-ROW($B$8))&gt;0,Y$8&gt;INDEX(T_EMP[TERMINATION DATE],ROW($B65)-ROW($B$8))),"NE",IF(NOT(ISERROR(MATCH(Y$8,L_HOLS,0))),"H",IF(INDEX(L_WKNDVAL,WEEKDAY(Y$8,1))=1,"WKND",INDEX(T_LEAVE[LEAVE CODE],SUMPRODUCT(--(T_LEAVE[NAME]=$B65),--(T_LEAVE[DATE]&lt;=Y$8),--(T_LEAVE[DATE]&gt;=Y$8),ROW(T_LEAVE[LEAVE CODE]))-ROW(T_LEAVE[#Headers]))))))),"")</f>
        <v/>
      </c>
      <c r="Z65" s="75" t="str">
        <f>IFERROR(IF(Z$8="","NA",IF(Z$8&lt;INDEX(T_EMP[START DATE],ROW($B65)-ROW($B$8)),"NE",IF(AND(INDEX(T_EMP[TERMINATION DATE],ROW($B65)-ROW($B$8))&gt;0,Z$8&gt;INDEX(T_EMP[TERMINATION DATE],ROW($B65)-ROW($B$8))),"NE",IF(NOT(ISERROR(MATCH(Z$8,L_HOLS,0))),"H",IF(INDEX(L_WKNDVAL,WEEKDAY(Z$8,1))=1,"WKND",INDEX(T_LEAVE[LEAVE CODE],SUMPRODUCT(--(T_LEAVE[NAME]=$B65),--(T_LEAVE[DATE]&lt;=Z$8),--(T_LEAVE[DATE]&gt;=Z$8),ROW(T_LEAVE[LEAVE CODE]))-ROW(T_LEAVE[#Headers]))))))),"")</f>
        <v/>
      </c>
      <c r="AA65" s="75" t="str">
        <f>IFERROR(IF(AA$8="","NA",IF(AA$8&lt;INDEX(T_EMP[START DATE],ROW($B65)-ROW($B$8)),"NE",IF(AND(INDEX(T_EMP[TERMINATION DATE],ROW($B65)-ROW($B$8))&gt;0,AA$8&gt;INDEX(T_EMP[TERMINATION DATE],ROW($B65)-ROW($B$8))),"NE",IF(NOT(ISERROR(MATCH(AA$8,L_HOLS,0))),"H",IF(INDEX(L_WKNDVAL,WEEKDAY(AA$8,1))=1,"WKND",INDEX(T_LEAVE[LEAVE CODE],SUMPRODUCT(--(T_LEAVE[NAME]=$B65),--(T_LEAVE[DATE]&lt;=AA$8),--(T_LEAVE[DATE]&gt;=AA$8),ROW(T_LEAVE[LEAVE CODE]))-ROW(T_LEAVE[#Headers]))))))),"")</f>
        <v/>
      </c>
      <c r="AB65" s="75" t="str">
        <f>IFERROR(IF(AB$8="","NA",IF(AB$8&lt;INDEX(T_EMP[START DATE],ROW($B65)-ROW($B$8)),"NE",IF(AND(INDEX(T_EMP[TERMINATION DATE],ROW($B65)-ROW($B$8))&gt;0,AB$8&gt;INDEX(T_EMP[TERMINATION DATE],ROW($B65)-ROW($B$8))),"NE",IF(NOT(ISERROR(MATCH(AB$8,L_HOLS,0))),"H",IF(INDEX(L_WKNDVAL,WEEKDAY(AB$8,1))=1,"WKND",INDEX(T_LEAVE[LEAVE CODE],SUMPRODUCT(--(T_LEAVE[NAME]=$B65),--(T_LEAVE[DATE]&lt;=AB$8),--(T_LEAVE[DATE]&gt;=AB$8),ROW(T_LEAVE[LEAVE CODE]))-ROW(T_LEAVE[#Headers]))))))),"")</f>
        <v/>
      </c>
      <c r="AC65" s="75" t="str">
        <f>IFERROR(IF(AC$8="","NA",IF(AC$8&lt;INDEX(T_EMP[START DATE],ROW($B65)-ROW($B$8)),"NE",IF(AND(INDEX(T_EMP[TERMINATION DATE],ROW($B65)-ROW($B$8))&gt;0,AC$8&gt;INDEX(T_EMP[TERMINATION DATE],ROW($B65)-ROW($B$8))),"NE",IF(NOT(ISERROR(MATCH(AC$8,L_HOLS,0))),"H",IF(INDEX(L_WKNDVAL,WEEKDAY(AC$8,1))=1,"WKND",INDEX(T_LEAVE[LEAVE CODE],SUMPRODUCT(--(T_LEAVE[NAME]=$B65),--(T_LEAVE[DATE]&lt;=AC$8),--(T_LEAVE[DATE]&gt;=AC$8),ROW(T_LEAVE[LEAVE CODE]))-ROW(T_LEAVE[#Headers]))))))),"")</f>
        <v/>
      </c>
      <c r="AD65" s="75" t="str">
        <f>IFERROR(IF(AD$8="","NA",IF(AD$8&lt;INDEX(T_EMP[START DATE],ROW($B65)-ROW($B$8)),"NE",IF(AND(INDEX(T_EMP[TERMINATION DATE],ROW($B65)-ROW($B$8))&gt;0,AD$8&gt;INDEX(T_EMP[TERMINATION DATE],ROW($B65)-ROW($B$8))),"NE",IF(NOT(ISERROR(MATCH(AD$8,L_HOLS,0))),"H",IF(INDEX(L_WKNDVAL,WEEKDAY(AD$8,1))=1,"WKND",INDEX(T_LEAVE[LEAVE CODE],SUMPRODUCT(--(T_LEAVE[NAME]=$B65),--(T_LEAVE[DATE]&lt;=AD$8),--(T_LEAVE[DATE]&gt;=AD$8),ROW(T_LEAVE[LEAVE CODE]))-ROW(T_LEAVE[#Headers]))))))),"")</f>
        <v/>
      </c>
      <c r="AE65" s="75" t="str">
        <f>IFERROR(IF(AE$8="","NA",IF(AE$8&lt;INDEX(T_EMP[START DATE],ROW($B65)-ROW($B$8)),"NE",IF(AND(INDEX(T_EMP[TERMINATION DATE],ROW($B65)-ROW($B$8))&gt;0,AE$8&gt;INDEX(T_EMP[TERMINATION DATE],ROW($B65)-ROW($B$8))),"NE",IF(NOT(ISERROR(MATCH(AE$8,L_HOLS,0))),"H",IF(INDEX(L_WKNDVAL,WEEKDAY(AE$8,1))=1,"WKND",INDEX(T_LEAVE[LEAVE CODE],SUMPRODUCT(--(T_LEAVE[NAME]=$B65),--(T_LEAVE[DATE]&lt;=AE$8),--(T_LEAVE[DATE]&gt;=AE$8),ROW(T_LEAVE[LEAVE CODE]))-ROW(T_LEAVE[#Headers]))))))),"")</f>
        <v/>
      </c>
      <c r="AF65" s="75" t="str">
        <f>IFERROR(IF(AF$8="","NA",IF(AF$8&lt;INDEX(T_EMP[START DATE],ROW($B65)-ROW($B$8)),"NE",IF(AND(INDEX(T_EMP[TERMINATION DATE],ROW($B65)-ROW($B$8))&gt;0,AF$8&gt;INDEX(T_EMP[TERMINATION DATE],ROW($B65)-ROW($B$8))),"NE",IF(NOT(ISERROR(MATCH(AF$8,L_HOLS,0))),"H",IF(INDEX(L_WKNDVAL,WEEKDAY(AF$8,1))=1,"WKND",INDEX(T_LEAVE[LEAVE CODE],SUMPRODUCT(--(T_LEAVE[NAME]=$B65),--(T_LEAVE[DATE]&lt;=AF$8),--(T_LEAVE[DATE]&gt;=AF$8),ROW(T_LEAVE[LEAVE CODE]))-ROW(T_LEAVE[#Headers]))))))),"")</f>
        <v/>
      </c>
      <c r="AG65" s="75" t="str">
        <f>IFERROR(IF(AG$8="","NA",IF(AG$8&lt;INDEX(T_EMP[START DATE],ROW($B65)-ROW($B$8)),"NE",IF(AND(INDEX(T_EMP[TERMINATION DATE],ROW($B65)-ROW($B$8))&gt;0,AG$8&gt;INDEX(T_EMP[TERMINATION DATE],ROW($B65)-ROW($B$8))),"NE",IF(NOT(ISERROR(MATCH(AG$8,L_HOLS,0))),"H",IF(INDEX(L_WKNDVAL,WEEKDAY(AG$8,1))=1,"WKND",INDEX(T_LEAVE[LEAVE CODE],SUMPRODUCT(--(T_LEAVE[NAME]=$B65),--(T_LEAVE[DATE]&lt;=AG$8),--(T_LEAVE[DATE]&gt;=AG$8),ROW(T_LEAVE[LEAVE CODE]))-ROW(T_LEAVE[#Headers]))))))),"")</f>
        <v/>
      </c>
      <c r="AH65" s="75" t="str">
        <f>IFERROR(IF(AH$8="","NA",IF(AH$8&lt;INDEX(T_EMP[START DATE],ROW($B65)-ROW($B$8)),"NE",IF(AND(INDEX(T_EMP[TERMINATION DATE],ROW($B65)-ROW($B$8))&gt;0,AH$8&gt;INDEX(T_EMP[TERMINATION DATE],ROW($B65)-ROW($B$8))),"NE",IF(NOT(ISERROR(MATCH(AH$8,L_HOLS,0))),"H",IF(INDEX(L_WKNDVAL,WEEKDAY(AH$8,1))=1,"WKND",INDEX(T_LEAVE[LEAVE CODE],SUMPRODUCT(--(T_LEAVE[NAME]=$B65),--(T_LEAVE[DATE]&lt;=AH$8),--(T_LEAVE[DATE]&gt;=AH$8),ROW(T_LEAVE[LEAVE CODE]))-ROW(T_LEAVE[#Headers]))))))),"")</f>
        <v/>
      </c>
      <c r="AJ65" s="88">
        <f>IF(OR($B65="",AJ$8=""),"",COUNTIFS($D65:$AH65,AJ$8)*INDEX(T_LEAVETYPE[DAY VALUE],1))</f>
        <v>0</v>
      </c>
      <c r="AK65" s="88">
        <f>IF(OR($B65="",AK$8=""),"",COUNTIFS($D65:$AH65,AK$8)*INDEX(T_LEAVETYPE[DAY VALUE],1))</f>
        <v>0</v>
      </c>
      <c r="AL65" s="88">
        <f>IF(OR($B65="",AL$8=""),"",COUNTIFS($D65:$AH65,AL$8)*INDEX(T_LEAVETYPE[DAY VALUE],1))</f>
        <v>0</v>
      </c>
      <c r="AM65" s="88">
        <f>IF(OR($B65="",AM$8=""),"",COUNTIFS($D65:$AH65,AM$8)*INDEX(T_LEAVETYPE[DAY VALUE],1))</f>
        <v>0</v>
      </c>
      <c r="AN65" s="88">
        <f>IF(OR($B65="",AN$8=""),"",COUNTIFS($D65:$AH65,AN$8)*INDEX(T_LEAVETYPE[DAY VALUE],1))</f>
        <v>0</v>
      </c>
      <c r="AO65" s="88">
        <f>IF(OR($B65="",AO$8=""),"",COUNTIFS($D65:$AH65,AO$8)*INDEX(T_LEAVETYPE[DAY VALUE],6))</f>
        <v>0</v>
      </c>
      <c r="AP65" s="88">
        <f>IF(OR($B65="",AP$8=""),"",COUNTIFS($D65:$AH65,AP$8)*INDEX(T_LEAVETYPE[DAY VALUE],7))</f>
        <v>0</v>
      </c>
      <c r="AQ65" s="88">
        <f>IF(OR($B65="",AQ$8=""),"",COUNTIFS($D65:$AH65,AQ$8)*INDEX(T_LEAVETYPE[DAY VALUE],8))</f>
        <v>0</v>
      </c>
      <c r="AR65" s="89">
        <f t="shared" si="5"/>
        <v>0</v>
      </c>
    </row>
    <row r="66" spans="1:44" x14ac:dyDescent="0.25">
      <c r="A66" s="90">
        <f t="shared" si="4"/>
        <v>58</v>
      </c>
      <c r="B66" s="74" t="str">
        <f>IFERROR(INDEX(T_EMP[NAME],ROW(B66)-ROW($B$8)),"")</f>
        <v>ROMERO, RONALD</v>
      </c>
      <c r="C66" s="91" t="str">
        <f>IFERROR(INDEX(T_EMP[DEPARTMENT],ROW(B66)-ROW($C$8)),"")</f>
        <v>OPERATIONS</v>
      </c>
      <c r="D66" s="75" t="str">
        <f>IFERROR(IF(D$8="","NA",IF(D$8&lt;INDEX(T_EMP[START DATE],ROW($B66)-ROW($B$8)),"NE",IF(AND(INDEX(T_EMP[TERMINATION DATE],ROW($B66)-ROW($B$8))&gt;0,D$8&gt;INDEX(T_EMP[TERMINATION DATE],ROW($B66)-ROW($B$8))),"NE",IF(NOT(ISERROR(MATCH(D$8,L_HOLS,0))),"H",IF(INDEX(L_WKNDVAL,WEEKDAY(D$8,1))=1,"WKND",INDEX(T_LEAVE[LEAVE CODE],SUMPRODUCT(--(T_LEAVE[NAME]=$B66),--(T_LEAVE[DATE]&lt;=D$8),--(T_LEAVE[DATE]&gt;=D$8),ROW(T_LEAVE[LEAVE CODE]))-ROW(T_LEAVE[#Headers]))))))),"")</f>
        <v>H</v>
      </c>
      <c r="E66" s="75" t="str">
        <f>IFERROR(IF(E$8="","NA",IF(E$8&lt;INDEX(T_EMP[START DATE],ROW($B66)-ROW($B$8)),"NE",IF(AND(INDEX(T_EMP[TERMINATION DATE],ROW($B66)-ROW($B$8))&gt;0,E$8&gt;INDEX(T_EMP[TERMINATION DATE],ROW($B66)-ROW($B$8))),"NE",IF(NOT(ISERROR(MATCH(E$8,L_HOLS,0))),"H",IF(INDEX(L_WKNDVAL,WEEKDAY(E$8,1))=1,"WKND",INDEX(T_LEAVE[LEAVE CODE],SUMPRODUCT(--(T_LEAVE[NAME]=$B66),--(T_LEAVE[DATE]&lt;=E$8),--(T_LEAVE[DATE]&gt;=E$8),ROW(T_LEAVE[LEAVE CODE]))-ROW(T_LEAVE[#Headers]))))))),"")</f>
        <v/>
      </c>
      <c r="F66" s="75" t="str">
        <f>IFERROR(IF(F$8="","NA",IF(F$8&lt;INDEX(T_EMP[START DATE],ROW($B66)-ROW($B$8)),"NE",IF(AND(INDEX(T_EMP[TERMINATION DATE],ROW($B66)-ROW($B$8))&gt;0,F$8&gt;INDEX(T_EMP[TERMINATION DATE],ROW($B66)-ROW($B$8))),"NE",IF(NOT(ISERROR(MATCH(F$8,L_HOLS,0))),"H",IF(INDEX(L_WKNDVAL,WEEKDAY(F$8,1))=1,"WKND",INDEX(T_LEAVE[LEAVE CODE],SUMPRODUCT(--(T_LEAVE[NAME]=$B66),--(T_LEAVE[DATE]&lt;=F$8),--(T_LEAVE[DATE]&gt;=F$8),ROW(T_LEAVE[LEAVE CODE]))-ROW(T_LEAVE[#Headers]))))))),"")</f>
        <v/>
      </c>
      <c r="G66" s="75" t="str">
        <f>IFERROR(IF(G$8="","NA",IF(G$8&lt;INDEX(T_EMP[START DATE],ROW($B66)-ROW($B$8)),"NE",IF(AND(INDEX(T_EMP[TERMINATION DATE],ROW($B66)-ROW($B$8))&gt;0,G$8&gt;INDEX(T_EMP[TERMINATION DATE],ROW($B66)-ROW($B$8))),"NE",IF(NOT(ISERROR(MATCH(G$8,L_HOLS,0))),"H",IF(INDEX(L_WKNDVAL,WEEKDAY(G$8,1))=1,"WKND",INDEX(T_LEAVE[LEAVE CODE],SUMPRODUCT(--(T_LEAVE[NAME]=$B66),--(T_LEAVE[DATE]&lt;=G$8),--(T_LEAVE[DATE]&gt;=G$8),ROW(T_LEAVE[LEAVE CODE]))-ROW(T_LEAVE[#Headers]))))))),"")</f>
        <v/>
      </c>
      <c r="H66" s="75" t="str">
        <f>IFERROR(IF(H$8="","NA",IF(H$8&lt;INDEX(T_EMP[START DATE],ROW($B66)-ROW($B$8)),"NE",IF(AND(INDEX(T_EMP[TERMINATION DATE],ROW($B66)-ROW($B$8))&gt;0,H$8&gt;INDEX(T_EMP[TERMINATION DATE],ROW($B66)-ROW($B$8))),"NE",IF(NOT(ISERROR(MATCH(H$8,L_HOLS,0))),"H",IF(INDEX(L_WKNDVAL,WEEKDAY(H$8,1))=1,"WKND",INDEX(T_LEAVE[LEAVE CODE],SUMPRODUCT(--(T_LEAVE[NAME]=$B66),--(T_LEAVE[DATE]&lt;=H$8),--(T_LEAVE[DATE]&gt;=H$8),ROW(T_LEAVE[LEAVE CODE]))-ROW(T_LEAVE[#Headers]))))))),"")</f>
        <v/>
      </c>
      <c r="I66" s="75" t="str">
        <f>IFERROR(IF(I$8="","NA",IF(I$8&lt;INDEX(T_EMP[START DATE],ROW($B66)-ROW($B$8)),"NE",IF(AND(INDEX(T_EMP[TERMINATION DATE],ROW($B66)-ROW($B$8))&gt;0,I$8&gt;INDEX(T_EMP[TERMINATION DATE],ROW($B66)-ROW($B$8))),"NE",IF(NOT(ISERROR(MATCH(I$8,L_HOLS,0))),"H",IF(INDEX(L_WKNDVAL,WEEKDAY(I$8,1))=1,"WKND",INDEX(T_LEAVE[LEAVE CODE],SUMPRODUCT(--(T_LEAVE[NAME]=$B66),--(T_LEAVE[DATE]&lt;=I$8),--(T_LEAVE[DATE]&gt;=I$8),ROW(T_LEAVE[LEAVE CODE]))-ROW(T_LEAVE[#Headers]))))))),"")</f>
        <v/>
      </c>
      <c r="J66" s="75" t="str">
        <f>IFERROR(IF(J$8="","NA",IF(J$8&lt;INDEX(T_EMP[START DATE],ROW($B66)-ROW($B$8)),"NE",IF(AND(INDEX(T_EMP[TERMINATION DATE],ROW($B66)-ROW($B$8))&gt;0,J$8&gt;INDEX(T_EMP[TERMINATION DATE],ROW($B66)-ROW($B$8))),"NE",IF(NOT(ISERROR(MATCH(J$8,L_HOLS,0))),"H",IF(INDEX(L_WKNDVAL,WEEKDAY(J$8,1))=1,"WKND",INDEX(T_LEAVE[LEAVE CODE],SUMPRODUCT(--(T_LEAVE[NAME]=$B66),--(T_LEAVE[DATE]&lt;=J$8),--(T_LEAVE[DATE]&gt;=J$8),ROW(T_LEAVE[LEAVE CODE]))-ROW(T_LEAVE[#Headers]))))))),"")</f>
        <v/>
      </c>
      <c r="K66" s="75" t="str">
        <f>IFERROR(IF(K$8="","NA",IF(K$8&lt;INDEX(T_EMP[START DATE],ROW($B66)-ROW($B$8)),"NE",IF(AND(INDEX(T_EMP[TERMINATION DATE],ROW($B66)-ROW($B$8))&gt;0,K$8&gt;INDEX(T_EMP[TERMINATION DATE],ROW($B66)-ROW($B$8))),"NE",IF(NOT(ISERROR(MATCH(K$8,L_HOLS,0))),"H",IF(INDEX(L_WKNDVAL,WEEKDAY(K$8,1))=1,"WKND",INDEX(T_LEAVE[LEAVE CODE],SUMPRODUCT(--(T_LEAVE[NAME]=$B66),--(T_LEAVE[DATE]&lt;=K$8),--(T_LEAVE[DATE]&gt;=K$8),ROW(T_LEAVE[LEAVE CODE]))-ROW(T_LEAVE[#Headers]))))))),"")</f>
        <v/>
      </c>
      <c r="L66" s="75" t="str">
        <f>IFERROR(IF(L$8="","NA",IF(L$8&lt;INDEX(T_EMP[START DATE],ROW($B66)-ROW($B$8)),"NE",IF(AND(INDEX(T_EMP[TERMINATION DATE],ROW($B66)-ROW($B$8))&gt;0,L$8&gt;INDEX(T_EMP[TERMINATION DATE],ROW($B66)-ROW($B$8))),"NE",IF(NOT(ISERROR(MATCH(L$8,L_HOLS,0))),"H",IF(INDEX(L_WKNDVAL,WEEKDAY(L$8,1))=1,"WKND",INDEX(T_LEAVE[LEAVE CODE],SUMPRODUCT(--(T_LEAVE[NAME]=$B66),--(T_LEAVE[DATE]&lt;=L$8),--(T_LEAVE[DATE]&gt;=L$8),ROW(T_LEAVE[LEAVE CODE]))-ROW(T_LEAVE[#Headers]))))))),"")</f>
        <v/>
      </c>
      <c r="M66" s="75" t="str">
        <f>IFERROR(IF(M$8="","NA",IF(M$8&lt;INDEX(T_EMP[START DATE],ROW($B66)-ROW($B$8)),"NE",IF(AND(INDEX(T_EMP[TERMINATION DATE],ROW($B66)-ROW($B$8))&gt;0,M$8&gt;INDEX(T_EMP[TERMINATION DATE],ROW($B66)-ROW($B$8))),"NE",IF(NOT(ISERROR(MATCH(M$8,L_HOLS,0))),"H",IF(INDEX(L_WKNDVAL,WEEKDAY(M$8,1))=1,"WKND",INDEX(T_LEAVE[LEAVE CODE],SUMPRODUCT(--(T_LEAVE[NAME]=$B66),--(T_LEAVE[DATE]&lt;=M$8),--(T_LEAVE[DATE]&gt;=M$8),ROW(T_LEAVE[LEAVE CODE]))-ROW(T_LEAVE[#Headers]))))))),"")</f>
        <v/>
      </c>
      <c r="N66" s="75" t="str">
        <f>IFERROR(IF(N$8="","NA",IF(N$8&lt;INDEX(T_EMP[START DATE],ROW($B66)-ROW($B$8)),"NE",IF(AND(INDEX(T_EMP[TERMINATION DATE],ROW($B66)-ROW($B$8))&gt;0,N$8&gt;INDEX(T_EMP[TERMINATION DATE],ROW($B66)-ROW($B$8))),"NE",IF(NOT(ISERROR(MATCH(N$8,L_HOLS,0))),"H",IF(INDEX(L_WKNDVAL,WEEKDAY(N$8,1))=1,"WKND",INDEX(T_LEAVE[LEAVE CODE],SUMPRODUCT(--(T_LEAVE[NAME]=$B66),--(T_LEAVE[DATE]&lt;=N$8),--(T_LEAVE[DATE]&gt;=N$8),ROW(T_LEAVE[LEAVE CODE]))-ROW(T_LEAVE[#Headers]))))))),"")</f>
        <v/>
      </c>
      <c r="O66" s="75" t="str">
        <f>IFERROR(IF(O$8="","NA",IF(O$8&lt;INDEX(T_EMP[START DATE],ROW($B66)-ROW($B$8)),"NE",IF(AND(INDEX(T_EMP[TERMINATION DATE],ROW($B66)-ROW($B$8))&gt;0,O$8&gt;INDEX(T_EMP[TERMINATION DATE],ROW($B66)-ROW($B$8))),"NE",IF(NOT(ISERROR(MATCH(O$8,L_HOLS,0))),"H",IF(INDEX(L_WKNDVAL,WEEKDAY(O$8,1))=1,"WKND",INDEX(T_LEAVE[LEAVE CODE],SUMPRODUCT(--(T_LEAVE[NAME]=$B66),--(T_LEAVE[DATE]&lt;=O$8),--(T_LEAVE[DATE]&gt;=O$8),ROW(T_LEAVE[LEAVE CODE]))-ROW(T_LEAVE[#Headers]))))))),"")</f>
        <v/>
      </c>
      <c r="P66" s="75" t="str">
        <f>IFERROR(IF(P$8="","NA",IF(P$8&lt;INDEX(T_EMP[START DATE],ROW($B66)-ROW($B$8)),"NE",IF(AND(INDEX(T_EMP[TERMINATION DATE],ROW($B66)-ROW($B$8))&gt;0,P$8&gt;INDEX(T_EMP[TERMINATION DATE],ROW($B66)-ROW($B$8))),"NE",IF(NOT(ISERROR(MATCH(P$8,L_HOLS,0))),"H",IF(INDEX(L_WKNDVAL,WEEKDAY(P$8,1))=1,"WKND",INDEX(T_LEAVE[LEAVE CODE],SUMPRODUCT(--(T_LEAVE[NAME]=$B66),--(T_LEAVE[DATE]&lt;=P$8),--(T_LEAVE[DATE]&gt;=P$8),ROW(T_LEAVE[LEAVE CODE]))-ROW(T_LEAVE[#Headers]))))))),"")</f>
        <v>H</v>
      </c>
      <c r="Q66" s="75" t="str">
        <f>IFERROR(IF(Q$8="","NA",IF(Q$8&lt;INDEX(T_EMP[START DATE],ROW($B66)-ROW($B$8)),"NE",IF(AND(INDEX(T_EMP[TERMINATION DATE],ROW($B66)-ROW($B$8))&gt;0,Q$8&gt;INDEX(T_EMP[TERMINATION DATE],ROW($B66)-ROW($B$8))),"NE",IF(NOT(ISERROR(MATCH(Q$8,L_HOLS,0))),"H",IF(INDEX(L_WKNDVAL,WEEKDAY(Q$8,1))=1,"WKND",INDEX(T_LEAVE[LEAVE CODE],SUMPRODUCT(--(T_LEAVE[NAME]=$B66),--(T_LEAVE[DATE]&lt;=Q$8),--(T_LEAVE[DATE]&gt;=Q$8),ROW(T_LEAVE[LEAVE CODE]))-ROW(T_LEAVE[#Headers]))))))),"")</f>
        <v/>
      </c>
      <c r="R66" s="75" t="str">
        <f>IFERROR(IF(R$8="","NA",IF(R$8&lt;INDEX(T_EMP[START DATE],ROW($B66)-ROW($B$8)),"NE",IF(AND(INDEX(T_EMP[TERMINATION DATE],ROW($B66)-ROW($B$8))&gt;0,R$8&gt;INDEX(T_EMP[TERMINATION DATE],ROW($B66)-ROW($B$8))),"NE",IF(NOT(ISERROR(MATCH(R$8,L_HOLS,0))),"H",IF(INDEX(L_WKNDVAL,WEEKDAY(R$8,1))=1,"WKND",INDEX(T_LEAVE[LEAVE CODE],SUMPRODUCT(--(T_LEAVE[NAME]=$B66),--(T_LEAVE[DATE]&lt;=R$8),--(T_LEAVE[DATE]&gt;=R$8),ROW(T_LEAVE[LEAVE CODE]))-ROW(T_LEAVE[#Headers]))))))),"")</f>
        <v/>
      </c>
      <c r="S66" s="75" t="str">
        <f>IFERROR(IF(S$8="","NA",IF(S$8&lt;INDEX(T_EMP[START DATE],ROW($B66)-ROW($B$8)),"NE",IF(AND(INDEX(T_EMP[TERMINATION DATE],ROW($B66)-ROW($B$8))&gt;0,S$8&gt;INDEX(T_EMP[TERMINATION DATE],ROW($B66)-ROW($B$8))),"NE",IF(NOT(ISERROR(MATCH(S$8,L_HOLS,0))),"H",IF(INDEX(L_WKNDVAL,WEEKDAY(S$8,1))=1,"WKND",INDEX(T_LEAVE[LEAVE CODE],SUMPRODUCT(--(T_LEAVE[NAME]=$B66),--(T_LEAVE[DATE]&lt;=S$8),--(T_LEAVE[DATE]&gt;=S$8),ROW(T_LEAVE[LEAVE CODE]))-ROW(T_LEAVE[#Headers]))))))),"")</f>
        <v/>
      </c>
      <c r="T66" s="75" t="str">
        <f>IFERROR(IF(T$8="","NA",IF(T$8&lt;INDEX(T_EMP[START DATE],ROW($B66)-ROW($B$8)),"NE",IF(AND(INDEX(T_EMP[TERMINATION DATE],ROW($B66)-ROW($B$8))&gt;0,T$8&gt;INDEX(T_EMP[TERMINATION DATE],ROW($B66)-ROW($B$8))),"NE",IF(NOT(ISERROR(MATCH(T$8,L_HOLS,0))),"H",IF(INDEX(L_WKNDVAL,WEEKDAY(T$8,1))=1,"WKND",INDEX(T_LEAVE[LEAVE CODE],SUMPRODUCT(--(T_LEAVE[NAME]=$B66),--(T_LEAVE[DATE]&lt;=T$8),--(T_LEAVE[DATE]&gt;=T$8),ROW(T_LEAVE[LEAVE CODE]))-ROW(T_LEAVE[#Headers]))))))),"")</f>
        <v/>
      </c>
      <c r="U66" s="75" t="str">
        <f>IFERROR(IF(U$8="","NA",IF(U$8&lt;INDEX(T_EMP[START DATE],ROW($B66)-ROW($B$8)),"NE",IF(AND(INDEX(T_EMP[TERMINATION DATE],ROW($B66)-ROW($B$8))&gt;0,U$8&gt;INDEX(T_EMP[TERMINATION DATE],ROW($B66)-ROW($B$8))),"NE",IF(NOT(ISERROR(MATCH(U$8,L_HOLS,0))),"H",IF(INDEX(L_WKNDVAL,WEEKDAY(U$8,1))=1,"WKND",INDEX(T_LEAVE[LEAVE CODE],SUMPRODUCT(--(T_LEAVE[NAME]=$B66),--(T_LEAVE[DATE]&lt;=U$8),--(T_LEAVE[DATE]&gt;=U$8),ROW(T_LEAVE[LEAVE CODE]))-ROW(T_LEAVE[#Headers]))))))),"")</f>
        <v/>
      </c>
      <c r="V66" s="75" t="str">
        <f>IFERROR(IF(V$8="","NA",IF(V$8&lt;INDEX(T_EMP[START DATE],ROW($B66)-ROW($B$8)),"NE",IF(AND(INDEX(T_EMP[TERMINATION DATE],ROW($B66)-ROW($B$8))&gt;0,V$8&gt;INDEX(T_EMP[TERMINATION DATE],ROW($B66)-ROW($B$8))),"NE",IF(NOT(ISERROR(MATCH(V$8,L_HOLS,0))),"H",IF(INDEX(L_WKNDVAL,WEEKDAY(V$8,1))=1,"WKND",INDEX(T_LEAVE[LEAVE CODE],SUMPRODUCT(--(T_LEAVE[NAME]=$B66),--(T_LEAVE[DATE]&lt;=V$8),--(T_LEAVE[DATE]&gt;=V$8),ROW(T_LEAVE[LEAVE CODE]))-ROW(T_LEAVE[#Headers]))))))),"")</f>
        <v/>
      </c>
      <c r="W66" s="75" t="str">
        <f>IFERROR(IF(W$8="","NA",IF(W$8&lt;INDEX(T_EMP[START DATE],ROW($B66)-ROW($B$8)),"NE",IF(AND(INDEX(T_EMP[TERMINATION DATE],ROW($B66)-ROW($B$8))&gt;0,W$8&gt;INDEX(T_EMP[TERMINATION DATE],ROW($B66)-ROW($B$8))),"NE",IF(NOT(ISERROR(MATCH(W$8,L_HOLS,0))),"H",IF(INDEX(L_WKNDVAL,WEEKDAY(W$8,1))=1,"WKND",INDEX(T_LEAVE[LEAVE CODE],SUMPRODUCT(--(T_LEAVE[NAME]=$B66),--(T_LEAVE[DATE]&lt;=W$8),--(T_LEAVE[DATE]&gt;=W$8),ROW(T_LEAVE[LEAVE CODE]))-ROW(T_LEAVE[#Headers]))))))),"")</f>
        <v/>
      </c>
      <c r="X66" s="75" t="str">
        <f>IFERROR(IF(X$8="","NA",IF(X$8&lt;INDEX(T_EMP[START DATE],ROW($B66)-ROW($B$8)),"NE",IF(AND(INDEX(T_EMP[TERMINATION DATE],ROW($B66)-ROW($B$8))&gt;0,X$8&gt;INDEX(T_EMP[TERMINATION DATE],ROW($B66)-ROW($B$8))),"NE",IF(NOT(ISERROR(MATCH(X$8,L_HOLS,0))),"H",IF(INDEX(L_WKNDVAL,WEEKDAY(X$8,1))=1,"WKND",INDEX(T_LEAVE[LEAVE CODE],SUMPRODUCT(--(T_LEAVE[NAME]=$B66),--(T_LEAVE[DATE]&lt;=X$8),--(T_LEAVE[DATE]&gt;=X$8),ROW(T_LEAVE[LEAVE CODE]))-ROW(T_LEAVE[#Headers]))))))),"")</f>
        <v/>
      </c>
      <c r="Y66" s="75" t="str">
        <f>IFERROR(IF(Y$8="","NA",IF(Y$8&lt;INDEX(T_EMP[START DATE],ROW($B66)-ROW($B$8)),"NE",IF(AND(INDEX(T_EMP[TERMINATION DATE],ROW($B66)-ROW($B$8))&gt;0,Y$8&gt;INDEX(T_EMP[TERMINATION DATE],ROW($B66)-ROW($B$8))),"NE",IF(NOT(ISERROR(MATCH(Y$8,L_HOLS,0))),"H",IF(INDEX(L_WKNDVAL,WEEKDAY(Y$8,1))=1,"WKND",INDEX(T_LEAVE[LEAVE CODE],SUMPRODUCT(--(T_LEAVE[NAME]=$B66),--(T_LEAVE[DATE]&lt;=Y$8),--(T_LEAVE[DATE]&gt;=Y$8),ROW(T_LEAVE[LEAVE CODE]))-ROW(T_LEAVE[#Headers]))))))),"")</f>
        <v/>
      </c>
      <c r="Z66" s="75" t="str">
        <f>IFERROR(IF(Z$8="","NA",IF(Z$8&lt;INDEX(T_EMP[START DATE],ROW($B66)-ROW($B$8)),"NE",IF(AND(INDEX(T_EMP[TERMINATION DATE],ROW($B66)-ROW($B$8))&gt;0,Z$8&gt;INDEX(T_EMP[TERMINATION DATE],ROW($B66)-ROW($B$8))),"NE",IF(NOT(ISERROR(MATCH(Z$8,L_HOLS,0))),"H",IF(INDEX(L_WKNDVAL,WEEKDAY(Z$8,1))=1,"WKND",INDEX(T_LEAVE[LEAVE CODE],SUMPRODUCT(--(T_LEAVE[NAME]=$B66),--(T_LEAVE[DATE]&lt;=Z$8),--(T_LEAVE[DATE]&gt;=Z$8),ROW(T_LEAVE[LEAVE CODE]))-ROW(T_LEAVE[#Headers]))))))),"")</f>
        <v/>
      </c>
      <c r="AA66" s="75" t="str">
        <f>IFERROR(IF(AA$8="","NA",IF(AA$8&lt;INDEX(T_EMP[START DATE],ROW($B66)-ROW($B$8)),"NE",IF(AND(INDEX(T_EMP[TERMINATION DATE],ROW($B66)-ROW($B$8))&gt;0,AA$8&gt;INDEX(T_EMP[TERMINATION DATE],ROW($B66)-ROW($B$8))),"NE",IF(NOT(ISERROR(MATCH(AA$8,L_HOLS,0))),"H",IF(INDEX(L_WKNDVAL,WEEKDAY(AA$8,1))=1,"WKND",INDEX(T_LEAVE[LEAVE CODE],SUMPRODUCT(--(T_LEAVE[NAME]=$B66),--(T_LEAVE[DATE]&lt;=AA$8),--(T_LEAVE[DATE]&gt;=AA$8),ROW(T_LEAVE[LEAVE CODE]))-ROW(T_LEAVE[#Headers]))))))),"")</f>
        <v/>
      </c>
      <c r="AB66" s="75" t="str">
        <f>IFERROR(IF(AB$8="","NA",IF(AB$8&lt;INDEX(T_EMP[START DATE],ROW($B66)-ROW($B$8)),"NE",IF(AND(INDEX(T_EMP[TERMINATION DATE],ROW($B66)-ROW($B$8))&gt;0,AB$8&gt;INDEX(T_EMP[TERMINATION DATE],ROW($B66)-ROW($B$8))),"NE",IF(NOT(ISERROR(MATCH(AB$8,L_HOLS,0))),"H",IF(INDEX(L_WKNDVAL,WEEKDAY(AB$8,1))=1,"WKND",INDEX(T_LEAVE[LEAVE CODE],SUMPRODUCT(--(T_LEAVE[NAME]=$B66),--(T_LEAVE[DATE]&lt;=AB$8),--(T_LEAVE[DATE]&gt;=AB$8),ROW(T_LEAVE[LEAVE CODE]))-ROW(T_LEAVE[#Headers]))))))),"")</f>
        <v/>
      </c>
      <c r="AC66" s="75" t="str">
        <f>IFERROR(IF(AC$8="","NA",IF(AC$8&lt;INDEX(T_EMP[START DATE],ROW($B66)-ROW($B$8)),"NE",IF(AND(INDEX(T_EMP[TERMINATION DATE],ROW($B66)-ROW($B$8))&gt;0,AC$8&gt;INDEX(T_EMP[TERMINATION DATE],ROW($B66)-ROW($B$8))),"NE",IF(NOT(ISERROR(MATCH(AC$8,L_HOLS,0))),"H",IF(INDEX(L_WKNDVAL,WEEKDAY(AC$8,1))=1,"WKND",INDEX(T_LEAVE[LEAVE CODE],SUMPRODUCT(--(T_LEAVE[NAME]=$B66),--(T_LEAVE[DATE]&lt;=AC$8),--(T_LEAVE[DATE]&gt;=AC$8),ROW(T_LEAVE[LEAVE CODE]))-ROW(T_LEAVE[#Headers]))))))),"")</f>
        <v/>
      </c>
      <c r="AD66" s="75" t="str">
        <f>IFERROR(IF(AD$8="","NA",IF(AD$8&lt;INDEX(T_EMP[START DATE],ROW($B66)-ROW($B$8)),"NE",IF(AND(INDEX(T_EMP[TERMINATION DATE],ROW($B66)-ROW($B$8))&gt;0,AD$8&gt;INDEX(T_EMP[TERMINATION DATE],ROW($B66)-ROW($B$8))),"NE",IF(NOT(ISERROR(MATCH(AD$8,L_HOLS,0))),"H",IF(INDEX(L_WKNDVAL,WEEKDAY(AD$8,1))=1,"WKND",INDEX(T_LEAVE[LEAVE CODE],SUMPRODUCT(--(T_LEAVE[NAME]=$B66),--(T_LEAVE[DATE]&lt;=AD$8),--(T_LEAVE[DATE]&gt;=AD$8),ROW(T_LEAVE[LEAVE CODE]))-ROW(T_LEAVE[#Headers]))))))),"")</f>
        <v/>
      </c>
      <c r="AE66" s="75" t="str">
        <f>IFERROR(IF(AE$8="","NA",IF(AE$8&lt;INDEX(T_EMP[START DATE],ROW($B66)-ROW($B$8)),"NE",IF(AND(INDEX(T_EMP[TERMINATION DATE],ROW($B66)-ROW($B$8))&gt;0,AE$8&gt;INDEX(T_EMP[TERMINATION DATE],ROW($B66)-ROW($B$8))),"NE",IF(NOT(ISERROR(MATCH(AE$8,L_HOLS,0))),"H",IF(INDEX(L_WKNDVAL,WEEKDAY(AE$8,1))=1,"WKND",INDEX(T_LEAVE[LEAVE CODE],SUMPRODUCT(--(T_LEAVE[NAME]=$B66),--(T_LEAVE[DATE]&lt;=AE$8),--(T_LEAVE[DATE]&gt;=AE$8),ROW(T_LEAVE[LEAVE CODE]))-ROW(T_LEAVE[#Headers]))))))),"")</f>
        <v/>
      </c>
      <c r="AF66" s="75" t="str">
        <f>IFERROR(IF(AF$8="","NA",IF(AF$8&lt;INDEX(T_EMP[START DATE],ROW($B66)-ROW($B$8)),"NE",IF(AND(INDEX(T_EMP[TERMINATION DATE],ROW($B66)-ROW($B$8))&gt;0,AF$8&gt;INDEX(T_EMP[TERMINATION DATE],ROW($B66)-ROW($B$8))),"NE",IF(NOT(ISERROR(MATCH(AF$8,L_HOLS,0))),"H",IF(INDEX(L_WKNDVAL,WEEKDAY(AF$8,1))=1,"WKND",INDEX(T_LEAVE[LEAVE CODE],SUMPRODUCT(--(T_LEAVE[NAME]=$B66),--(T_LEAVE[DATE]&lt;=AF$8),--(T_LEAVE[DATE]&gt;=AF$8),ROW(T_LEAVE[LEAVE CODE]))-ROW(T_LEAVE[#Headers]))))))),"")</f>
        <v/>
      </c>
      <c r="AG66" s="75" t="str">
        <f>IFERROR(IF(AG$8="","NA",IF(AG$8&lt;INDEX(T_EMP[START DATE],ROW($B66)-ROW($B$8)),"NE",IF(AND(INDEX(T_EMP[TERMINATION DATE],ROW($B66)-ROW($B$8))&gt;0,AG$8&gt;INDEX(T_EMP[TERMINATION DATE],ROW($B66)-ROW($B$8))),"NE",IF(NOT(ISERROR(MATCH(AG$8,L_HOLS,0))),"H",IF(INDEX(L_WKNDVAL,WEEKDAY(AG$8,1))=1,"WKND",INDEX(T_LEAVE[LEAVE CODE],SUMPRODUCT(--(T_LEAVE[NAME]=$B66),--(T_LEAVE[DATE]&lt;=AG$8),--(T_LEAVE[DATE]&gt;=AG$8),ROW(T_LEAVE[LEAVE CODE]))-ROW(T_LEAVE[#Headers]))))))),"")</f>
        <v/>
      </c>
      <c r="AH66" s="75" t="str">
        <f>IFERROR(IF(AH$8="","NA",IF(AH$8&lt;INDEX(T_EMP[START DATE],ROW($B66)-ROW($B$8)),"NE",IF(AND(INDEX(T_EMP[TERMINATION DATE],ROW($B66)-ROW($B$8))&gt;0,AH$8&gt;INDEX(T_EMP[TERMINATION DATE],ROW($B66)-ROW($B$8))),"NE",IF(NOT(ISERROR(MATCH(AH$8,L_HOLS,0))),"H",IF(INDEX(L_WKNDVAL,WEEKDAY(AH$8,1))=1,"WKND",INDEX(T_LEAVE[LEAVE CODE],SUMPRODUCT(--(T_LEAVE[NAME]=$B66),--(T_LEAVE[DATE]&lt;=AH$8),--(T_LEAVE[DATE]&gt;=AH$8),ROW(T_LEAVE[LEAVE CODE]))-ROW(T_LEAVE[#Headers]))))))),"")</f>
        <v/>
      </c>
      <c r="AJ66" s="88">
        <f>IF(OR($B66="",AJ$8=""),"",COUNTIFS($D66:$AH66,AJ$8)*INDEX(T_LEAVETYPE[DAY VALUE],1))</f>
        <v>0</v>
      </c>
      <c r="AK66" s="88">
        <f>IF(OR($B66="",AK$8=""),"",COUNTIFS($D66:$AH66,AK$8)*INDEX(T_LEAVETYPE[DAY VALUE],1))</f>
        <v>0</v>
      </c>
      <c r="AL66" s="88">
        <f>IF(OR($B66="",AL$8=""),"",COUNTIFS($D66:$AH66,AL$8)*INDEX(T_LEAVETYPE[DAY VALUE],1))</f>
        <v>0</v>
      </c>
      <c r="AM66" s="88">
        <f>IF(OR($B66="",AM$8=""),"",COUNTIFS($D66:$AH66,AM$8)*INDEX(T_LEAVETYPE[DAY VALUE],1))</f>
        <v>0</v>
      </c>
      <c r="AN66" s="88">
        <f>IF(OR($B66="",AN$8=""),"",COUNTIFS($D66:$AH66,AN$8)*INDEX(T_LEAVETYPE[DAY VALUE],1))</f>
        <v>0</v>
      </c>
      <c r="AO66" s="88">
        <f>IF(OR($B66="",AO$8=""),"",COUNTIFS($D66:$AH66,AO$8)*INDEX(T_LEAVETYPE[DAY VALUE],6))</f>
        <v>0</v>
      </c>
      <c r="AP66" s="88">
        <f>IF(OR($B66="",AP$8=""),"",COUNTIFS($D66:$AH66,AP$8)*INDEX(T_LEAVETYPE[DAY VALUE],7))</f>
        <v>0</v>
      </c>
      <c r="AQ66" s="88">
        <f>IF(OR($B66="",AQ$8=""),"",COUNTIFS($D66:$AH66,AQ$8)*INDEX(T_LEAVETYPE[DAY VALUE],8))</f>
        <v>0</v>
      </c>
      <c r="AR66" s="89">
        <f t="shared" si="5"/>
        <v>0</v>
      </c>
    </row>
    <row r="67" spans="1:44" x14ac:dyDescent="0.25">
      <c r="A67" s="90">
        <f t="shared" si="4"/>
        <v>59</v>
      </c>
      <c r="B67" s="74" t="str">
        <f>IFERROR(INDEX(T_EMP[NAME],ROW(B67)-ROW($B$8)),"")</f>
        <v>TANDOC, RONEL</v>
      </c>
      <c r="C67" s="91" t="str">
        <f>IFERROR(INDEX(T_EMP[DEPARTMENT],ROW(B67)-ROW($C$8)),"")</f>
        <v>OPERATIONS</v>
      </c>
      <c r="D67" s="75" t="str">
        <f>IFERROR(IF(D$8="","NA",IF(D$8&lt;INDEX(T_EMP[START DATE],ROW($B67)-ROW($B$8)),"NE",IF(AND(INDEX(T_EMP[TERMINATION DATE],ROW($B67)-ROW($B$8))&gt;0,D$8&gt;INDEX(T_EMP[TERMINATION DATE],ROW($B67)-ROW($B$8))),"NE",IF(NOT(ISERROR(MATCH(D$8,L_HOLS,0))),"H",IF(INDEX(L_WKNDVAL,WEEKDAY(D$8,1))=1,"WKND",INDEX(T_LEAVE[LEAVE CODE],SUMPRODUCT(--(T_LEAVE[NAME]=$B67),--(T_LEAVE[DATE]&lt;=D$8),--(T_LEAVE[DATE]&gt;=D$8),ROW(T_LEAVE[LEAVE CODE]))-ROW(T_LEAVE[#Headers]))))))),"")</f>
        <v>H</v>
      </c>
      <c r="E67" s="75" t="str">
        <f>IFERROR(IF(E$8="","NA",IF(E$8&lt;INDEX(T_EMP[START DATE],ROW($B67)-ROW($B$8)),"NE",IF(AND(INDEX(T_EMP[TERMINATION DATE],ROW($B67)-ROW($B$8))&gt;0,E$8&gt;INDEX(T_EMP[TERMINATION DATE],ROW($B67)-ROW($B$8))),"NE",IF(NOT(ISERROR(MATCH(E$8,L_HOLS,0))),"H",IF(INDEX(L_WKNDVAL,WEEKDAY(E$8,1))=1,"WKND",INDEX(T_LEAVE[LEAVE CODE],SUMPRODUCT(--(T_LEAVE[NAME]=$B67),--(T_LEAVE[DATE]&lt;=E$8),--(T_LEAVE[DATE]&gt;=E$8),ROW(T_LEAVE[LEAVE CODE]))-ROW(T_LEAVE[#Headers]))))))),"")</f>
        <v/>
      </c>
      <c r="F67" s="75" t="str">
        <f>IFERROR(IF(F$8="","NA",IF(F$8&lt;INDEX(T_EMP[START DATE],ROW($B67)-ROW($B$8)),"NE",IF(AND(INDEX(T_EMP[TERMINATION DATE],ROW($B67)-ROW($B$8))&gt;0,F$8&gt;INDEX(T_EMP[TERMINATION DATE],ROW($B67)-ROW($B$8))),"NE",IF(NOT(ISERROR(MATCH(F$8,L_HOLS,0))),"H",IF(INDEX(L_WKNDVAL,WEEKDAY(F$8,1))=1,"WKND",INDEX(T_LEAVE[LEAVE CODE],SUMPRODUCT(--(T_LEAVE[NAME]=$B67),--(T_LEAVE[DATE]&lt;=F$8),--(T_LEAVE[DATE]&gt;=F$8),ROW(T_LEAVE[LEAVE CODE]))-ROW(T_LEAVE[#Headers]))))))),"")</f>
        <v/>
      </c>
      <c r="G67" s="75" t="str">
        <f>IFERROR(IF(G$8="","NA",IF(G$8&lt;INDEX(T_EMP[START DATE],ROW($B67)-ROW($B$8)),"NE",IF(AND(INDEX(T_EMP[TERMINATION DATE],ROW($B67)-ROW($B$8))&gt;0,G$8&gt;INDEX(T_EMP[TERMINATION DATE],ROW($B67)-ROW($B$8))),"NE",IF(NOT(ISERROR(MATCH(G$8,L_HOLS,0))),"H",IF(INDEX(L_WKNDVAL,WEEKDAY(G$8,1))=1,"WKND",INDEX(T_LEAVE[LEAVE CODE],SUMPRODUCT(--(T_LEAVE[NAME]=$B67),--(T_LEAVE[DATE]&lt;=G$8),--(T_LEAVE[DATE]&gt;=G$8),ROW(T_LEAVE[LEAVE CODE]))-ROW(T_LEAVE[#Headers]))))))),"")</f>
        <v/>
      </c>
      <c r="H67" s="75" t="str">
        <f>IFERROR(IF(H$8="","NA",IF(H$8&lt;INDEX(T_EMP[START DATE],ROW($B67)-ROW($B$8)),"NE",IF(AND(INDEX(T_EMP[TERMINATION DATE],ROW($B67)-ROW($B$8))&gt;0,H$8&gt;INDEX(T_EMP[TERMINATION DATE],ROW($B67)-ROW($B$8))),"NE",IF(NOT(ISERROR(MATCH(H$8,L_HOLS,0))),"H",IF(INDEX(L_WKNDVAL,WEEKDAY(H$8,1))=1,"WKND",INDEX(T_LEAVE[LEAVE CODE],SUMPRODUCT(--(T_LEAVE[NAME]=$B67),--(T_LEAVE[DATE]&lt;=H$8),--(T_LEAVE[DATE]&gt;=H$8),ROW(T_LEAVE[LEAVE CODE]))-ROW(T_LEAVE[#Headers]))))))),"")</f>
        <v/>
      </c>
      <c r="I67" s="75" t="str">
        <f>IFERROR(IF(I$8="","NA",IF(I$8&lt;INDEX(T_EMP[START DATE],ROW($B67)-ROW($B$8)),"NE",IF(AND(INDEX(T_EMP[TERMINATION DATE],ROW($B67)-ROW($B$8))&gt;0,I$8&gt;INDEX(T_EMP[TERMINATION DATE],ROW($B67)-ROW($B$8))),"NE",IF(NOT(ISERROR(MATCH(I$8,L_HOLS,0))),"H",IF(INDEX(L_WKNDVAL,WEEKDAY(I$8,1))=1,"WKND",INDEX(T_LEAVE[LEAVE CODE],SUMPRODUCT(--(T_LEAVE[NAME]=$B67),--(T_LEAVE[DATE]&lt;=I$8),--(T_LEAVE[DATE]&gt;=I$8),ROW(T_LEAVE[LEAVE CODE]))-ROW(T_LEAVE[#Headers]))))))),"")</f>
        <v/>
      </c>
      <c r="J67" s="75" t="str">
        <f>IFERROR(IF(J$8="","NA",IF(J$8&lt;INDEX(T_EMP[START DATE],ROW($B67)-ROW($B$8)),"NE",IF(AND(INDEX(T_EMP[TERMINATION DATE],ROW($B67)-ROW($B$8))&gt;0,J$8&gt;INDEX(T_EMP[TERMINATION DATE],ROW($B67)-ROW($B$8))),"NE",IF(NOT(ISERROR(MATCH(J$8,L_HOLS,0))),"H",IF(INDEX(L_WKNDVAL,WEEKDAY(J$8,1))=1,"WKND",INDEX(T_LEAVE[LEAVE CODE],SUMPRODUCT(--(T_LEAVE[NAME]=$B67),--(T_LEAVE[DATE]&lt;=J$8),--(T_LEAVE[DATE]&gt;=J$8),ROW(T_LEAVE[LEAVE CODE]))-ROW(T_LEAVE[#Headers]))))))),"")</f>
        <v/>
      </c>
      <c r="K67" s="75" t="str">
        <f>IFERROR(IF(K$8="","NA",IF(K$8&lt;INDEX(T_EMP[START DATE],ROW($B67)-ROW($B$8)),"NE",IF(AND(INDEX(T_EMP[TERMINATION DATE],ROW($B67)-ROW($B$8))&gt;0,K$8&gt;INDEX(T_EMP[TERMINATION DATE],ROW($B67)-ROW($B$8))),"NE",IF(NOT(ISERROR(MATCH(K$8,L_HOLS,0))),"H",IF(INDEX(L_WKNDVAL,WEEKDAY(K$8,1))=1,"WKND",INDEX(T_LEAVE[LEAVE CODE],SUMPRODUCT(--(T_LEAVE[NAME]=$B67),--(T_LEAVE[DATE]&lt;=K$8),--(T_LEAVE[DATE]&gt;=K$8),ROW(T_LEAVE[LEAVE CODE]))-ROW(T_LEAVE[#Headers]))))))),"")</f>
        <v/>
      </c>
      <c r="L67" s="75" t="str">
        <f>IFERROR(IF(L$8="","NA",IF(L$8&lt;INDEX(T_EMP[START DATE],ROW($B67)-ROW($B$8)),"NE",IF(AND(INDEX(T_EMP[TERMINATION DATE],ROW($B67)-ROW($B$8))&gt;0,L$8&gt;INDEX(T_EMP[TERMINATION DATE],ROW($B67)-ROW($B$8))),"NE",IF(NOT(ISERROR(MATCH(L$8,L_HOLS,0))),"H",IF(INDEX(L_WKNDVAL,WEEKDAY(L$8,1))=1,"WKND",INDEX(T_LEAVE[LEAVE CODE],SUMPRODUCT(--(T_LEAVE[NAME]=$B67),--(T_LEAVE[DATE]&lt;=L$8),--(T_LEAVE[DATE]&gt;=L$8),ROW(T_LEAVE[LEAVE CODE]))-ROW(T_LEAVE[#Headers]))))))),"")</f>
        <v/>
      </c>
      <c r="M67" s="75" t="str">
        <f>IFERROR(IF(M$8="","NA",IF(M$8&lt;INDEX(T_EMP[START DATE],ROW($B67)-ROW($B$8)),"NE",IF(AND(INDEX(T_EMP[TERMINATION DATE],ROW($B67)-ROW($B$8))&gt;0,M$8&gt;INDEX(T_EMP[TERMINATION DATE],ROW($B67)-ROW($B$8))),"NE",IF(NOT(ISERROR(MATCH(M$8,L_HOLS,0))),"H",IF(INDEX(L_WKNDVAL,WEEKDAY(M$8,1))=1,"WKND",INDEX(T_LEAVE[LEAVE CODE],SUMPRODUCT(--(T_LEAVE[NAME]=$B67),--(T_LEAVE[DATE]&lt;=M$8),--(T_LEAVE[DATE]&gt;=M$8),ROW(T_LEAVE[LEAVE CODE]))-ROW(T_LEAVE[#Headers]))))))),"")</f>
        <v/>
      </c>
      <c r="N67" s="75" t="str">
        <f>IFERROR(IF(N$8="","NA",IF(N$8&lt;INDEX(T_EMP[START DATE],ROW($B67)-ROW($B$8)),"NE",IF(AND(INDEX(T_EMP[TERMINATION DATE],ROW($B67)-ROW($B$8))&gt;0,N$8&gt;INDEX(T_EMP[TERMINATION DATE],ROW($B67)-ROW($B$8))),"NE",IF(NOT(ISERROR(MATCH(N$8,L_HOLS,0))),"H",IF(INDEX(L_WKNDVAL,WEEKDAY(N$8,1))=1,"WKND",INDEX(T_LEAVE[LEAVE CODE],SUMPRODUCT(--(T_LEAVE[NAME]=$B67),--(T_LEAVE[DATE]&lt;=N$8),--(T_LEAVE[DATE]&gt;=N$8),ROW(T_LEAVE[LEAVE CODE]))-ROW(T_LEAVE[#Headers]))))))),"")</f>
        <v/>
      </c>
      <c r="O67" s="75" t="str">
        <f>IFERROR(IF(O$8="","NA",IF(O$8&lt;INDEX(T_EMP[START DATE],ROW($B67)-ROW($B$8)),"NE",IF(AND(INDEX(T_EMP[TERMINATION DATE],ROW($B67)-ROW($B$8))&gt;0,O$8&gt;INDEX(T_EMP[TERMINATION DATE],ROW($B67)-ROW($B$8))),"NE",IF(NOT(ISERROR(MATCH(O$8,L_HOLS,0))),"H",IF(INDEX(L_WKNDVAL,WEEKDAY(O$8,1))=1,"WKND",INDEX(T_LEAVE[LEAVE CODE],SUMPRODUCT(--(T_LEAVE[NAME]=$B67),--(T_LEAVE[DATE]&lt;=O$8),--(T_LEAVE[DATE]&gt;=O$8),ROW(T_LEAVE[LEAVE CODE]))-ROW(T_LEAVE[#Headers]))))))),"")</f>
        <v/>
      </c>
      <c r="P67" s="75" t="str">
        <f>IFERROR(IF(P$8="","NA",IF(P$8&lt;INDEX(T_EMP[START DATE],ROW($B67)-ROW($B$8)),"NE",IF(AND(INDEX(T_EMP[TERMINATION DATE],ROW($B67)-ROW($B$8))&gt;0,P$8&gt;INDEX(T_EMP[TERMINATION DATE],ROW($B67)-ROW($B$8))),"NE",IF(NOT(ISERROR(MATCH(P$8,L_HOLS,0))),"H",IF(INDEX(L_WKNDVAL,WEEKDAY(P$8,1))=1,"WKND",INDEX(T_LEAVE[LEAVE CODE],SUMPRODUCT(--(T_LEAVE[NAME]=$B67),--(T_LEAVE[DATE]&lt;=P$8),--(T_LEAVE[DATE]&gt;=P$8),ROW(T_LEAVE[LEAVE CODE]))-ROW(T_LEAVE[#Headers]))))))),"")</f>
        <v>H</v>
      </c>
      <c r="Q67" s="75" t="str">
        <f>IFERROR(IF(Q$8="","NA",IF(Q$8&lt;INDEX(T_EMP[START DATE],ROW($B67)-ROW($B$8)),"NE",IF(AND(INDEX(T_EMP[TERMINATION DATE],ROW($B67)-ROW($B$8))&gt;0,Q$8&gt;INDEX(T_EMP[TERMINATION DATE],ROW($B67)-ROW($B$8))),"NE",IF(NOT(ISERROR(MATCH(Q$8,L_HOLS,0))),"H",IF(INDEX(L_WKNDVAL,WEEKDAY(Q$8,1))=1,"WKND",INDEX(T_LEAVE[LEAVE CODE],SUMPRODUCT(--(T_LEAVE[NAME]=$B67),--(T_LEAVE[DATE]&lt;=Q$8),--(T_LEAVE[DATE]&gt;=Q$8),ROW(T_LEAVE[LEAVE CODE]))-ROW(T_LEAVE[#Headers]))))))),"")</f>
        <v/>
      </c>
      <c r="R67" s="75" t="str">
        <f>IFERROR(IF(R$8="","NA",IF(R$8&lt;INDEX(T_EMP[START DATE],ROW($B67)-ROW($B$8)),"NE",IF(AND(INDEX(T_EMP[TERMINATION DATE],ROW($B67)-ROW($B$8))&gt;0,R$8&gt;INDEX(T_EMP[TERMINATION DATE],ROW($B67)-ROW($B$8))),"NE",IF(NOT(ISERROR(MATCH(R$8,L_HOLS,0))),"H",IF(INDEX(L_WKNDVAL,WEEKDAY(R$8,1))=1,"WKND",INDEX(T_LEAVE[LEAVE CODE],SUMPRODUCT(--(T_LEAVE[NAME]=$B67),--(T_LEAVE[DATE]&lt;=R$8),--(T_LEAVE[DATE]&gt;=R$8),ROW(T_LEAVE[LEAVE CODE]))-ROW(T_LEAVE[#Headers]))))))),"")</f>
        <v/>
      </c>
      <c r="S67" s="75" t="str">
        <f>IFERROR(IF(S$8="","NA",IF(S$8&lt;INDEX(T_EMP[START DATE],ROW($B67)-ROW($B$8)),"NE",IF(AND(INDEX(T_EMP[TERMINATION DATE],ROW($B67)-ROW($B$8))&gt;0,S$8&gt;INDEX(T_EMP[TERMINATION DATE],ROW($B67)-ROW($B$8))),"NE",IF(NOT(ISERROR(MATCH(S$8,L_HOLS,0))),"H",IF(INDEX(L_WKNDVAL,WEEKDAY(S$8,1))=1,"WKND",INDEX(T_LEAVE[LEAVE CODE],SUMPRODUCT(--(T_LEAVE[NAME]=$B67),--(T_LEAVE[DATE]&lt;=S$8),--(T_LEAVE[DATE]&gt;=S$8),ROW(T_LEAVE[LEAVE CODE]))-ROW(T_LEAVE[#Headers]))))))),"")</f>
        <v/>
      </c>
      <c r="T67" s="75" t="str">
        <f>IFERROR(IF(T$8="","NA",IF(T$8&lt;INDEX(T_EMP[START DATE],ROW($B67)-ROW($B$8)),"NE",IF(AND(INDEX(T_EMP[TERMINATION DATE],ROW($B67)-ROW($B$8))&gt;0,T$8&gt;INDEX(T_EMP[TERMINATION DATE],ROW($B67)-ROW($B$8))),"NE",IF(NOT(ISERROR(MATCH(T$8,L_HOLS,0))),"H",IF(INDEX(L_WKNDVAL,WEEKDAY(T$8,1))=1,"WKND",INDEX(T_LEAVE[LEAVE CODE],SUMPRODUCT(--(T_LEAVE[NAME]=$B67),--(T_LEAVE[DATE]&lt;=T$8),--(T_LEAVE[DATE]&gt;=T$8),ROW(T_LEAVE[LEAVE CODE]))-ROW(T_LEAVE[#Headers]))))))),"")</f>
        <v/>
      </c>
      <c r="U67" s="75" t="str">
        <f>IFERROR(IF(U$8="","NA",IF(U$8&lt;INDEX(T_EMP[START DATE],ROW($B67)-ROW($B$8)),"NE",IF(AND(INDEX(T_EMP[TERMINATION DATE],ROW($B67)-ROW($B$8))&gt;0,U$8&gt;INDEX(T_EMP[TERMINATION DATE],ROW($B67)-ROW($B$8))),"NE",IF(NOT(ISERROR(MATCH(U$8,L_HOLS,0))),"H",IF(INDEX(L_WKNDVAL,WEEKDAY(U$8,1))=1,"WKND",INDEX(T_LEAVE[LEAVE CODE],SUMPRODUCT(--(T_LEAVE[NAME]=$B67),--(T_LEAVE[DATE]&lt;=U$8),--(T_LEAVE[DATE]&gt;=U$8),ROW(T_LEAVE[LEAVE CODE]))-ROW(T_LEAVE[#Headers]))))))),"")</f>
        <v/>
      </c>
      <c r="V67" s="75" t="str">
        <f>IFERROR(IF(V$8="","NA",IF(V$8&lt;INDEX(T_EMP[START DATE],ROW($B67)-ROW($B$8)),"NE",IF(AND(INDEX(T_EMP[TERMINATION DATE],ROW($B67)-ROW($B$8))&gt;0,V$8&gt;INDEX(T_EMP[TERMINATION DATE],ROW($B67)-ROW($B$8))),"NE",IF(NOT(ISERROR(MATCH(V$8,L_HOLS,0))),"H",IF(INDEX(L_WKNDVAL,WEEKDAY(V$8,1))=1,"WKND",INDEX(T_LEAVE[LEAVE CODE],SUMPRODUCT(--(T_LEAVE[NAME]=$B67),--(T_LEAVE[DATE]&lt;=V$8),--(T_LEAVE[DATE]&gt;=V$8),ROW(T_LEAVE[LEAVE CODE]))-ROW(T_LEAVE[#Headers]))))))),"")</f>
        <v/>
      </c>
      <c r="W67" s="75" t="str">
        <f>IFERROR(IF(W$8="","NA",IF(W$8&lt;INDEX(T_EMP[START DATE],ROW($B67)-ROW($B$8)),"NE",IF(AND(INDEX(T_EMP[TERMINATION DATE],ROW($B67)-ROW($B$8))&gt;0,W$8&gt;INDEX(T_EMP[TERMINATION DATE],ROW($B67)-ROW($B$8))),"NE",IF(NOT(ISERROR(MATCH(W$8,L_HOLS,0))),"H",IF(INDEX(L_WKNDVAL,WEEKDAY(W$8,1))=1,"WKND",INDEX(T_LEAVE[LEAVE CODE],SUMPRODUCT(--(T_LEAVE[NAME]=$B67),--(T_LEAVE[DATE]&lt;=W$8),--(T_LEAVE[DATE]&gt;=W$8),ROW(T_LEAVE[LEAVE CODE]))-ROW(T_LEAVE[#Headers]))))))),"")</f>
        <v/>
      </c>
      <c r="X67" s="75" t="str">
        <f>IFERROR(IF(X$8="","NA",IF(X$8&lt;INDEX(T_EMP[START DATE],ROW($B67)-ROW($B$8)),"NE",IF(AND(INDEX(T_EMP[TERMINATION DATE],ROW($B67)-ROW($B$8))&gt;0,X$8&gt;INDEX(T_EMP[TERMINATION DATE],ROW($B67)-ROW($B$8))),"NE",IF(NOT(ISERROR(MATCH(X$8,L_HOLS,0))),"H",IF(INDEX(L_WKNDVAL,WEEKDAY(X$8,1))=1,"WKND",INDEX(T_LEAVE[LEAVE CODE],SUMPRODUCT(--(T_LEAVE[NAME]=$B67),--(T_LEAVE[DATE]&lt;=X$8),--(T_LEAVE[DATE]&gt;=X$8),ROW(T_LEAVE[LEAVE CODE]))-ROW(T_LEAVE[#Headers]))))))),"")</f>
        <v/>
      </c>
      <c r="Y67" s="75" t="str">
        <f>IFERROR(IF(Y$8="","NA",IF(Y$8&lt;INDEX(T_EMP[START DATE],ROW($B67)-ROW($B$8)),"NE",IF(AND(INDEX(T_EMP[TERMINATION DATE],ROW($B67)-ROW($B$8))&gt;0,Y$8&gt;INDEX(T_EMP[TERMINATION DATE],ROW($B67)-ROW($B$8))),"NE",IF(NOT(ISERROR(MATCH(Y$8,L_HOLS,0))),"H",IF(INDEX(L_WKNDVAL,WEEKDAY(Y$8,1))=1,"WKND",INDEX(T_LEAVE[LEAVE CODE],SUMPRODUCT(--(T_LEAVE[NAME]=$B67),--(T_LEAVE[DATE]&lt;=Y$8),--(T_LEAVE[DATE]&gt;=Y$8),ROW(T_LEAVE[LEAVE CODE]))-ROW(T_LEAVE[#Headers]))))))),"")</f>
        <v/>
      </c>
      <c r="Z67" s="75" t="str">
        <f>IFERROR(IF(Z$8="","NA",IF(Z$8&lt;INDEX(T_EMP[START DATE],ROW($B67)-ROW($B$8)),"NE",IF(AND(INDEX(T_EMP[TERMINATION DATE],ROW($B67)-ROW($B$8))&gt;0,Z$8&gt;INDEX(T_EMP[TERMINATION DATE],ROW($B67)-ROW($B$8))),"NE",IF(NOT(ISERROR(MATCH(Z$8,L_HOLS,0))),"H",IF(INDEX(L_WKNDVAL,WEEKDAY(Z$8,1))=1,"WKND",INDEX(T_LEAVE[LEAVE CODE],SUMPRODUCT(--(T_LEAVE[NAME]=$B67),--(T_LEAVE[DATE]&lt;=Z$8),--(T_LEAVE[DATE]&gt;=Z$8),ROW(T_LEAVE[LEAVE CODE]))-ROW(T_LEAVE[#Headers]))))))),"")</f>
        <v/>
      </c>
      <c r="AA67" s="75" t="str">
        <f>IFERROR(IF(AA$8="","NA",IF(AA$8&lt;INDEX(T_EMP[START DATE],ROW($B67)-ROW($B$8)),"NE",IF(AND(INDEX(T_EMP[TERMINATION DATE],ROW($B67)-ROW($B$8))&gt;0,AA$8&gt;INDEX(T_EMP[TERMINATION DATE],ROW($B67)-ROW($B$8))),"NE",IF(NOT(ISERROR(MATCH(AA$8,L_HOLS,0))),"H",IF(INDEX(L_WKNDVAL,WEEKDAY(AA$8,1))=1,"WKND",INDEX(T_LEAVE[LEAVE CODE],SUMPRODUCT(--(T_LEAVE[NAME]=$B67),--(T_LEAVE[DATE]&lt;=AA$8),--(T_LEAVE[DATE]&gt;=AA$8),ROW(T_LEAVE[LEAVE CODE]))-ROW(T_LEAVE[#Headers]))))))),"")</f>
        <v/>
      </c>
      <c r="AB67" s="75" t="str">
        <f>IFERROR(IF(AB$8="","NA",IF(AB$8&lt;INDEX(T_EMP[START DATE],ROW($B67)-ROW($B$8)),"NE",IF(AND(INDEX(T_EMP[TERMINATION DATE],ROW($B67)-ROW($B$8))&gt;0,AB$8&gt;INDEX(T_EMP[TERMINATION DATE],ROW($B67)-ROW($B$8))),"NE",IF(NOT(ISERROR(MATCH(AB$8,L_HOLS,0))),"H",IF(INDEX(L_WKNDVAL,WEEKDAY(AB$8,1))=1,"WKND",INDEX(T_LEAVE[LEAVE CODE],SUMPRODUCT(--(T_LEAVE[NAME]=$B67),--(T_LEAVE[DATE]&lt;=AB$8),--(T_LEAVE[DATE]&gt;=AB$8),ROW(T_LEAVE[LEAVE CODE]))-ROW(T_LEAVE[#Headers]))))))),"")</f>
        <v/>
      </c>
      <c r="AC67" s="75" t="str">
        <f>IFERROR(IF(AC$8="","NA",IF(AC$8&lt;INDEX(T_EMP[START DATE],ROW($B67)-ROW($B$8)),"NE",IF(AND(INDEX(T_EMP[TERMINATION DATE],ROW($B67)-ROW($B$8))&gt;0,AC$8&gt;INDEX(T_EMP[TERMINATION DATE],ROW($B67)-ROW($B$8))),"NE",IF(NOT(ISERROR(MATCH(AC$8,L_HOLS,0))),"H",IF(INDEX(L_WKNDVAL,WEEKDAY(AC$8,1))=1,"WKND",INDEX(T_LEAVE[LEAVE CODE],SUMPRODUCT(--(T_LEAVE[NAME]=$B67),--(T_LEAVE[DATE]&lt;=AC$8),--(T_LEAVE[DATE]&gt;=AC$8),ROW(T_LEAVE[LEAVE CODE]))-ROW(T_LEAVE[#Headers]))))))),"")</f>
        <v/>
      </c>
      <c r="AD67" s="75" t="str">
        <f>IFERROR(IF(AD$8="","NA",IF(AD$8&lt;INDEX(T_EMP[START DATE],ROW($B67)-ROW($B$8)),"NE",IF(AND(INDEX(T_EMP[TERMINATION DATE],ROW($B67)-ROW($B$8))&gt;0,AD$8&gt;INDEX(T_EMP[TERMINATION DATE],ROW($B67)-ROW($B$8))),"NE",IF(NOT(ISERROR(MATCH(AD$8,L_HOLS,0))),"H",IF(INDEX(L_WKNDVAL,WEEKDAY(AD$8,1))=1,"WKND",INDEX(T_LEAVE[LEAVE CODE],SUMPRODUCT(--(T_LEAVE[NAME]=$B67),--(T_LEAVE[DATE]&lt;=AD$8),--(T_LEAVE[DATE]&gt;=AD$8),ROW(T_LEAVE[LEAVE CODE]))-ROW(T_LEAVE[#Headers]))))))),"")</f>
        <v/>
      </c>
      <c r="AE67" s="75" t="str">
        <f>IFERROR(IF(AE$8="","NA",IF(AE$8&lt;INDEX(T_EMP[START DATE],ROW($B67)-ROW($B$8)),"NE",IF(AND(INDEX(T_EMP[TERMINATION DATE],ROW($B67)-ROW($B$8))&gt;0,AE$8&gt;INDEX(T_EMP[TERMINATION DATE],ROW($B67)-ROW($B$8))),"NE",IF(NOT(ISERROR(MATCH(AE$8,L_HOLS,0))),"H",IF(INDEX(L_WKNDVAL,WEEKDAY(AE$8,1))=1,"WKND",INDEX(T_LEAVE[LEAVE CODE],SUMPRODUCT(--(T_LEAVE[NAME]=$B67),--(T_LEAVE[DATE]&lt;=AE$8),--(T_LEAVE[DATE]&gt;=AE$8),ROW(T_LEAVE[LEAVE CODE]))-ROW(T_LEAVE[#Headers]))))))),"")</f>
        <v/>
      </c>
      <c r="AF67" s="75" t="str">
        <f>IFERROR(IF(AF$8="","NA",IF(AF$8&lt;INDEX(T_EMP[START DATE],ROW($B67)-ROW($B$8)),"NE",IF(AND(INDEX(T_EMP[TERMINATION DATE],ROW($B67)-ROW($B$8))&gt;0,AF$8&gt;INDEX(T_EMP[TERMINATION DATE],ROW($B67)-ROW($B$8))),"NE",IF(NOT(ISERROR(MATCH(AF$8,L_HOLS,0))),"H",IF(INDEX(L_WKNDVAL,WEEKDAY(AF$8,1))=1,"WKND",INDEX(T_LEAVE[LEAVE CODE],SUMPRODUCT(--(T_LEAVE[NAME]=$B67),--(T_LEAVE[DATE]&lt;=AF$8),--(T_LEAVE[DATE]&gt;=AF$8),ROW(T_LEAVE[LEAVE CODE]))-ROW(T_LEAVE[#Headers]))))))),"")</f>
        <v/>
      </c>
      <c r="AG67" s="75" t="str">
        <f>IFERROR(IF(AG$8="","NA",IF(AG$8&lt;INDEX(T_EMP[START DATE],ROW($B67)-ROW($B$8)),"NE",IF(AND(INDEX(T_EMP[TERMINATION DATE],ROW($B67)-ROW($B$8))&gt;0,AG$8&gt;INDEX(T_EMP[TERMINATION DATE],ROW($B67)-ROW($B$8))),"NE",IF(NOT(ISERROR(MATCH(AG$8,L_HOLS,0))),"H",IF(INDEX(L_WKNDVAL,WEEKDAY(AG$8,1))=1,"WKND",INDEX(T_LEAVE[LEAVE CODE],SUMPRODUCT(--(T_LEAVE[NAME]=$B67),--(T_LEAVE[DATE]&lt;=AG$8),--(T_LEAVE[DATE]&gt;=AG$8),ROW(T_LEAVE[LEAVE CODE]))-ROW(T_LEAVE[#Headers]))))))),"")</f>
        <v/>
      </c>
      <c r="AH67" s="75" t="str">
        <f>IFERROR(IF(AH$8="","NA",IF(AH$8&lt;INDEX(T_EMP[START DATE],ROW($B67)-ROW($B$8)),"NE",IF(AND(INDEX(T_EMP[TERMINATION DATE],ROW($B67)-ROW($B$8))&gt;0,AH$8&gt;INDEX(T_EMP[TERMINATION DATE],ROW($B67)-ROW($B$8))),"NE",IF(NOT(ISERROR(MATCH(AH$8,L_HOLS,0))),"H",IF(INDEX(L_WKNDVAL,WEEKDAY(AH$8,1))=1,"WKND",INDEX(T_LEAVE[LEAVE CODE],SUMPRODUCT(--(T_LEAVE[NAME]=$B67),--(T_LEAVE[DATE]&lt;=AH$8),--(T_LEAVE[DATE]&gt;=AH$8),ROW(T_LEAVE[LEAVE CODE]))-ROW(T_LEAVE[#Headers]))))))),"")</f>
        <v/>
      </c>
      <c r="AJ67" s="88">
        <f>IF(OR($B67="",AJ$8=""),"",COUNTIFS($D67:$AH67,AJ$8)*INDEX(T_LEAVETYPE[DAY VALUE],1))</f>
        <v>0</v>
      </c>
      <c r="AK67" s="88">
        <f>IF(OR($B67="",AK$8=""),"",COUNTIFS($D67:$AH67,AK$8)*INDEX(T_LEAVETYPE[DAY VALUE],1))</f>
        <v>0</v>
      </c>
      <c r="AL67" s="88">
        <f>IF(OR($B67="",AL$8=""),"",COUNTIFS($D67:$AH67,AL$8)*INDEX(T_LEAVETYPE[DAY VALUE],1))</f>
        <v>0</v>
      </c>
      <c r="AM67" s="88">
        <f>IF(OR($B67="",AM$8=""),"",COUNTIFS($D67:$AH67,AM$8)*INDEX(T_LEAVETYPE[DAY VALUE],1))</f>
        <v>0</v>
      </c>
      <c r="AN67" s="88">
        <f>IF(OR($B67="",AN$8=""),"",COUNTIFS($D67:$AH67,AN$8)*INDEX(T_LEAVETYPE[DAY VALUE],1))</f>
        <v>0</v>
      </c>
      <c r="AO67" s="88">
        <f>IF(OR($B67="",AO$8=""),"",COUNTIFS($D67:$AH67,AO$8)*INDEX(T_LEAVETYPE[DAY VALUE],6))</f>
        <v>0</v>
      </c>
      <c r="AP67" s="88">
        <f>IF(OR($B67="",AP$8=""),"",COUNTIFS($D67:$AH67,AP$8)*INDEX(T_LEAVETYPE[DAY VALUE],7))</f>
        <v>0</v>
      </c>
      <c r="AQ67" s="88">
        <f>IF(OR($B67="",AQ$8=""),"",COUNTIFS($D67:$AH67,AQ$8)*INDEX(T_LEAVETYPE[DAY VALUE],8))</f>
        <v>0</v>
      </c>
      <c r="AR67" s="89">
        <f t="shared" si="5"/>
        <v>0</v>
      </c>
    </row>
    <row r="68" spans="1:44" x14ac:dyDescent="0.25">
      <c r="A68" s="90">
        <f t="shared" si="4"/>
        <v>60</v>
      </c>
      <c r="B68" s="74" t="str">
        <f>IFERROR(INDEX(T_EMP[NAME],ROW(B68)-ROW($B$8)),"")</f>
        <v>SANTIAGO, CAMILLE CINDEE</v>
      </c>
      <c r="C68" s="91" t="str">
        <f>IFERROR(INDEX(T_EMP[DEPARTMENT],ROW(B68)-ROW($C$8)),"")</f>
        <v>PHARMTECH</v>
      </c>
      <c r="D68" s="75" t="str">
        <f>IFERROR(IF(D$8="","NA",IF(D$8&lt;INDEX(T_EMP[START DATE],ROW($B68)-ROW($B$8)),"NE",IF(AND(INDEX(T_EMP[TERMINATION DATE],ROW($B68)-ROW($B$8))&gt;0,D$8&gt;INDEX(T_EMP[TERMINATION DATE],ROW($B68)-ROW($B$8))),"NE",IF(NOT(ISERROR(MATCH(D$8,L_HOLS,0))),"H",IF(INDEX(L_WKNDVAL,WEEKDAY(D$8,1))=1,"WKND",INDEX(T_LEAVE[LEAVE CODE],SUMPRODUCT(--(T_LEAVE[NAME]=$B68),--(T_LEAVE[DATE]&lt;=D$8),--(T_LEAVE[DATE]&gt;=D$8),ROW(T_LEAVE[LEAVE CODE]))-ROW(T_LEAVE[#Headers]))))))),"")</f>
        <v>H</v>
      </c>
      <c r="E68" s="75" t="str">
        <f>IFERROR(IF(E$8="","NA",IF(E$8&lt;INDEX(T_EMP[START DATE],ROW($B68)-ROW($B$8)),"NE",IF(AND(INDEX(T_EMP[TERMINATION DATE],ROW($B68)-ROW($B$8))&gt;0,E$8&gt;INDEX(T_EMP[TERMINATION DATE],ROW($B68)-ROW($B$8))),"NE",IF(NOT(ISERROR(MATCH(E$8,L_HOLS,0))),"H",IF(INDEX(L_WKNDVAL,WEEKDAY(E$8,1))=1,"WKND",INDEX(T_LEAVE[LEAVE CODE],SUMPRODUCT(--(T_LEAVE[NAME]=$B68),--(T_LEAVE[DATE]&lt;=E$8),--(T_LEAVE[DATE]&gt;=E$8),ROW(T_LEAVE[LEAVE CODE]))-ROW(T_LEAVE[#Headers]))))))),"")</f>
        <v/>
      </c>
      <c r="F68" s="75" t="str">
        <f>IFERROR(IF(F$8="","NA",IF(F$8&lt;INDEX(T_EMP[START DATE],ROW($B68)-ROW($B$8)),"NE",IF(AND(INDEX(T_EMP[TERMINATION DATE],ROW($B68)-ROW($B$8))&gt;0,F$8&gt;INDEX(T_EMP[TERMINATION DATE],ROW($B68)-ROW($B$8))),"NE",IF(NOT(ISERROR(MATCH(F$8,L_HOLS,0))),"H",IF(INDEX(L_WKNDVAL,WEEKDAY(F$8,1))=1,"WKND",INDEX(T_LEAVE[LEAVE CODE],SUMPRODUCT(--(T_LEAVE[NAME]=$B68),--(T_LEAVE[DATE]&lt;=F$8),--(T_LEAVE[DATE]&gt;=F$8),ROW(T_LEAVE[LEAVE CODE]))-ROW(T_LEAVE[#Headers]))))))),"")</f>
        <v/>
      </c>
      <c r="G68" s="75" t="str">
        <f>IFERROR(IF(G$8="","NA",IF(G$8&lt;INDEX(T_EMP[START DATE],ROW($B68)-ROW($B$8)),"NE",IF(AND(INDEX(T_EMP[TERMINATION DATE],ROW($B68)-ROW($B$8))&gt;0,G$8&gt;INDEX(T_EMP[TERMINATION DATE],ROW($B68)-ROW($B$8))),"NE",IF(NOT(ISERROR(MATCH(G$8,L_HOLS,0))),"H",IF(INDEX(L_WKNDVAL,WEEKDAY(G$8,1))=1,"WKND",INDEX(T_LEAVE[LEAVE CODE],SUMPRODUCT(--(T_LEAVE[NAME]=$B68),--(T_LEAVE[DATE]&lt;=G$8),--(T_LEAVE[DATE]&gt;=G$8),ROW(T_LEAVE[LEAVE CODE]))-ROW(T_LEAVE[#Headers]))))))),"")</f>
        <v/>
      </c>
      <c r="H68" s="75" t="str">
        <f>IFERROR(IF(H$8="","NA",IF(H$8&lt;INDEX(T_EMP[START DATE],ROW($B68)-ROW($B$8)),"NE",IF(AND(INDEX(T_EMP[TERMINATION DATE],ROW($B68)-ROW($B$8))&gt;0,H$8&gt;INDEX(T_EMP[TERMINATION DATE],ROW($B68)-ROW($B$8))),"NE",IF(NOT(ISERROR(MATCH(H$8,L_HOLS,0))),"H",IF(INDEX(L_WKNDVAL,WEEKDAY(H$8,1))=1,"WKND",INDEX(T_LEAVE[LEAVE CODE],SUMPRODUCT(--(T_LEAVE[NAME]=$B68),--(T_LEAVE[DATE]&lt;=H$8),--(T_LEAVE[DATE]&gt;=H$8),ROW(T_LEAVE[LEAVE CODE]))-ROW(T_LEAVE[#Headers]))))))),"")</f>
        <v/>
      </c>
      <c r="I68" s="75" t="str">
        <f>IFERROR(IF(I$8="","NA",IF(I$8&lt;INDEX(T_EMP[START DATE],ROW($B68)-ROW($B$8)),"NE",IF(AND(INDEX(T_EMP[TERMINATION DATE],ROW($B68)-ROW($B$8))&gt;0,I$8&gt;INDEX(T_EMP[TERMINATION DATE],ROW($B68)-ROW($B$8))),"NE",IF(NOT(ISERROR(MATCH(I$8,L_HOLS,0))),"H",IF(INDEX(L_WKNDVAL,WEEKDAY(I$8,1))=1,"WKND",INDEX(T_LEAVE[LEAVE CODE],SUMPRODUCT(--(T_LEAVE[NAME]=$B68),--(T_LEAVE[DATE]&lt;=I$8),--(T_LEAVE[DATE]&gt;=I$8),ROW(T_LEAVE[LEAVE CODE]))-ROW(T_LEAVE[#Headers]))))))),"")</f>
        <v/>
      </c>
      <c r="J68" s="75" t="str">
        <f>IFERROR(IF(J$8="","NA",IF(J$8&lt;INDEX(T_EMP[START DATE],ROW($B68)-ROW($B$8)),"NE",IF(AND(INDEX(T_EMP[TERMINATION DATE],ROW($B68)-ROW($B$8))&gt;0,J$8&gt;INDEX(T_EMP[TERMINATION DATE],ROW($B68)-ROW($B$8))),"NE",IF(NOT(ISERROR(MATCH(J$8,L_HOLS,0))),"H",IF(INDEX(L_WKNDVAL,WEEKDAY(J$8,1))=1,"WKND",INDEX(T_LEAVE[LEAVE CODE],SUMPRODUCT(--(T_LEAVE[NAME]=$B68),--(T_LEAVE[DATE]&lt;=J$8),--(T_LEAVE[DATE]&gt;=J$8),ROW(T_LEAVE[LEAVE CODE]))-ROW(T_LEAVE[#Headers]))))))),"")</f>
        <v/>
      </c>
      <c r="K68" s="75" t="str">
        <f>IFERROR(IF(K$8="","NA",IF(K$8&lt;INDEX(T_EMP[START DATE],ROW($B68)-ROW($B$8)),"NE",IF(AND(INDEX(T_EMP[TERMINATION DATE],ROW($B68)-ROW($B$8))&gt;0,K$8&gt;INDEX(T_EMP[TERMINATION DATE],ROW($B68)-ROW($B$8))),"NE",IF(NOT(ISERROR(MATCH(K$8,L_HOLS,0))),"H",IF(INDEX(L_WKNDVAL,WEEKDAY(K$8,1))=1,"WKND",INDEX(T_LEAVE[LEAVE CODE],SUMPRODUCT(--(T_LEAVE[NAME]=$B68),--(T_LEAVE[DATE]&lt;=K$8),--(T_LEAVE[DATE]&gt;=K$8),ROW(T_LEAVE[LEAVE CODE]))-ROW(T_LEAVE[#Headers]))))))),"")</f>
        <v/>
      </c>
      <c r="L68" s="75" t="str">
        <f>IFERROR(IF(L$8="","NA",IF(L$8&lt;INDEX(T_EMP[START DATE],ROW($B68)-ROW($B$8)),"NE",IF(AND(INDEX(T_EMP[TERMINATION DATE],ROW($B68)-ROW($B$8))&gt;0,L$8&gt;INDEX(T_EMP[TERMINATION DATE],ROW($B68)-ROW($B$8))),"NE",IF(NOT(ISERROR(MATCH(L$8,L_HOLS,0))),"H",IF(INDEX(L_WKNDVAL,WEEKDAY(L$8,1))=1,"WKND",INDEX(T_LEAVE[LEAVE CODE],SUMPRODUCT(--(T_LEAVE[NAME]=$B68),--(T_LEAVE[DATE]&lt;=L$8),--(T_LEAVE[DATE]&gt;=L$8),ROW(T_LEAVE[LEAVE CODE]))-ROW(T_LEAVE[#Headers]))))))),"")</f>
        <v/>
      </c>
      <c r="M68" s="75" t="str">
        <f>IFERROR(IF(M$8="","NA",IF(M$8&lt;INDEX(T_EMP[START DATE],ROW($B68)-ROW($B$8)),"NE",IF(AND(INDEX(T_EMP[TERMINATION DATE],ROW($B68)-ROW($B$8))&gt;0,M$8&gt;INDEX(T_EMP[TERMINATION DATE],ROW($B68)-ROW($B$8))),"NE",IF(NOT(ISERROR(MATCH(M$8,L_HOLS,0))),"H",IF(INDEX(L_WKNDVAL,WEEKDAY(M$8,1))=1,"WKND",INDEX(T_LEAVE[LEAVE CODE],SUMPRODUCT(--(T_LEAVE[NAME]=$B68),--(T_LEAVE[DATE]&lt;=M$8),--(T_LEAVE[DATE]&gt;=M$8),ROW(T_LEAVE[LEAVE CODE]))-ROW(T_LEAVE[#Headers]))))))),"")</f>
        <v/>
      </c>
      <c r="N68" s="75" t="str">
        <f>IFERROR(IF(N$8="","NA",IF(N$8&lt;INDEX(T_EMP[START DATE],ROW($B68)-ROW($B$8)),"NE",IF(AND(INDEX(T_EMP[TERMINATION DATE],ROW($B68)-ROW($B$8))&gt;0,N$8&gt;INDEX(T_EMP[TERMINATION DATE],ROW($B68)-ROW($B$8))),"NE",IF(NOT(ISERROR(MATCH(N$8,L_HOLS,0))),"H",IF(INDEX(L_WKNDVAL,WEEKDAY(N$8,1))=1,"WKND",INDEX(T_LEAVE[LEAVE CODE],SUMPRODUCT(--(T_LEAVE[NAME]=$B68),--(T_LEAVE[DATE]&lt;=N$8),--(T_LEAVE[DATE]&gt;=N$8),ROW(T_LEAVE[LEAVE CODE]))-ROW(T_LEAVE[#Headers]))))))),"")</f>
        <v/>
      </c>
      <c r="O68" s="75" t="str">
        <f>IFERROR(IF(O$8="","NA",IF(O$8&lt;INDEX(T_EMP[START DATE],ROW($B68)-ROW($B$8)),"NE",IF(AND(INDEX(T_EMP[TERMINATION DATE],ROW($B68)-ROW($B$8))&gt;0,O$8&gt;INDEX(T_EMP[TERMINATION DATE],ROW($B68)-ROW($B$8))),"NE",IF(NOT(ISERROR(MATCH(O$8,L_HOLS,0))),"H",IF(INDEX(L_WKNDVAL,WEEKDAY(O$8,1))=1,"WKND",INDEX(T_LEAVE[LEAVE CODE],SUMPRODUCT(--(T_LEAVE[NAME]=$B68),--(T_LEAVE[DATE]&lt;=O$8),--(T_LEAVE[DATE]&gt;=O$8),ROW(T_LEAVE[LEAVE CODE]))-ROW(T_LEAVE[#Headers]))))))),"")</f>
        <v/>
      </c>
      <c r="P68" s="75" t="str">
        <f>IFERROR(IF(P$8="","NA",IF(P$8&lt;INDEX(T_EMP[START DATE],ROW($B68)-ROW($B$8)),"NE",IF(AND(INDEX(T_EMP[TERMINATION DATE],ROW($B68)-ROW($B$8))&gt;0,P$8&gt;INDEX(T_EMP[TERMINATION DATE],ROW($B68)-ROW($B$8))),"NE",IF(NOT(ISERROR(MATCH(P$8,L_HOLS,0))),"H",IF(INDEX(L_WKNDVAL,WEEKDAY(P$8,1))=1,"WKND",INDEX(T_LEAVE[LEAVE CODE],SUMPRODUCT(--(T_LEAVE[NAME]=$B68),--(T_LEAVE[DATE]&lt;=P$8),--(T_LEAVE[DATE]&gt;=P$8),ROW(T_LEAVE[LEAVE CODE]))-ROW(T_LEAVE[#Headers]))))))),"")</f>
        <v>H</v>
      </c>
      <c r="Q68" s="75" t="str">
        <f>IFERROR(IF(Q$8="","NA",IF(Q$8&lt;INDEX(T_EMP[START DATE],ROW($B68)-ROW($B$8)),"NE",IF(AND(INDEX(T_EMP[TERMINATION DATE],ROW($B68)-ROW($B$8))&gt;0,Q$8&gt;INDEX(T_EMP[TERMINATION DATE],ROW($B68)-ROW($B$8))),"NE",IF(NOT(ISERROR(MATCH(Q$8,L_HOLS,0))),"H",IF(INDEX(L_WKNDVAL,WEEKDAY(Q$8,1))=1,"WKND",INDEX(T_LEAVE[LEAVE CODE],SUMPRODUCT(--(T_LEAVE[NAME]=$B68),--(T_LEAVE[DATE]&lt;=Q$8),--(T_LEAVE[DATE]&gt;=Q$8),ROW(T_LEAVE[LEAVE CODE]))-ROW(T_LEAVE[#Headers]))))))),"")</f>
        <v/>
      </c>
      <c r="R68" s="75" t="str">
        <f>IFERROR(IF(R$8="","NA",IF(R$8&lt;INDEX(T_EMP[START DATE],ROW($B68)-ROW($B$8)),"NE",IF(AND(INDEX(T_EMP[TERMINATION DATE],ROW($B68)-ROW($B$8))&gt;0,R$8&gt;INDEX(T_EMP[TERMINATION DATE],ROW($B68)-ROW($B$8))),"NE",IF(NOT(ISERROR(MATCH(R$8,L_HOLS,0))),"H",IF(INDEX(L_WKNDVAL,WEEKDAY(R$8,1))=1,"WKND",INDEX(T_LEAVE[LEAVE CODE],SUMPRODUCT(--(T_LEAVE[NAME]=$B68),--(T_LEAVE[DATE]&lt;=R$8),--(T_LEAVE[DATE]&gt;=R$8),ROW(T_LEAVE[LEAVE CODE]))-ROW(T_LEAVE[#Headers]))))))),"")</f>
        <v/>
      </c>
      <c r="S68" s="75" t="str">
        <f>IFERROR(IF(S$8="","NA",IF(S$8&lt;INDEX(T_EMP[START DATE],ROW($B68)-ROW($B$8)),"NE",IF(AND(INDEX(T_EMP[TERMINATION DATE],ROW($B68)-ROW($B$8))&gt;0,S$8&gt;INDEX(T_EMP[TERMINATION DATE],ROW($B68)-ROW($B$8))),"NE",IF(NOT(ISERROR(MATCH(S$8,L_HOLS,0))),"H",IF(INDEX(L_WKNDVAL,WEEKDAY(S$8,1))=1,"WKND",INDEX(T_LEAVE[LEAVE CODE],SUMPRODUCT(--(T_LEAVE[NAME]=$B68),--(T_LEAVE[DATE]&lt;=S$8),--(T_LEAVE[DATE]&gt;=S$8),ROW(T_LEAVE[LEAVE CODE]))-ROW(T_LEAVE[#Headers]))))))),"")</f>
        <v/>
      </c>
      <c r="T68" s="75" t="str">
        <f>IFERROR(IF(T$8="","NA",IF(T$8&lt;INDEX(T_EMP[START DATE],ROW($B68)-ROW($B$8)),"NE",IF(AND(INDEX(T_EMP[TERMINATION DATE],ROW($B68)-ROW($B$8))&gt;0,T$8&gt;INDEX(T_EMP[TERMINATION DATE],ROW($B68)-ROW($B$8))),"NE",IF(NOT(ISERROR(MATCH(T$8,L_HOLS,0))),"H",IF(INDEX(L_WKNDVAL,WEEKDAY(T$8,1))=1,"WKND",INDEX(T_LEAVE[LEAVE CODE],SUMPRODUCT(--(T_LEAVE[NAME]=$B68),--(T_LEAVE[DATE]&lt;=T$8),--(T_LEAVE[DATE]&gt;=T$8),ROW(T_LEAVE[LEAVE CODE]))-ROW(T_LEAVE[#Headers]))))))),"")</f>
        <v/>
      </c>
      <c r="U68" s="75" t="str">
        <f>IFERROR(IF(U$8="","NA",IF(U$8&lt;INDEX(T_EMP[START DATE],ROW($B68)-ROW($B$8)),"NE",IF(AND(INDEX(T_EMP[TERMINATION DATE],ROW($B68)-ROW($B$8))&gt;0,U$8&gt;INDEX(T_EMP[TERMINATION DATE],ROW($B68)-ROW($B$8))),"NE",IF(NOT(ISERROR(MATCH(U$8,L_HOLS,0))),"H",IF(INDEX(L_WKNDVAL,WEEKDAY(U$8,1))=1,"WKND",INDEX(T_LEAVE[LEAVE CODE],SUMPRODUCT(--(T_LEAVE[NAME]=$B68),--(T_LEAVE[DATE]&lt;=U$8),--(T_LEAVE[DATE]&gt;=U$8),ROW(T_LEAVE[LEAVE CODE]))-ROW(T_LEAVE[#Headers]))))))),"")</f>
        <v/>
      </c>
      <c r="V68" s="75" t="str">
        <f>IFERROR(IF(V$8="","NA",IF(V$8&lt;INDEX(T_EMP[START DATE],ROW($B68)-ROW($B$8)),"NE",IF(AND(INDEX(T_EMP[TERMINATION DATE],ROW($B68)-ROW($B$8))&gt;0,V$8&gt;INDEX(T_EMP[TERMINATION DATE],ROW($B68)-ROW($B$8))),"NE",IF(NOT(ISERROR(MATCH(V$8,L_HOLS,0))),"H",IF(INDEX(L_WKNDVAL,WEEKDAY(V$8,1))=1,"WKND",INDEX(T_LEAVE[LEAVE CODE],SUMPRODUCT(--(T_LEAVE[NAME]=$B68),--(T_LEAVE[DATE]&lt;=V$8),--(T_LEAVE[DATE]&gt;=V$8),ROW(T_LEAVE[LEAVE CODE]))-ROW(T_LEAVE[#Headers]))))))),"")</f>
        <v/>
      </c>
      <c r="W68" s="75" t="str">
        <f>IFERROR(IF(W$8="","NA",IF(W$8&lt;INDEX(T_EMP[START DATE],ROW($B68)-ROW($B$8)),"NE",IF(AND(INDEX(T_EMP[TERMINATION DATE],ROW($B68)-ROW($B$8))&gt;0,W$8&gt;INDEX(T_EMP[TERMINATION DATE],ROW($B68)-ROW($B$8))),"NE",IF(NOT(ISERROR(MATCH(W$8,L_HOLS,0))),"H",IF(INDEX(L_WKNDVAL,WEEKDAY(W$8,1))=1,"WKND",INDEX(T_LEAVE[LEAVE CODE],SUMPRODUCT(--(T_LEAVE[NAME]=$B68),--(T_LEAVE[DATE]&lt;=W$8),--(T_LEAVE[DATE]&gt;=W$8),ROW(T_LEAVE[LEAVE CODE]))-ROW(T_LEAVE[#Headers]))))))),"")</f>
        <v/>
      </c>
      <c r="X68" s="75" t="str">
        <f>IFERROR(IF(X$8="","NA",IF(X$8&lt;INDEX(T_EMP[START DATE],ROW($B68)-ROW($B$8)),"NE",IF(AND(INDEX(T_EMP[TERMINATION DATE],ROW($B68)-ROW($B$8))&gt;0,X$8&gt;INDEX(T_EMP[TERMINATION DATE],ROW($B68)-ROW($B$8))),"NE",IF(NOT(ISERROR(MATCH(X$8,L_HOLS,0))),"H",IF(INDEX(L_WKNDVAL,WEEKDAY(X$8,1))=1,"WKND",INDEX(T_LEAVE[LEAVE CODE],SUMPRODUCT(--(T_LEAVE[NAME]=$B68),--(T_LEAVE[DATE]&lt;=X$8),--(T_LEAVE[DATE]&gt;=X$8),ROW(T_LEAVE[LEAVE CODE]))-ROW(T_LEAVE[#Headers]))))))),"")</f>
        <v/>
      </c>
      <c r="Y68" s="75" t="str">
        <f>IFERROR(IF(Y$8="","NA",IF(Y$8&lt;INDEX(T_EMP[START DATE],ROW($B68)-ROW($B$8)),"NE",IF(AND(INDEX(T_EMP[TERMINATION DATE],ROW($B68)-ROW($B$8))&gt;0,Y$8&gt;INDEX(T_EMP[TERMINATION DATE],ROW($B68)-ROW($B$8))),"NE",IF(NOT(ISERROR(MATCH(Y$8,L_HOLS,0))),"H",IF(INDEX(L_WKNDVAL,WEEKDAY(Y$8,1))=1,"WKND",INDEX(T_LEAVE[LEAVE CODE],SUMPRODUCT(--(T_LEAVE[NAME]=$B68),--(T_LEAVE[DATE]&lt;=Y$8),--(T_LEAVE[DATE]&gt;=Y$8),ROW(T_LEAVE[LEAVE CODE]))-ROW(T_LEAVE[#Headers]))))))),"")</f>
        <v/>
      </c>
      <c r="Z68" s="75" t="str">
        <f>IFERROR(IF(Z$8="","NA",IF(Z$8&lt;INDEX(T_EMP[START DATE],ROW($B68)-ROW($B$8)),"NE",IF(AND(INDEX(T_EMP[TERMINATION DATE],ROW($B68)-ROW($B$8))&gt;0,Z$8&gt;INDEX(T_EMP[TERMINATION DATE],ROW($B68)-ROW($B$8))),"NE",IF(NOT(ISERROR(MATCH(Z$8,L_HOLS,0))),"H",IF(INDEX(L_WKNDVAL,WEEKDAY(Z$8,1))=1,"WKND",INDEX(T_LEAVE[LEAVE CODE],SUMPRODUCT(--(T_LEAVE[NAME]=$B68),--(T_LEAVE[DATE]&lt;=Z$8),--(T_LEAVE[DATE]&gt;=Z$8),ROW(T_LEAVE[LEAVE CODE]))-ROW(T_LEAVE[#Headers]))))))),"")</f>
        <v/>
      </c>
      <c r="AA68" s="75" t="str">
        <f>IFERROR(IF(AA$8="","NA",IF(AA$8&lt;INDEX(T_EMP[START DATE],ROW($B68)-ROW($B$8)),"NE",IF(AND(INDEX(T_EMP[TERMINATION DATE],ROW($B68)-ROW($B$8))&gt;0,AA$8&gt;INDEX(T_EMP[TERMINATION DATE],ROW($B68)-ROW($B$8))),"NE",IF(NOT(ISERROR(MATCH(AA$8,L_HOLS,0))),"H",IF(INDEX(L_WKNDVAL,WEEKDAY(AA$8,1))=1,"WKND",INDEX(T_LEAVE[LEAVE CODE],SUMPRODUCT(--(T_LEAVE[NAME]=$B68),--(T_LEAVE[DATE]&lt;=AA$8),--(T_LEAVE[DATE]&gt;=AA$8),ROW(T_LEAVE[LEAVE CODE]))-ROW(T_LEAVE[#Headers]))))))),"")</f>
        <v/>
      </c>
      <c r="AB68" s="75" t="str">
        <f>IFERROR(IF(AB$8="","NA",IF(AB$8&lt;INDEX(T_EMP[START DATE],ROW($B68)-ROW($B$8)),"NE",IF(AND(INDEX(T_EMP[TERMINATION DATE],ROW($B68)-ROW($B$8))&gt;0,AB$8&gt;INDEX(T_EMP[TERMINATION DATE],ROW($B68)-ROW($B$8))),"NE",IF(NOT(ISERROR(MATCH(AB$8,L_HOLS,0))),"H",IF(INDEX(L_WKNDVAL,WEEKDAY(AB$8,1))=1,"WKND",INDEX(T_LEAVE[LEAVE CODE],SUMPRODUCT(--(T_LEAVE[NAME]=$B68),--(T_LEAVE[DATE]&lt;=AB$8),--(T_LEAVE[DATE]&gt;=AB$8),ROW(T_LEAVE[LEAVE CODE]))-ROW(T_LEAVE[#Headers]))))))),"")</f>
        <v/>
      </c>
      <c r="AC68" s="75" t="str">
        <f>IFERROR(IF(AC$8="","NA",IF(AC$8&lt;INDEX(T_EMP[START DATE],ROW($B68)-ROW($B$8)),"NE",IF(AND(INDEX(T_EMP[TERMINATION DATE],ROW($B68)-ROW($B$8))&gt;0,AC$8&gt;INDEX(T_EMP[TERMINATION DATE],ROW($B68)-ROW($B$8))),"NE",IF(NOT(ISERROR(MATCH(AC$8,L_HOLS,0))),"H",IF(INDEX(L_WKNDVAL,WEEKDAY(AC$8,1))=1,"WKND",INDEX(T_LEAVE[LEAVE CODE],SUMPRODUCT(--(T_LEAVE[NAME]=$B68),--(T_LEAVE[DATE]&lt;=AC$8),--(T_LEAVE[DATE]&gt;=AC$8),ROW(T_LEAVE[LEAVE CODE]))-ROW(T_LEAVE[#Headers]))))))),"")</f>
        <v/>
      </c>
      <c r="AD68" s="75" t="str">
        <f>IFERROR(IF(AD$8="","NA",IF(AD$8&lt;INDEX(T_EMP[START DATE],ROW($B68)-ROW($B$8)),"NE",IF(AND(INDEX(T_EMP[TERMINATION DATE],ROW($B68)-ROW($B$8))&gt;0,AD$8&gt;INDEX(T_EMP[TERMINATION DATE],ROW($B68)-ROW($B$8))),"NE",IF(NOT(ISERROR(MATCH(AD$8,L_HOLS,0))),"H",IF(INDEX(L_WKNDVAL,WEEKDAY(AD$8,1))=1,"WKND",INDEX(T_LEAVE[LEAVE CODE],SUMPRODUCT(--(T_LEAVE[NAME]=$B68),--(T_LEAVE[DATE]&lt;=AD$8),--(T_LEAVE[DATE]&gt;=AD$8),ROW(T_LEAVE[LEAVE CODE]))-ROW(T_LEAVE[#Headers]))))))),"")</f>
        <v/>
      </c>
      <c r="AE68" s="75" t="str">
        <f>IFERROR(IF(AE$8="","NA",IF(AE$8&lt;INDEX(T_EMP[START DATE],ROW($B68)-ROW($B$8)),"NE",IF(AND(INDEX(T_EMP[TERMINATION DATE],ROW($B68)-ROW($B$8))&gt;0,AE$8&gt;INDEX(T_EMP[TERMINATION DATE],ROW($B68)-ROW($B$8))),"NE",IF(NOT(ISERROR(MATCH(AE$8,L_HOLS,0))),"H",IF(INDEX(L_WKNDVAL,WEEKDAY(AE$8,1))=1,"WKND",INDEX(T_LEAVE[LEAVE CODE],SUMPRODUCT(--(T_LEAVE[NAME]=$B68),--(T_LEAVE[DATE]&lt;=AE$8),--(T_LEAVE[DATE]&gt;=AE$8),ROW(T_LEAVE[LEAVE CODE]))-ROW(T_LEAVE[#Headers]))))))),"")</f>
        <v/>
      </c>
      <c r="AF68" s="75" t="str">
        <f>IFERROR(IF(AF$8="","NA",IF(AF$8&lt;INDEX(T_EMP[START DATE],ROW($B68)-ROW($B$8)),"NE",IF(AND(INDEX(T_EMP[TERMINATION DATE],ROW($B68)-ROW($B$8))&gt;0,AF$8&gt;INDEX(T_EMP[TERMINATION DATE],ROW($B68)-ROW($B$8))),"NE",IF(NOT(ISERROR(MATCH(AF$8,L_HOLS,0))),"H",IF(INDEX(L_WKNDVAL,WEEKDAY(AF$8,1))=1,"WKND",INDEX(T_LEAVE[LEAVE CODE],SUMPRODUCT(--(T_LEAVE[NAME]=$B68),--(T_LEAVE[DATE]&lt;=AF$8),--(T_LEAVE[DATE]&gt;=AF$8),ROW(T_LEAVE[LEAVE CODE]))-ROW(T_LEAVE[#Headers]))))))),"")</f>
        <v/>
      </c>
      <c r="AG68" s="75" t="str">
        <f>IFERROR(IF(AG$8="","NA",IF(AG$8&lt;INDEX(T_EMP[START DATE],ROW($B68)-ROW($B$8)),"NE",IF(AND(INDEX(T_EMP[TERMINATION DATE],ROW($B68)-ROW($B$8))&gt;0,AG$8&gt;INDEX(T_EMP[TERMINATION DATE],ROW($B68)-ROW($B$8))),"NE",IF(NOT(ISERROR(MATCH(AG$8,L_HOLS,0))),"H",IF(INDEX(L_WKNDVAL,WEEKDAY(AG$8,1))=1,"WKND",INDEX(T_LEAVE[LEAVE CODE],SUMPRODUCT(--(T_LEAVE[NAME]=$B68),--(T_LEAVE[DATE]&lt;=AG$8),--(T_LEAVE[DATE]&gt;=AG$8),ROW(T_LEAVE[LEAVE CODE]))-ROW(T_LEAVE[#Headers]))))))),"")</f>
        <v/>
      </c>
      <c r="AH68" s="75" t="str">
        <f>IFERROR(IF(AH$8="","NA",IF(AH$8&lt;INDEX(T_EMP[START DATE],ROW($B68)-ROW($B$8)),"NE",IF(AND(INDEX(T_EMP[TERMINATION DATE],ROW($B68)-ROW($B$8))&gt;0,AH$8&gt;INDEX(T_EMP[TERMINATION DATE],ROW($B68)-ROW($B$8))),"NE",IF(NOT(ISERROR(MATCH(AH$8,L_HOLS,0))),"H",IF(INDEX(L_WKNDVAL,WEEKDAY(AH$8,1))=1,"WKND",INDEX(T_LEAVE[LEAVE CODE],SUMPRODUCT(--(T_LEAVE[NAME]=$B68),--(T_LEAVE[DATE]&lt;=AH$8),--(T_LEAVE[DATE]&gt;=AH$8),ROW(T_LEAVE[LEAVE CODE]))-ROW(T_LEAVE[#Headers]))))))),"")</f>
        <v/>
      </c>
      <c r="AJ68" s="88">
        <f>IF(OR($B68="",AJ$8=""),"",COUNTIFS($D68:$AH68,AJ$8)*INDEX(T_LEAVETYPE[DAY VALUE],1))</f>
        <v>0</v>
      </c>
      <c r="AK68" s="88">
        <f>IF(OR($B68="",AK$8=""),"",COUNTIFS($D68:$AH68,AK$8)*INDEX(T_LEAVETYPE[DAY VALUE],1))</f>
        <v>0</v>
      </c>
      <c r="AL68" s="88">
        <f>IF(OR($B68="",AL$8=""),"",COUNTIFS($D68:$AH68,AL$8)*INDEX(T_LEAVETYPE[DAY VALUE],1))</f>
        <v>0</v>
      </c>
      <c r="AM68" s="88">
        <f>IF(OR($B68="",AM$8=""),"",COUNTIFS($D68:$AH68,AM$8)*INDEX(T_LEAVETYPE[DAY VALUE],1))</f>
        <v>0</v>
      </c>
      <c r="AN68" s="88">
        <f>IF(OR($B68="",AN$8=""),"",COUNTIFS($D68:$AH68,AN$8)*INDEX(T_LEAVETYPE[DAY VALUE],1))</f>
        <v>0</v>
      </c>
      <c r="AO68" s="88">
        <f>IF(OR($B68="",AO$8=""),"",COUNTIFS($D68:$AH68,AO$8)*INDEX(T_LEAVETYPE[DAY VALUE],6))</f>
        <v>0</v>
      </c>
      <c r="AP68" s="88">
        <f>IF(OR($B68="",AP$8=""),"",COUNTIFS($D68:$AH68,AP$8)*INDEX(T_LEAVETYPE[DAY VALUE],7))</f>
        <v>0</v>
      </c>
      <c r="AQ68" s="88">
        <f>IF(OR($B68="",AQ$8=""),"",COUNTIFS($D68:$AH68,AQ$8)*INDEX(T_LEAVETYPE[DAY VALUE],8))</f>
        <v>0</v>
      </c>
      <c r="AR68" s="89">
        <f t="shared" si="5"/>
        <v>0</v>
      </c>
    </row>
    <row r="69" spans="1:44" x14ac:dyDescent="0.25">
      <c r="A69" s="90">
        <f t="shared" si="4"/>
        <v>61</v>
      </c>
      <c r="B69" s="74" t="str">
        <f>IFERROR(INDEX(T_EMP[NAME],ROW(B69)-ROW($B$8)),"")</f>
        <v>BENANING, JOSCELYN APRIL</v>
      </c>
      <c r="C69" s="91" t="str">
        <f>IFERROR(INDEX(T_EMP[DEPARTMENT],ROW(B69)-ROW($C$8)),"")</f>
        <v>PHARMTECH</v>
      </c>
      <c r="D69" s="75" t="str">
        <f>IFERROR(IF(D$8="","NA",IF(D$8&lt;INDEX(T_EMP[START DATE],ROW($B69)-ROW($B$8)),"NE",IF(AND(INDEX(T_EMP[TERMINATION DATE],ROW($B69)-ROW($B$8))&gt;0,D$8&gt;INDEX(T_EMP[TERMINATION DATE],ROW($B69)-ROW($B$8))),"NE",IF(NOT(ISERROR(MATCH(D$8,L_HOLS,0))),"H",IF(INDEX(L_WKNDVAL,WEEKDAY(D$8,1))=1,"WKND",INDEX(T_LEAVE[LEAVE CODE],SUMPRODUCT(--(T_LEAVE[NAME]=$B69),--(T_LEAVE[DATE]&lt;=D$8),--(T_LEAVE[DATE]&gt;=D$8),ROW(T_LEAVE[LEAVE CODE]))-ROW(T_LEAVE[#Headers]))))))),"")</f>
        <v>H</v>
      </c>
      <c r="E69" s="75" t="str">
        <f>IFERROR(IF(E$8="","NA",IF(E$8&lt;INDEX(T_EMP[START DATE],ROW($B69)-ROW($B$8)),"NE",IF(AND(INDEX(T_EMP[TERMINATION DATE],ROW($B69)-ROW($B$8))&gt;0,E$8&gt;INDEX(T_EMP[TERMINATION DATE],ROW($B69)-ROW($B$8))),"NE",IF(NOT(ISERROR(MATCH(E$8,L_HOLS,0))),"H",IF(INDEX(L_WKNDVAL,WEEKDAY(E$8,1))=1,"WKND",INDEX(T_LEAVE[LEAVE CODE],SUMPRODUCT(--(T_LEAVE[NAME]=$B69),--(T_LEAVE[DATE]&lt;=E$8),--(T_LEAVE[DATE]&gt;=E$8),ROW(T_LEAVE[LEAVE CODE]))-ROW(T_LEAVE[#Headers]))))))),"")</f>
        <v/>
      </c>
      <c r="F69" s="75" t="str">
        <f>IFERROR(IF(F$8="","NA",IF(F$8&lt;INDEX(T_EMP[START DATE],ROW($B69)-ROW($B$8)),"NE",IF(AND(INDEX(T_EMP[TERMINATION DATE],ROW($B69)-ROW($B$8))&gt;0,F$8&gt;INDEX(T_EMP[TERMINATION DATE],ROW($B69)-ROW($B$8))),"NE",IF(NOT(ISERROR(MATCH(F$8,L_HOLS,0))),"H",IF(INDEX(L_WKNDVAL,WEEKDAY(F$8,1))=1,"WKND",INDEX(T_LEAVE[LEAVE CODE],SUMPRODUCT(--(T_LEAVE[NAME]=$B69),--(T_LEAVE[DATE]&lt;=F$8),--(T_LEAVE[DATE]&gt;=F$8),ROW(T_LEAVE[LEAVE CODE]))-ROW(T_LEAVE[#Headers]))))))),"")</f>
        <v/>
      </c>
      <c r="G69" s="75" t="str">
        <f>IFERROR(IF(G$8="","NA",IF(G$8&lt;INDEX(T_EMP[START DATE],ROW($B69)-ROW($B$8)),"NE",IF(AND(INDEX(T_EMP[TERMINATION DATE],ROW($B69)-ROW($B$8))&gt;0,G$8&gt;INDEX(T_EMP[TERMINATION DATE],ROW($B69)-ROW($B$8))),"NE",IF(NOT(ISERROR(MATCH(G$8,L_HOLS,0))),"H",IF(INDEX(L_WKNDVAL,WEEKDAY(G$8,1))=1,"WKND",INDEX(T_LEAVE[LEAVE CODE],SUMPRODUCT(--(T_LEAVE[NAME]=$B69),--(T_LEAVE[DATE]&lt;=G$8),--(T_LEAVE[DATE]&gt;=G$8),ROW(T_LEAVE[LEAVE CODE]))-ROW(T_LEAVE[#Headers]))))))),"")</f>
        <v/>
      </c>
      <c r="H69" s="75" t="str">
        <f>IFERROR(IF(H$8="","NA",IF(H$8&lt;INDEX(T_EMP[START DATE],ROW($B69)-ROW($B$8)),"NE",IF(AND(INDEX(T_EMP[TERMINATION DATE],ROW($B69)-ROW($B$8))&gt;0,H$8&gt;INDEX(T_EMP[TERMINATION DATE],ROW($B69)-ROW($B$8))),"NE",IF(NOT(ISERROR(MATCH(H$8,L_HOLS,0))),"H",IF(INDEX(L_WKNDVAL,WEEKDAY(H$8,1))=1,"WKND",INDEX(T_LEAVE[LEAVE CODE],SUMPRODUCT(--(T_LEAVE[NAME]=$B69),--(T_LEAVE[DATE]&lt;=H$8),--(T_LEAVE[DATE]&gt;=H$8),ROW(T_LEAVE[LEAVE CODE]))-ROW(T_LEAVE[#Headers]))))))),"")</f>
        <v/>
      </c>
      <c r="I69" s="75" t="str">
        <f>IFERROR(IF(I$8="","NA",IF(I$8&lt;INDEX(T_EMP[START DATE],ROW($B69)-ROW($B$8)),"NE",IF(AND(INDEX(T_EMP[TERMINATION DATE],ROW($B69)-ROW($B$8))&gt;0,I$8&gt;INDEX(T_EMP[TERMINATION DATE],ROW($B69)-ROW($B$8))),"NE",IF(NOT(ISERROR(MATCH(I$8,L_HOLS,0))),"H",IF(INDEX(L_WKNDVAL,WEEKDAY(I$8,1))=1,"WKND",INDEX(T_LEAVE[LEAVE CODE],SUMPRODUCT(--(T_LEAVE[NAME]=$B69),--(T_LEAVE[DATE]&lt;=I$8),--(T_LEAVE[DATE]&gt;=I$8),ROW(T_LEAVE[LEAVE CODE]))-ROW(T_LEAVE[#Headers]))))))),"")</f>
        <v/>
      </c>
      <c r="J69" s="75" t="str">
        <f>IFERROR(IF(J$8="","NA",IF(J$8&lt;INDEX(T_EMP[START DATE],ROW($B69)-ROW($B$8)),"NE",IF(AND(INDEX(T_EMP[TERMINATION DATE],ROW($B69)-ROW($B$8))&gt;0,J$8&gt;INDEX(T_EMP[TERMINATION DATE],ROW($B69)-ROW($B$8))),"NE",IF(NOT(ISERROR(MATCH(J$8,L_HOLS,0))),"H",IF(INDEX(L_WKNDVAL,WEEKDAY(J$8,1))=1,"WKND",INDEX(T_LEAVE[LEAVE CODE],SUMPRODUCT(--(T_LEAVE[NAME]=$B69),--(T_LEAVE[DATE]&lt;=J$8),--(T_LEAVE[DATE]&gt;=J$8),ROW(T_LEAVE[LEAVE CODE]))-ROW(T_LEAVE[#Headers]))))))),"")</f>
        <v/>
      </c>
      <c r="K69" s="75" t="str">
        <f>IFERROR(IF(K$8="","NA",IF(K$8&lt;INDEX(T_EMP[START DATE],ROW($B69)-ROW($B$8)),"NE",IF(AND(INDEX(T_EMP[TERMINATION DATE],ROW($B69)-ROW($B$8))&gt;0,K$8&gt;INDEX(T_EMP[TERMINATION DATE],ROW($B69)-ROW($B$8))),"NE",IF(NOT(ISERROR(MATCH(K$8,L_HOLS,0))),"H",IF(INDEX(L_WKNDVAL,WEEKDAY(K$8,1))=1,"WKND",INDEX(T_LEAVE[LEAVE CODE],SUMPRODUCT(--(T_LEAVE[NAME]=$B69),--(T_LEAVE[DATE]&lt;=K$8),--(T_LEAVE[DATE]&gt;=K$8),ROW(T_LEAVE[LEAVE CODE]))-ROW(T_LEAVE[#Headers]))))))),"")</f>
        <v/>
      </c>
      <c r="L69" s="75" t="str">
        <f>IFERROR(IF(L$8="","NA",IF(L$8&lt;INDEX(T_EMP[START DATE],ROW($B69)-ROW($B$8)),"NE",IF(AND(INDEX(T_EMP[TERMINATION DATE],ROW($B69)-ROW($B$8))&gt;0,L$8&gt;INDEX(T_EMP[TERMINATION DATE],ROW($B69)-ROW($B$8))),"NE",IF(NOT(ISERROR(MATCH(L$8,L_HOLS,0))),"H",IF(INDEX(L_WKNDVAL,WEEKDAY(L$8,1))=1,"WKND",INDEX(T_LEAVE[LEAVE CODE],SUMPRODUCT(--(T_LEAVE[NAME]=$B69),--(T_LEAVE[DATE]&lt;=L$8),--(T_LEAVE[DATE]&gt;=L$8),ROW(T_LEAVE[LEAVE CODE]))-ROW(T_LEAVE[#Headers]))))))),"")</f>
        <v/>
      </c>
      <c r="M69" s="75" t="str">
        <f>IFERROR(IF(M$8="","NA",IF(M$8&lt;INDEX(T_EMP[START DATE],ROW($B69)-ROW($B$8)),"NE",IF(AND(INDEX(T_EMP[TERMINATION DATE],ROW($B69)-ROW($B$8))&gt;0,M$8&gt;INDEX(T_EMP[TERMINATION DATE],ROW($B69)-ROW($B$8))),"NE",IF(NOT(ISERROR(MATCH(M$8,L_HOLS,0))),"H",IF(INDEX(L_WKNDVAL,WEEKDAY(M$8,1))=1,"WKND",INDEX(T_LEAVE[LEAVE CODE],SUMPRODUCT(--(T_LEAVE[NAME]=$B69),--(T_LEAVE[DATE]&lt;=M$8),--(T_LEAVE[DATE]&gt;=M$8),ROW(T_LEAVE[LEAVE CODE]))-ROW(T_LEAVE[#Headers]))))))),"")</f>
        <v/>
      </c>
      <c r="N69" s="75" t="str">
        <f>IFERROR(IF(N$8="","NA",IF(N$8&lt;INDEX(T_EMP[START DATE],ROW($B69)-ROW($B$8)),"NE",IF(AND(INDEX(T_EMP[TERMINATION DATE],ROW($B69)-ROW($B$8))&gt;0,N$8&gt;INDEX(T_EMP[TERMINATION DATE],ROW($B69)-ROW($B$8))),"NE",IF(NOT(ISERROR(MATCH(N$8,L_HOLS,0))),"H",IF(INDEX(L_WKNDVAL,WEEKDAY(N$8,1))=1,"WKND",INDEX(T_LEAVE[LEAVE CODE],SUMPRODUCT(--(T_LEAVE[NAME]=$B69),--(T_LEAVE[DATE]&lt;=N$8),--(T_LEAVE[DATE]&gt;=N$8),ROW(T_LEAVE[LEAVE CODE]))-ROW(T_LEAVE[#Headers]))))))),"")</f>
        <v/>
      </c>
      <c r="O69" s="75" t="str">
        <f>IFERROR(IF(O$8="","NA",IF(O$8&lt;INDEX(T_EMP[START DATE],ROW($B69)-ROW($B$8)),"NE",IF(AND(INDEX(T_EMP[TERMINATION DATE],ROW($B69)-ROW($B$8))&gt;0,O$8&gt;INDEX(T_EMP[TERMINATION DATE],ROW($B69)-ROW($B$8))),"NE",IF(NOT(ISERROR(MATCH(O$8,L_HOLS,0))),"H",IF(INDEX(L_WKNDVAL,WEEKDAY(O$8,1))=1,"WKND",INDEX(T_LEAVE[LEAVE CODE],SUMPRODUCT(--(T_LEAVE[NAME]=$B69),--(T_LEAVE[DATE]&lt;=O$8),--(T_LEAVE[DATE]&gt;=O$8),ROW(T_LEAVE[LEAVE CODE]))-ROW(T_LEAVE[#Headers]))))))),"")</f>
        <v/>
      </c>
      <c r="P69" s="75" t="str">
        <f>IFERROR(IF(P$8="","NA",IF(P$8&lt;INDEX(T_EMP[START DATE],ROW($B69)-ROW($B$8)),"NE",IF(AND(INDEX(T_EMP[TERMINATION DATE],ROW($B69)-ROW($B$8))&gt;0,P$8&gt;INDEX(T_EMP[TERMINATION DATE],ROW($B69)-ROW($B$8))),"NE",IF(NOT(ISERROR(MATCH(P$8,L_HOLS,0))),"H",IF(INDEX(L_WKNDVAL,WEEKDAY(P$8,1))=1,"WKND",INDEX(T_LEAVE[LEAVE CODE],SUMPRODUCT(--(T_LEAVE[NAME]=$B69),--(T_LEAVE[DATE]&lt;=P$8),--(T_LEAVE[DATE]&gt;=P$8),ROW(T_LEAVE[LEAVE CODE]))-ROW(T_LEAVE[#Headers]))))))),"")</f>
        <v>H</v>
      </c>
      <c r="Q69" s="75" t="str">
        <f>IFERROR(IF(Q$8="","NA",IF(Q$8&lt;INDEX(T_EMP[START DATE],ROW($B69)-ROW($B$8)),"NE",IF(AND(INDEX(T_EMP[TERMINATION DATE],ROW($B69)-ROW($B$8))&gt;0,Q$8&gt;INDEX(T_EMP[TERMINATION DATE],ROW($B69)-ROW($B$8))),"NE",IF(NOT(ISERROR(MATCH(Q$8,L_HOLS,0))),"H",IF(INDEX(L_WKNDVAL,WEEKDAY(Q$8,1))=1,"WKND",INDEX(T_LEAVE[LEAVE CODE],SUMPRODUCT(--(T_LEAVE[NAME]=$B69),--(T_LEAVE[DATE]&lt;=Q$8),--(T_LEAVE[DATE]&gt;=Q$8),ROW(T_LEAVE[LEAVE CODE]))-ROW(T_LEAVE[#Headers]))))))),"")</f>
        <v/>
      </c>
      <c r="R69" s="75" t="str">
        <f>IFERROR(IF(R$8="","NA",IF(R$8&lt;INDEX(T_EMP[START DATE],ROW($B69)-ROW($B$8)),"NE",IF(AND(INDEX(T_EMP[TERMINATION DATE],ROW($B69)-ROW($B$8))&gt;0,R$8&gt;INDEX(T_EMP[TERMINATION DATE],ROW($B69)-ROW($B$8))),"NE",IF(NOT(ISERROR(MATCH(R$8,L_HOLS,0))),"H",IF(INDEX(L_WKNDVAL,WEEKDAY(R$8,1))=1,"WKND",INDEX(T_LEAVE[LEAVE CODE],SUMPRODUCT(--(T_LEAVE[NAME]=$B69),--(T_LEAVE[DATE]&lt;=R$8),--(T_LEAVE[DATE]&gt;=R$8),ROW(T_LEAVE[LEAVE CODE]))-ROW(T_LEAVE[#Headers]))))))),"")</f>
        <v/>
      </c>
      <c r="S69" s="75" t="str">
        <f>IFERROR(IF(S$8="","NA",IF(S$8&lt;INDEX(T_EMP[START DATE],ROW($B69)-ROW($B$8)),"NE",IF(AND(INDEX(T_EMP[TERMINATION DATE],ROW($B69)-ROW($B$8))&gt;0,S$8&gt;INDEX(T_EMP[TERMINATION DATE],ROW($B69)-ROW($B$8))),"NE",IF(NOT(ISERROR(MATCH(S$8,L_HOLS,0))),"H",IF(INDEX(L_WKNDVAL,WEEKDAY(S$8,1))=1,"WKND",INDEX(T_LEAVE[LEAVE CODE],SUMPRODUCT(--(T_LEAVE[NAME]=$B69),--(T_LEAVE[DATE]&lt;=S$8),--(T_LEAVE[DATE]&gt;=S$8),ROW(T_LEAVE[LEAVE CODE]))-ROW(T_LEAVE[#Headers]))))))),"")</f>
        <v/>
      </c>
      <c r="T69" s="75" t="str">
        <f>IFERROR(IF(T$8="","NA",IF(T$8&lt;INDEX(T_EMP[START DATE],ROW($B69)-ROW($B$8)),"NE",IF(AND(INDEX(T_EMP[TERMINATION DATE],ROW($B69)-ROW($B$8))&gt;0,T$8&gt;INDEX(T_EMP[TERMINATION DATE],ROW($B69)-ROW($B$8))),"NE",IF(NOT(ISERROR(MATCH(T$8,L_HOLS,0))),"H",IF(INDEX(L_WKNDVAL,WEEKDAY(T$8,1))=1,"WKND",INDEX(T_LEAVE[LEAVE CODE],SUMPRODUCT(--(T_LEAVE[NAME]=$B69),--(T_LEAVE[DATE]&lt;=T$8),--(T_LEAVE[DATE]&gt;=T$8),ROW(T_LEAVE[LEAVE CODE]))-ROW(T_LEAVE[#Headers]))))))),"")</f>
        <v/>
      </c>
      <c r="U69" s="75" t="str">
        <f>IFERROR(IF(U$8="","NA",IF(U$8&lt;INDEX(T_EMP[START DATE],ROW($B69)-ROW($B$8)),"NE",IF(AND(INDEX(T_EMP[TERMINATION DATE],ROW($B69)-ROW($B$8))&gt;0,U$8&gt;INDEX(T_EMP[TERMINATION DATE],ROW($B69)-ROW($B$8))),"NE",IF(NOT(ISERROR(MATCH(U$8,L_HOLS,0))),"H",IF(INDEX(L_WKNDVAL,WEEKDAY(U$8,1))=1,"WKND",INDEX(T_LEAVE[LEAVE CODE],SUMPRODUCT(--(T_LEAVE[NAME]=$B69),--(T_LEAVE[DATE]&lt;=U$8),--(T_LEAVE[DATE]&gt;=U$8),ROW(T_LEAVE[LEAVE CODE]))-ROW(T_LEAVE[#Headers]))))))),"")</f>
        <v/>
      </c>
      <c r="V69" s="75" t="str">
        <f>IFERROR(IF(V$8="","NA",IF(V$8&lt;INDEX(T_EMP[START DATE],ROW($B69)-ROW($B$8)),"NE",IF(AND(INDEX(T_EMP[TERMINATION DATE],ROW($B69)-ROW($B$8))&gt;0,V$8&gt;INDEX(T_EMP[TERMINATION DATE],ROW($B69)-ROW($B$8))),"NE",IF(NOT(ISERROR(MATCH(V$8,L_HOLS,0))),"H",IF(INDEX(L_WKNDVAL,WEEKDAY(V$8,1))=1,"WKND",INDEX(T_LEAVE[LEAVE CODE],SUMPRODUCT(--(T_LEAVE[NAME]=$B69),--(T_LEAVE[DATE]&lt;=V$8),--(T_LEAVE[DATE]&gt;=V$8),ROW(T_LEAVE[LEAVE CODE]))-ROW(T_LEAVE[#Headers]))))))),"")</f>
        <v/>
      </c>
      <c r="W69" s="75" t="str">
        <f>IFERROR(IF(W$8="","NA",IF(W$8&lt;INDEX(T_EMP[START DATE],ROW($B69)-ROW($B$8)),"NE",IF(AND(INDEX(T_EMP[TERMINATION DATE],ROW($B69)-ROW($B$8))&gt;0,W$8&gt;INDEX(T_EMP[TERMINATION DATE],ROW($B69)-ROW($B$8))),"NE",IF(NOT(ISERROR(MATCH(W$8,L_HOLS,0))),"H",IF(INDEX(L_WKNDVAL,WEEKDAY(W$8,1))=1,"WKND",INDEX(T_LEAVE[LEAVE CODE],SUMPRODUCT(--(T_LEAVE[NAME]=$B69),--(T_LEAVE[DATE]&lt;=W$8),--(T_LEAVE[DATE]&gt;=W$8),ROW(T_LEAVE[LEAVE CODE]))-ROW(T_LEAVE[#Headers]))))))),"")</f>
        <v/>
      </c>
      <c r="X69" s="75" t="str">
        <f>IFERROR(IF(X$8="","NA",IF(X$8&lt;INDEX(T_EMP[START DATE],ROW($B69)-ROW($B$8)),"NE",IF(AND(INDEX(T_EMP[TERMINATION DATE],ROW($B69)-ROW($B$8))&gt;0,X$8&gt;INDEX(T_EMP[TERMINATION DATE],ROW($B69)-ROW($B$8))),"NE",IF(NOT(ISERROR(MATCH(X$8,L_HOLS,0))),"H",IF(INDEX(L_WKNDVAL,WEEKDAY(X$8,1))=1,"WKND",INDEX(T_LEAVE[LEAVE CODE],SUMPRODUCT(--(T_LEAVE[NAME]=$B69),--(T_LEAVE[DATE]&lt;=X$8),--(T_LEAVE[DATE]&gt;=X$8),ROW(T_LEAVE[LEAVE CODE]))-ROW(T_LEAVE[#Headers]))))))),"")</f>
        <v/>
      </c>
      <c r="Y69" s="75" t="str">
        <f>IFERROR(IF(Y$8="","NA",IF(Y$8&lt;INDEX(T_EMP[START DATE],ROW($B69)-ROW($B$8)),"NE",IF(AND(INDEX(T_EMP[TERMINATION DATE],ROW($B69)-ROW($B$8))&gt;0,Y$8&gt;INDEX(T_EMP[TERMINATION DATE],ROW($B69)-ROW($B$8))),"NE",IF(NOT(ISERROR(MATCH(Y$8,L_HOLS,0))),"H",IF(INDEX(L_WKNDVAL,WEEKDAY(Y$8,1))=1,"WKND",INDEX(T_LEAVE[LEAVE CODE],SUMPRODUCT(--(T_LEAVE[NAME]=$B69),--(T_LEAVE[DATE]&lt;=Y$8),--(T_LEAVE[DATE]&gt;=Y$8),ROW(T_LEAVE[LEAVE CODE]))-ROW(T_LEAVE[#Headers]))))))),"")</f>
        <v/>
      </c>
      <c r="Z69" s="75" t="str">
        <f>IFERROR(IF(Z$8="","NA",IF(Z$8&lt;INDEX(T_EMP[START DATE],ROW($B69)-ROW($B$8)),"NE",IF(AND(INDEX(T_EMP[TERMINATION DATE],ROW($B69)-ROW($B$8))&gt;0,Z$8&gt;INDEX(T_EMP[TERMINATION DATE],ROW($B69)-ROW($B$8))),"NE",IF(NOT(ISERROR(MATCH(Z$8,L_HOLS,0))),"H",IF(INDEX(L_WKNDVAL,WEEKDAY(Z$8,1))=1,"WKND",INDEX(T_LEAVE[LEAVE CODE],SUMPRODUCT(--(T_LEAVE[NAME]=$B69),--(T_LEAVE[DATE]&lt;=Z$8),--(T_LEAVE[DATE]&gt;=Z$8),ROW(T_LEAVE[LEAVE CODE]))-ROW(T_LEAVE[#Headers]))))))),"")</f>
        <v/>
      </c>
      <c r="AA69" s="75" t="str">
        <f>IFERROR(IF(AA$8="","NA",IF(AA$8&lt;INDEX(T_EMP[START DATE],ROW($B69)-ROW($B$8)),"NE",IF(AND(INDEX(T_EMP[TERMINATION DATE],ROW($B69)-ROW($B$8))&gt;0,AA$8&gt;INDEX(T_EMP[TERMINATION DATE],ROW($B69)-ROW($B$8))),"NE",IF(NOT(ISERROR(MATCH(AA$8,L_HOLS,0))),"H",IF(INDEX(L_WKNDVAL,WEEKDAY(AA$8,1))=1,"WKND",INDEX(T_LEAVE[LEAVE CODE],SUMPRODUCT(--(T_LEAVE[NAME]=$B69),--(T_LEAVE[DATE]&lt;=AA$8),--(T_LEAVE[DATE]&gt;=AA$8),ROW(T_LEAVE[LEAVE CODE]))-ROW(T_LEAVE[#Headers]))))))),"")</f>
        <v/>
      </c>
      <c r="AB69" s="75" t="str">
        <f>IFERROR(IF(AB$8="","NA",IF(AB$8&lt;INDEX(T_EMP[START DATE],ROW($B69)-ROW($B$8)),"NE",IF(AND(INDEX(T_EMP[TERMINATION DATE],ROW($B69)-ROW($B$8))&gt;0,AB$8&gt;INDEX(T_EMP[TERMINATION DATE],ROW($B69)-ROW($B$8))),"NE",IF(NOT(ISERROR(MATCH(AB$8,L_HOLS,0))),"H",IF(INDEX(L_WKNDVAL,WEEKDAY(AB$8,1))=1,"WKND",INDEX(T_LEAVE[LEAVE CODE],SUMPRODUCT(--(T_LEAVE[NAME]=$B69),--(T_LEAVE[DATE]&lt;=AB$8),--(T_LEAVE[DATE]&gt;=AB$8),ROW(T_LEAVE[LEAVE CODE]))-ROW(T_LEAVE[#Headers]))))))),"")</f>
        <v/>
      </c>
      <c r="AC69" s="75" t="str">
        <f>IFERROR(IF(AC$8="","NA",IF(AC$8&lt;INDEX(T_EMP[START DATE],ROW($B69)-ROW($B$8)),"NE",IF(AND(INDEX(T_EMP[TERMINATION DATE],ROW($B69)-ROW($B$8))&gt;0,AC$8&gt;INDEX(T_EMP[TERMINATION DATE],ROW($B69)-ROW($B$8))),"NE",IF(NOT(ISERROR(MATCH(AC$8,L_HOLS,0))),"H",IF(INDEX(L_WKNDVAL,WEEKDAY(AC$8,1))=1,"WKND",INDEX(T_LEAVE[LEAVE CODE],SUMPRODUCT(--(T_LEAVE[NAME]=$B69),--(T_LEAVE[DATE]&lt;=AC$8),--(T_LEAVE[DATE]&gt;=AC$8),ROW(T_LEAVE[LEAVE CODE]))-ROW(T_LEAVE[#Headers]))))))),"")</f>
        <v/>
      </c>
      <c r="AD69" s="75" t="str">
        <f>IFERROR(IF(AD$8="","NA",IF(AD$8&lt;INDEX(T_EMP[START DATE],ROW($B69)-ROW($B$8)),"NE",IF(AND(INDEX(T_EMP[TERMINATION DATE],ROW($B69)-ROW($B$8))&gt;0,AD$8&gt;INDEX(T_EMP[TERMINATION DATE],ROW($B69)-ROW($B$8))),"NE",IF(NOT(ISERROR(MATCH(AD$8,L_HOLS,0))),"H",IF(INDEX(L_WKNDVAL,WEEKDAY(AD$8,1))=1,"WKND",INDEX(T_LEAVE[LEAVE CODE],SUMPRODUCT(--(T_LEAVE[NAME]=$B69),--(T_LEAVE[DATE]&lt;=AD$8),--(T_LEAVE[DATE]&gt;=AD$8),ROW(T_LEAVE[LEAVE CODE]))-ROW(T_LEAVE[#Headers]))))))),"")</f>
        <v/>
      </c>
      <c r="AE69" s="75" t="str">
        <f>IFERROR(IF(AE$8="","NA",IF(AE$8&lt;INDEX(T_EMP[START DATE],ROW($B69)-ROW($B$8)),"NE",IF(AND(INDEX(T_EMP[TERMINATION DATE],ROW($B69)-ROW($B$8))&gt;0,AE$8&gt;INDEX(T_EMP[TERMINATION DATE],ROW($B69)-ROW($B$8))),"NE",IF(NOT(ISERROR(MATCH(AE$8,L_HOLS,0))),"H",IF(INDEX(L_WKNDVAL,WEEKDAY(AE$8,1))=1,"WKND",INDEX(T_LEAVE[LEAVE CODE],SUMPRODUCT(--(T_LEAVE[NAME]=$B69),--(T_LEAVE[DATE]&lt;=AE$8),--(T_LEAVE[DATE]&gt;=AE$8),ROW(T_LEAVE[LEAVE CODE]))-ROW(T_LEAVE[#Headers]))))))),"")</f>
        <v/>
      </c>
      <c r="AF69" s="75" t="str">
        <f>IFERROR(IF(AF$8="","NA",IF(AF$8&lt;INDEX(T_EMP[START DATE],ROW($B69)-ROW($B$8)),"NE",IF(AND(INDEX(T_EMP[TERMINATION DATE],ROW($B69)-ROW($B$8))&gt;0,AF$8&gt;INDEX(T_EMP[TERMINATION DATE],ROW($B69)-ROW($B$8))),"NE",IF(NOT(ISERROR(MATCH(AF$8,L_HOLS,0))),"H",IF(INDEX(L_WKNDVAL,WEEKDAY(AF$8,1))=1,"WKND",INDEX(T_LEAVE[LEAVE CODE],SUMPRODUCT(--(T_LEAVE[NAME]=$B69),--(T_LEAVE[DATE]&lt;=AF$8),--(T_LEAVE[DATE]&gt;=AF$8),ROW(T_LEAVE[LEAVE CODE]))-ROW(T_LEAVE[#Headers]))))))),"")</f>
        <v/>
      </c>
      <c r="AG69" s="75" t="str">
        <f>IFERROR(IF(AG$8="","NA",IF(AG$8&lt;INDEX(T_EMP[START DATE],ROW($B69)-ROW($B$8)),"NE",IF(AND(INDEX(T_EMP[TERMINATION DATE],ROW($B69)-ROW($B$8))&gt;0,AG$8&gt;INDEX(T_EMP[TERMINATION DATE],ROW($B69)-ROW($B$8))),"NE",IF(NOT(ISERROR(MATCH(AG$8,L_HOLS,0))),"H",IF(INDEX(L_WKNDVAL,WEEKDAY(AG$8,1))=1,"WKND",INDEX(T_LEAVE[LEAVE CODE],SUMPRODUCT(--(T_LEAVE[NAME]=$B69),--(T_LEAVE[DATE]&lt;=AG$8),--(T_LEAVE[DATE]&gt;=AG$8),ROW(T_LEAVE[LEAVE CODE]))-ROW(T_LEAVE[#Headers]))))))),"")</f>
        <v/>
      </c>
      <c r="AH69" s="75" t="str">
        <f>IFERROR(IF(AH$8="","NA",IF(AH$8&lt;INDEX(T_EMP[START DATE],ROW($B69)-ROW($B$8)),"NE",IF(AND(INDEX(T_EMP[TERMINATION DATE],ROW($B69)-ROW($B$8))&gt;0,AH$8&gt;INDEX(T_EMP[TERMINATION DATE],ROW($B69)-ROW($B$8))),"NE",IF(NOT(ISERROR(MATCH(AH$8,L_HOLS,0))),"H",IF(INDEX(L_WKNDVAL,WEEKDAY(AH$8,1))=1,"WKND",INDEX(T_LEAVE[LEAVE CODE],SUMPRODUCT(--(T_LEAVE[NAME]=$B69),--(T_LEAVE[DATE]&lt;=AH$8),--(T_LEAVE[DATE]&gt;=AH$8),ROW(T_LEAVE[LEAVE CODE]))-ROW(T_LEAVE[#Headers]))))))),"")</f>
        <v/>
      </c>
      <c r="AJ69" s="88">
        <f>IF(OR($B69="",AJ$8=""),"",COUNTIFS($D69:$AH69,AJ$8)*INDEX(T_LEAVETYPE[DAY VALUE],1))</f>
        <v>0</v>
      </c>
      <c r="AK69" s="88">
        <f>IF(OR($B69="",AK$8=""),"",COUNTIFS($D69:$AH69,AK$8)*INDEX(T_LEAVETYPE[DAY VALUE],1))</f>
        <v>0</v>
      </c>
      <c r="AL69" s="88">
        <f>IF(OR($B69="",AL$8=""),"",COUNTIFS($D69:$AH69,AL$8)*INDEX(T_LEAVETYPE[DAY VALUE],1))</f>
        <v>0</v>
      </c>
      <c r="AM69" s="88">
        <f>IF(OR($B69="",AM$8=""),"",COUNTIFS($D69:$AH69,AM$8)*INDEX(T_LEAVETYPE[DAY VALUE],1))</f>
        <v>0</v>
      </c>
      <c r="AN69" s="88">
        <f>IF(OR($B69="",AN$8=""),"",COUNTIFS($D69:$AH69,AN$8)*INDEX(T_LEAVETYPE[DAY VALUE],1))</f>
        <v>0</v>
      </c>
      <c r="AO69" s="88">
        <f>IF(OR($B69="",AO$8=""),"",COUNTIFS($D69:$AH69,AO$8)*INDEX(T_LEAVETYPE[DAY VALUE],6))</f>
        <v>0</v>
      </c>
      <c r="AP69" s="88">
        <f>IF(OR($B69="",AP$8=""),"",COUNTIFS($D69:$AH69,AP$8)*INDEX(T_LEAVETYPE[DAY VALUE],7))</f>
        <v>0</v>
      </c>
      <c r="AQ69" s="88">
        <f>IF(OR($B69="",AQ$8=""),"",COUNTIFS($D69:$AH69,AQ$8)*INDEX(T_LEAVETYPE[DAY VALUE],8))</f>
        <v>0</v>
      </c>
      <c r="AR69" s="89">
        <f t="shared" si="5"/>
        <v>0</v>
      </c>
    </row>
    <row r="70" spans="1:44" x14ac:dyDescent="0.25">
      <c r="A70" s="90">
        <f t="shared" si="4"/>
        <v>62</v>
      </c>
      <c r="B70" s="74" t="str">
        <f>IFERROR(INDEX(T_EMP[NAME],ROW(B70)-ROW($B$8)),"")</f>
        <v>GODOY, MYRA ELIZA</v>
      </c>
      <c r="C70" s="91" t="str">
        <f>IFERROR(INDEX(T_EMP[DEPARTMENT],ROW(B70)-ROW($C$8)),"")</f>
        <v>PHARMTECH</v>
      </c>
      <c r="D70" s="75" t="str">
        <f>IFERROR(IF(D$8="","NA",IF(D$8&lt;INDEX(T_EMP[START DATE],ROW($B70)-ROW($B$8)),"NE",IF(AND(INDEX(T_EMP[TERMINATION DATE],ROW($B70)-ROW($B$8))&gt;0,D$8&gt;INDEX(T_EMP[TERMINATION DATE],ROW($B70)-ROW($B$8))),"NE",IF(NOT(ISERROR(MATCH(D$8,L_HOLS,0))),"H",IF(INDEX(L_WKNDVAL,WEEKDAY(D$8,1))=1,"WKND",INDEX(T_LEAVE[LEAVE CODE],SUMPRODUCT(--(T_LEAVE[NAME]=$B70),--(T_LEAVE[DATE]&lt;=D$8),--(T_LEAVE[DATE]&gt;=D$8),ROW(T_LEAVE[LEAVE CODE]))-ROW(T_LEAVE[#Headers]))))))),"")</f>
        <v>H</v>
      </c>
      <c r="E70" s="75" t="str">
        <f>IFERROR(IF(E$8="","NA",IF(E$8&lt;INDEX(T_EMP[START DATE],ROW($B70)-ROW($B$8)),"NE",IF(AND(INDEX(T_EMP[TERMINATION DATE],ROW($B70)-ROW($B$8))&gt;0,E$8&gt;INDEX(T_EMP[TERMINATION DATE],ROW($B70)-ROW($B$8))),"NE",IF(NOT(ISERROR(MATCH(E$8,L_HOLS,0))),"H",IF(INDEX(L_WKNDVAL,WEEKDAY(E$8,1))=1,"WKND",INDEX(T_LEAVE[LEAVE CODE],SUMPRODUCT(--(T_LEAVE[NAME]=$B70),--(T_LEAVE[DATE]&lt;=E$8),--(T_LEAVE[DATE]&gt;=E$8),ROW(T_LEAVE[LEAVE CODE]))-ROW(T_LEAVE[#Headers]))))))),"")</f>
        <v/>
      </c>
      <c r="F70" s="75" t="str">
        <f>IFERROR(IF(F$8="","NA",IF(F$8&lt;INDEX(T_EMP[START DATE],ROW($B70)-ROW($B$8)),"NE",IF(AND(INDEX(T_EMP[TERMINATION DATE],ROW($B70)-ROW($B$8))&gt;0,F$8&gt;INDEX(T_EMP[TERMINATION DATE],ROW($B70)-ROW($B$8))),"NE",IF(NOT(ISERROR(MATCH(F$8,L_HOLS,0))),"H",IF(INDEX(L_WKNDVAL,WEEKDAY(F$8,1))=1,"WKND",INDEX(T_LEAVE[LEAVE CODE],SUMPRODUCT(--(T_LEAVE[NAME]=$B70),--(T_LEAVE[DATE]&lt;=F$8),--(T_LEAVE[DATE]&gt;=F$8),ROW(T_LEAVE[LEAVE CODE]))-ROW(T_LEAVE[#Headers]))))))),"")</f>
        <v/>
      </c>
      <c r="G70" s="75" t="str">
        <f>IFERROR(IF(G$8="","NA",IF(G$8&lt;INDEX(T_EMP[START DATE],ROW($B70)-ROW($B$8)),"NE",IF(AND(INDEX(T_EMP[TERMINATION DATE],ROW($B70)-ROW($B$8))&gt;0,G$8&gt;INDEX(T_EMP[TERMINATION DATE],ROW($B70)-ROW($B$8))),"NE",IF(NOT(ISERROR(MATCH(G$8,L_HOLS,0))),"H",IF(INDEX(L_WKNDVAL,WEEKDAY(G$8,1))=1,"WKND",INDEX(T_LEAVE[LEAVE CODE],SUMPRODUCT(--(T_LEAVE[NAME]=$B70),--(T_LEAVE[DATE]&lt;=G$8),--(T_LEAVE[DATE]&gt;=G$8),ROW(T_LEAVE[LEAVE CODE]))-ROW(T_LEAVE[#Headers]))))))),"")</f>
        <v/>
      </c>
      <c r="H70" s="75" t="str">
        <f>IFERROR(IF(H$8="","NA",IF(H$8&lt;INDEX(T_EMP[START DATE],ROW($B70)-ROW($B$8)),"NE",IF(AND(INDEX(T_EMP[TERMINATION DATE],ROW($B70)-ROW($B$8))&gt;0,H$8&gt;INDEX(T_EMP[TERMINATION DATE],ROW($B70)-ROW($B$8))),"NE",IF(NOT(ISERROR(MATCH(H$8,L_HOLS,0))),"H",IF(INDEX(L_WKNDVAL,WEEKDAY(H$8,1))=1,"WKND",INDEX(T_LEAVE[LEAVE CODE],SUMPRODUCT(--(T_LEAVE[NAME]=$B70),--(T_LEAVE[DATE]&lt;=H$8),--(T_LEAVE[DATE]&gt;=H$8),ROW(T_LEAVE[LEAVE CODE]))-ROW(T_LEAVE[#Headers]))))))),"")</f>
        <v/>
      </c>
      <c r="I70" s="75" t="str">
        <f>IFERROR(IF(I$8="","NA",IF(I$8&lt;INDEX(T_EMP[START DATE],ROW($B70)-ROW($B$8)),"NE",IF(AND(INDEX(T_EMP[TERMINATION DATE],ROW($B70)-ROW($B$8))&gt;0,I$8&gt;INDEX(T_EMP[TERMINATION DATE],ROW($B70)-ROW($B$8))),"NE",IF(NOT(ISERROR(MATCH(I$8,L_HOLS,0))),"H",IF(INDEX(L_WKNDVAL,WEEKDAY(I$8,1))=1,"WKND",INDEX(T_LEAVE[LEAVE CODE],SUMPRODUCT(--(T_LEAVE[NAME]=$B70),--(T_LEAVE[DATE]&lt;=I$8),--(T_LEAVE[DATE]&gt;=I$8),ROW(T_LEAVE[LEAVE CODE]))-ROW(T_LEAVE[#Headers]))))))),"")</f>
        <v/>
      </c>
      <c r="J70" s="75" t="str">
        <f>IFERROR(IF(J$8="","NA",IF(J$8&lt;INDEX(T_EMP[START DATE],ROW($B70)-ROW($B$8)),"NE",IF(AND(INDEX(T_EMP[TERMINATION DATE],ROW($B70)-ROW($B$8))&gt;0,J$8&gt;INDEX(T_EMP[TERMINATION DATE],ROW($B70)-ROW($B$8))),"NE",IF(NOT(ISERROR(MATCH(J$8,L_HOLS,0))),"H",IF(INDEX(L_WKNDVAL,WEEKDAY(J$8,1))=1,"WKND",INDEX(T_LEAVE[LEAVE CODE],SUMPRODUCT(--(T_LEAVE[NAME]=$B70),--(T_LEAVE[DATE]&lt;=J$8),--(T_LEAVE[DATE]&gt;=J$8),ROW(T_LEAVE[LEAVE CODE]))-ROW(T_LEAVE[#Headers]))))))),"")</f>
        <v/>
      </c>
      <c r="K70" s="75" t="str">
        <f>IFERROR(IF(K$8="","NA",IF(K$8&lt;INDEX(T_EMP[START DATE],ROW($B70)-ROW($B$8)),"NE",IF(AND(INDEX(T_EMP[TERMINATION DATE],ROW($B70)-ROW($B$8))&gt;0,K$8&gt;INDEX(T_EMP[TERMINATION DATE],ROW($B70)-ROW($B$8))),"NE",IF(NOT(ISERROR(MATCH(K$8,L_HOLS,0))),"H",IF(INDEX(L_WKNDVAL,WEEKDAY(K$8,1))=1,"WKND",INDEX(T_LEAVE[LEAVE CODE],SUMPRODUCT(--(T_LEAVE[NAME]=$B70),--(T_LEAVE[DATE]&lt;=K$8),--(T_LEAVE[DATE]&gt;=K$8),ROW(T_LEAVE[LEAVE CODE]))-ROW(T_LEAVE[#Headers]))))))),"")</f>
        <v/>
      </c>
      <c r="L70" s="75" t="str">
        <f>IFERROR(IF(L$8="","NA",IF(L$8&lt;INDEX(T_EMP[START DATE],ROW($B70)-ROW($B$8)),"NE",IF(AND(INDEX(T_EMP[TERMINATION DATE],ROW($B70)-ROW($B$8))&gt;0,L$8&gt;INDEX(T_EMP[TERMINATION DATE],ROW($B70)-ROW($B$8))),"NE",IF(NOT(ISERROR(MATCH(L$8,L_HOLS,0))),"H",IF(INDEX(L_WKNDVAL,WEEKDAY(L$8,1))=1,"WKND",INDEX(T_LEAVE[LEAVE CODE],SUMPRODUCT(--(T_LEAVE[NAME]=$B70),--(T_LEAVE[DATE]&lt;=L$8),--(T_LEAVE[DATE]&gt;=L$8),ROW(T_LEAVE[LEAVE CODE]))-ROW(T_LEAVE[#Headers]))))))),"")</f>
        <v/>
      </c>
      <c r="M70" s="75" t="str">
        <f>IFERROR(IF(M$8="","NA",IF(M$8&lt;INDEX(T_EMP[START DATE],ROW($B70)-ROW($B$8)),"NE",IF(AND(INDEX(T_EMP[TERMINATION DATE],ROW($B70)-ROW($B$8))&gt;0,M$8&gt;INDEX(T_EMP[TERMINATION DATE],ROW($B70)-ROW($B$8))),"NE",IF(NOT(ISERROR(MATCH(M$8,L_HOLS,0))),"H",IF(INDEX(L_WKNDVAL,WEEKDAY(M$8,1))=1,"WKND",INDEX(T_LEAVE[LEAVE CODE],SUMPRODUCT(--(T_LEAVE[NAME]=$B70),--(T_LEAVE[DATE]&lt;=M$8),--(T_LEAVE[DATE]&gt;=M$8),ROW(T_LEAVE[LEAVE CODE]))-ROW(T_LEAVE[#Headers]))))))),"")</f>
        <v/>
      </c>
      <c r="N70" s="75" t="str">
        <f>IFERROR(IF(N$8="","NA",IF(N$8&lt;INDEX(T_EMP[START DATE],ROW($B70)-ROW($B$8)),"NE",IF(AND(INDEX(T_EMP[TERMINATION DATE],ROW($B70)-ROW($B$8))&gt;0,N$8&gt;INDEX(T_EMP[TERMINATION DATE],ROW($B70)-ROW($B$8))),"NE",IF(NOT(ISERROR(MATCH(N$8,L_HOLS,0))),"H",IF(INDEX(L_WKNDVAL,WEEKDAY(N$8,1))=1,"WKND",INDEX(T_LEAVE[LEAVE CODE],SUMPRODUCT(--(T_LEAVE[NAME]=$B70),--(T_LEAVE[DATE]&lt;=N$8),--(T_LEAVE[DATE]&gt;=N$8),ROW(T_LEAVE[LEAVE CODE]))-ROW(T_LEAVE[#Headers]))))))),"")</f>
        <v/>
      </c>
      <c r="O70" s="75" t="str">
        <f>IFERROR(IF(O$8="","NA",IF(O$8&lt;INDEX(T_EMP[START DATE],ROW($B70)-ROW($B$8)),"NE",IF(AND(INDEX(T_EMP[TERMINATION DATE],ROW($B70)-ROW($B$8))&gt;0,O$8&gt;INDEX(T_EMP[TERMINATION DATE],ROW($B70)-ROW($B$8))),"NE",IF(NOT(ISERROR(MATCH(O$8,L_HOLS,0))),"H",IF(INDEX(L_WKNDVAL,WEEKDAY(O$8,1))=1,"WKND",INDEX(T_LEAVE[LEAVE CODE],SUMPRODUCT(--(T_LEAVE[NAME]=$B70),--(T_LEAVE[DATE]&lt;=O$8),--(T_LEAVE[DATE]&gt;=O$8),ROW(T_LEAVE[LEAVE CODE]))-ROW(T_LEAVE[#Headers]))))))),"")</f>
        <v/>
      </c>
      <c r="P70" s="75" t="str">
        <f>IFERROR(IF(P$8="","NA",IF(P$8&lt;INDEX(T_EMP[START DATE],ROW($B70)-ROW($B$8)),"NE",IF(AND(INDEX(T_EMP[TERMINATION DATE],ROW($B70)-ROW($B$8))&gt;0,P$8&gt;INDEX(T_EMP[TERMINATION DATE],ROW($B70)-ROW($B$8))),"NE",IF(NOT(ISERROR(MATCH(P$8,L_HOLS,0))),"H",IF(INDEX(L_WKNDVAL,WEEKDAY(P$8,1))=1,"WKND",INDEX(T_LEAVE[LEAVE CODE],SUMPRODUCT(--(T_LEAVE[NAME]=$B70),--(T_LEAVE[DATE]&lt;=P$8),--(T_LEAVE[DATE]&gt;=P$8),ROW(T_LEAVE[LEAVE CODE]))-ROW(T_LEAVE[#Headers]))))))),"")</f>
        <v>H</v>
      </c>
      <c r="Q70" s="75" t="str">
        <f>IFERROR(IF(Q$8="","NA",IF(Q$8&lt;INDEX(T_EMP[START DATE],ROW($B70)-ROW($B$8)),"NE",IF(AND(INDEX(T_EMP[TERMINATION DATE],ROW($B70)-ROW($B$8))&gt;0,Q$8&gt;INDEX(T_EMP[TERMINATION DATE],ROW($B70)-ROW($B$8))),"NE",IF(NOT(ISERROR(MATCH(Q$8,L_HOLS,0))),"H",IF(INDEX(L_WKNDVAL,WEEKDAY(Q$8,1))=1,"WKND",INDEX(T_LEAVE[LEAVE CODE],SUMPRODUCT(--(T_LEAVE[NAME]=$B70),--(T_LEAVE[DATE]&lt;=Q$8),--(T_LEAVE[DATE]&gt;=Q$8),ROW(T_LEAVE[LEAVE CODE]))-ROW(T_LEAVE[#Headers]))))))),"")</f>
        <v/>
      </c>
      <c r="R70" s="75" t="str">
        <f>IFERROR(IF(R$8="","NA",IF(R$8&lt;INDEX(T_EMP[START DATE],ROW($B70)-ROW($B$8)),"NE",IF(AND(INDEX(T_EMP[TERMINATION DATE],ROW($B70)-ROW($B$8))&gt;0,R$8&gt;INDEX(T_EMP[TERMINATION DATE],ROW($B70)-ROW($B$8))),"NE",IF(NOT(ISERROR(MATCH(R$8,L_HOLS,0))),"H",IF(INDEX(L_WKNDVAL,WEEKDAY(R$8,1))=1,"WKND",INDEX(T_LEAVE[LEAVE CODE],SUMPRODUCT(--(T_LEAVE[NAME]=$B70),--(T_LEAVE[DATE]&lt;=R$8),--(T_LEAVE[DATE]&gt;=R$8),ROW(T_LEAVE[LEAVE CODE]))-ROW(T_LEAVE[#Headers]))))))),"")</f>
        <v/>
      </c>
      <c r="S70" s="75" t="str">
        <f>IFERROR(IF(S$8="","NA",IF(S$8&lt;INDEX(T_EMP[START DATE],ROW($B70)-ROW($B$8)),"NE",IF(AND(INDEX(T_EMP[TERMINATION DATE],ROW($B70)-ROW($B$8))&gt;0,S$8&gt;INDEX(T_EMP[TERMINATION DATE],ROW($B70)-ROW($B$8))),"NE",IF(NOT(ISERROR(MATCH(S$8,L_HOLS,0))),"H",IF(INDEX(L_WKNDVAL,WEEKDAY(S$8,1))=1,"WKND",INDEX(T_LEAVE[LEAVE CODE],SUMPRODUCT(--(T_LEAVE[NAME]=$B70),--(T_LEAVE[DATE]&lt;=S$8),--(T_LEAVE[DATE]&gt;=S$8),ROW(T_LEAVE[LEAVE CODE]))-ROW(T_LEAVE[#Headers]))))))),"")</f>
        <v/>
      </c>
      <c r="T70" s="75" t="str">
        <f>IFERROR(IF(T$8="","NA",IF(T$8&lt;INDEX(T_EMP[START DATE],ROW($B70)-ROW($B$8)),"NE",IF(AND(INDEX(T_EMP[TERMINATION DATE],ROW($B70)-ROW($B$8))&gt;0,T$8&gt;INDEX(T_EMP[TERMINATION DATE],ROW($B70)-ROW($B$8))),"NE",IF(NOT(ISERROR(MATCH(T$8,L_HOLS,0))),"H",IF(INDEX(L_WKNDVAL,WEEKDAY(T$8,1))=1,"WKND",INDEX(T_LEAVE[LEAVE CODE],SUMPRODUCT(--(T_LEAVE[NAME]=$B70),--(T_LEAVE[DATE]&lt;=T$8),--(T_LEAVE[DATE]&gt;=T$8),ROW(T_LEAVE[LEAVE CODE]))-ROW(T_LEAVE[#Headers]))))))),"")</f>
        <v/>
      </c>
      <c r="U70" s="75" t="str">
        <f>IFERROR(IF(U$8="","NA",IF(U$8&lt;INDEX(T_EMP[START DATE],ROW($B70)-ROW($B$8)),"NE",IF(AND(INDEX(T_EMP[TERMINATION DATE],ROW($B70)-ROW($B$8))&gt;0,U$8&gt;INDEX(T_EMP[TERMINATION DATE],ROW($B70)-ROW($B$8))),"NE",IF(NOT(ISERROR(MATCH(U$8,L_HOLS,0))),"H",IF(INDEX(L_WKNDVAL,WEEKDAY(U$8,1))=1,"WKND",INDEX(T_LEAVE[LEAVE CODE],SUMPRODUCT(--(T_LEAVE[NAME]=$B70),--(T_LEAVE[DATE]&lt;=U$8),--(T_LEAVE[DATE]&gt;=U$8),ROW(T_LEAVE[LEAVE CODE]))-ROW(T_LEAVE[#Headers]))))))),"")</f>
        <v/>
      </c>
      <c r="V70" s="75" t="str">
        <f>IFERROR(IF(V$8="","NA",IF(V$8&lt;INDEX(T_EMP[START DATE],ROW($B70)-ROW($B$8)),"NE",IF(AND(INDEX(T_EMP[TERMINATION DATE],ROW($B70)-ROW($B$8))&gt;0,V$8&gt;INDEX(T_EMP[TERMINATION DATE],ROW($B70)-ROW($B$8))),"NE",IF(NOT(ISERROR(MATCH(V$8,L_HOLS,0))),"H",IF(INDEX(L_WKNDVAL,WEEKDAY(V$8,1))=1,"WKND",INDEX(T_LEAVE[LEAVE CODE],SUMPRODUCT(--(T_LEAVE[NAME]=$B70),--(T_LEAVE[DATE]&lt;=V$8),--(T_LEAVE[DATE]&gt;=V$8),ROW(T_LEAVE[LEAVE CODE]))-ROW(T_LEAVE[#Headers]))))))),"")</f>
        <v/>
      </c>
      <c r="W70" s="75" t="str">
        <f>IFERROR(IF(W$8="","NA",IF(W$8&lt;INDEX(T_EMP[START DATE],ROW($B70)-ROW($B$8)),"NE",IF(AND(INDEX(T_EMP[TERMINATION DATE],ROW($B70)-ROW($B$8))&gt;0,W$8&gt;INDEX(T_EMP[TERMINATION DATE],ROW($B70)-ROW($B$8))),"NE",IF(NOT(ISERROR(MATCH(W$8,L_HOLS,0))),"H",IF(INDEX(L_WKNDVAL,WEEKDAY(W$8,1))=1,"WKND",INDEX(T_LEAVE[LEAVE CODE],SUMPRODUCT(--(T_LEAVE[NAME]=$B70),--(T_LEAVE[DATE]&lt;=W$8),--(T_LEAVE[DATE]&gt;=W$8),ROW(T_LEAVE[LEAVE CODE]))-ROW(T_LEAVE[#Headers]))))))),"")</f>
        <v/>
      </c>
      <c r="X70" s="75" t="str">
        <f>IFERROR(IF(X$8="","NA",IF(X$8&lt;INDEX(T_EMP[START DATE],ROW($B70)-ROW($B$8)),"NE",IF(AND(INDEX(T_EMP[TERMINATION DATE],ROW($B70)-ROW($B$8))&gt;0,X$8&gt;INDEX(T_EMP[TERMINATION DATE],ROW($B70)-ROW($B$8))),"NE",IF(NOT(ISERROR(MATCH(X$8,L_HOLS,0))),"H",IF(INDEX(L_WKNDVAL,WEEKDAY(X$8,1))=1,"WKND",INDEX(T_LEAVE[LEAVE CODE],SUMPRODUCT(--(T_LEAVE[NAME]=$B70),--(T_LEAVE[DATE]&lt;=X$8),--(T_LEAVE[DATE]&gt;=X$8),ROW(T_LEAVE[LEAVE CODE]))-ROW(T_LEAVE[#Headers]))))))),"")</f>
        <v/>
      </c>
      <c r="Y70" s="75" t="str">
        <f>IFERROR(IF(Y$8="","NA",IF(Y$8&lt;INDEX(T_EMP[START DATE],ROW($B70)-ROW($B$8)),"NE",IF(AND(INDEX(T_EMP[TERMINATION DATE],ROW($B70)-ROW($B$8))&gt;0,Y$8&gt;INDEX(T_EMP[TERMINATION DATE],ROW($B70)-ROW($B$8))),"NE",IF(NOT(ISERROR(MATCH(Y$8,L_HOLS,0))),"H",IF(INDEX(L_WKNDVAL,WEEKDAY(Y$8,1))=1,"WKND",INDEX(T_LEAVE[LEAVE CODE],SUMPRODUCT(--(T_LEAVE[NAME]=$B70),--(T_LEAVE[DATE]&lt;=Y$8),--(T_LEAVE[DATE]&gt;=Y$8),ROW(T_LEAVE[LEAVE CODE]))-ROW(T_LEAVE[#Headers]))))))),"")</f>
        <v/>
      </c>
      <c r="Z70" s="75" t="str">
        <f>IFERROR(IF(Z$8="","NA",IF(Z$8&lt;INDEX(T_EMP[START DATE],ROW($B70)-ROW($B$8)),"NE",IF(AND(INDEX(T_EMP[TERMINATION DATE],ROW($B70)-ROW($B$8))&gt;0,Z$8&gt;INDEX(T_EMP[TERMINATION DATE],ROW($B70)-ROW($B$8))),"NE",IF(NOT(ISERROR(MATCH(Z$8,L_HOLS,0))),"H",IF(INDEX(L_WKNDVAL,WEEKDAY(Z$8,1))=1,"WKND",INDEX(T_LEAVE[LEAVE CODE],SUMPRODUCT(--(T_LEAVE[NAME]=$B70),--(T_LEAVE[DATE]&lt;=Z$8),--(T_LEAVE[DATE]&gt;=Z$8),ROW(T_LEAVE[LEAVE CODE]))-ROW(T_LEAVE[#Headers]))))))),"")</f>
        <v/>
      </c>
      <c r="AA70" s="75" t="str">
        <f>IFERROR(IF(AA$8="","NA",IF(AA$8&lt;INDEX(T_EMP[START DATE],ROW($B70)-ROW($B$8)),"NE",IF(AND(INDEX(T_EMP[TERMINATION DATE],ROW($B70)-ROW($B$8))&gt;0,AA$8&gt;INDEX(T_EMP[TERMINATION DATE],ROW($B70)-ROW($B$8))),"NE",IF(NOT(ISERROR(MATCH(AA$8,L_HOLS,0))),"H",IF(INDEX(L_WKNDVAL,WEEKDAY(AA$8,1))=1,"WKND",INDEX(T_LEAVE[LEAVE CODE],SUMPRODUCT(--(T_LEAVE[NAME]=$B70),--(T_LEAVE[DATE]&lt;=AA$8),--(T_LEAVE[DATE]&gt;=AA$8),ROW(T_LEAVE[LEAVE CODE]))-ROW(T_LEAVE[#Headers]))))))),"")</f>
        <v/>
      </c>
      <c r="AB70" s="75" t="str">
        <f>IFERROR(IF(AB$8="","NA",IF(AB$8&lt;INDEX(T_EMP[START DATE],ROW($B70)-ROW($B$8)),"NE",IF(AND(INDEX(T_EMP[TERMINATION DATE],ROW($B70)-ROW($B$8))&gt;0,AB$8&gt;INDEX(T_EMP[TERMINATION DATE],ROW($B70)-ROW($B$8))),"NE",IF(NOT(ISERROR(MATCH(AB$8,L_HOLS,0))),"H",IF(INDEX(L_WKNDVAL,WEEKDAY(AB$8,1))=1,"WKND",INDEX(T_LEAVE[LEAVE CODE],SUMPRODUCT(--(T_LEAVE[NAME]=$B70),--(T_LEAVE[DATE]&lt;=AB$8),--(T_LEAVE[DATE]&gt;=AB$8),ROW(T_LEAVE[LEAVE CODE]))-ROW(T_LEAVE[#Headers]))))))),"")</f>
        <v/>
      </c>
      <c r="AC70" s="75" t="str">
        <f>IFERROR(IF(AC$8="","NA",IF(AC$8&lt;INDEX(T_EMP[START DATE],ROW($B70)-ROW($B$8)),"NE",IF(AND(INDEX(T_EMP[TERMINATION DATE],ROW($B70)-ROW($B$8))&gt;0,AC$8&gt;INDEX(T_EMP[TERMINATION DATE],ROW($B70)-ROW($B$8))),"NE",IF(NOT(ISERROR(MATCH(AC$8,L_HOLS,0))),"H",IF(INDEX(L_WKNDVAL,WEEKDAY(AC$8,1))=1,"WKND",INDEX(T_LEAVE[LEAVE CODE],SUMPRODUCT(--(T_LEAVE[NAME]=$B70),--(T_LEAVE[DATE]&lt;=AC$8),--(T_LEAVE[DATE]&gt;=AC$8),ROW(T_LEAVE[LEAVE CODE]))-ROW(T_LEAVE[#Headers]))))))),"")</f>
        <v/>
      </c>
      <c r="AD70" s="75" t="str">
        <f>IFERROR(IF(AD$8="","NA",IF(AD$8&lt;INDEX(T_EMP[START DATE],ROW($B70)-ROW($B$8)),"NE",IF(AND(INDEX(T_EMP[TERMINATION DATE],ROW($B70)-ROW($B$8))&gt;0,AD$8&gt;INDEX(T_EMP[TERMINATION DATE],ROW($B70)-ROW($B$8))),"NE",IF(NOT(ISERROR(MATCH(AD$8,L_HOLS,0))),"H",IF(INDEX(L_WKNDVAL,WEEKDAY(AD$8,1))=1,"WKND",INDEX(T_LEAVE[LEAVE CODE],SUMPRODUCT(--(T_LEAVE[NAME]=$B70),--(T_LEAVE[DATE]&lt;=AD$8),--(T_LEAVE[DATE]&gt;=AD$8),ROW(T_LEAVE[LEAVE CODE]))-ROW(T_LEAVE[#Headers]))))))),"")</f>
        <v/>
      </c>
      <c r="AE70" s="75" t="str">
        <f>IFERROR(IF(AE$8="","NA",IF(AE$8&lt;INDEX(T_EMP[START DATE],ROW($B70)-ROW($B$8)),"NE",IF(AND(INDEX(T_EMP[TERMINATION DATE],ROW($B70)-ROW($B$8))&gt;0,AE$8&gt;INDEX(T_EMP[TERMINATION DATE],ROW($B70)-ROW($B$8))),"NE",IF(NOT(ISERROR(MATCH(AE$8,L_HOLS,0))),"H",IF(INDEX(L_WKNDVAL,WEEKDAY(AE$8,1))=1,"WKND",INDEX(T_LEAVE[LEAVE CODE],SUMPRODUCT(--(T_LEAVE[NAME]=$B70),--(T_LEAVE[DATE]&lt;=AE$8),--(T_LEAVE[DATE]&gt;=AE$8),ROW(T_LEAVE[LEAVE CODE]))-ROW(T_LEAVE[#Headers]))))))),"")</f>
        <v/>
      </c>
      <c r="AF70" s="75" t="str">
        <f>IFERROR(IF(AF$8="","NA",IF(AF$8&lt;INDEX(T_EMP[START DATE],ROW($B70)-ROW($B$8)),"NE",IF(AND(INDEX(T_EMP[TERMINATION DATE],ROW($B70)-ROW($B$8))&gt;0,AF$8&gt;INDEX(T_EMP[TERMINATION DATE],ROW($B70)-ROW($B$8))),"NE",IF(NOT(ISERROR(MATCH(AF$8,L_HOLS,0))),"H",IF(INDEX(L_WKNDVAL,WEEKDAY(AF$8,1))=1,"WKND",INDEX(T_LEAVE[LEAVE CODE],SUMPRODUCT(--(T_LEAVE[NAME]=$B70),--(T_LEAVE[DATE]&lt;=AF$8),--(T_LEAVE[DATE]&gt;=AF$8),ROW(T_LEAVE[LEAVE CODE]))-ROW(T_LEAVE[#Headers]))))))),"")</f>
        <v/>
      </c>
      <c r="AG70" s="75" t="str">
        <f>IFERROR(IF(AG$8="","NA",IF(AG$8&lt;INDEX(T_EMP[START DATE],ROW($B70)-ROW($B$8)),"NE",IF(AND(INDEX(T_EMP[TERMINATION DATE],ROW($B70)-ROW($B$8))&gt;0,AG$8&gt;INDEX(T_EMP[TERMINATION DATE],ROW($B70)-ROW($B$8))),"NE",IF(NOT(ISERROR(MATCH(AG$8,L_HOLS,0))),"H",IF(INDEX(L_WKNDVAL,WEEKDAY(AG$8,1))=1,"WKND",INDEX(T_LEAVE[LEAVE CODE],SUMPRODUCT(--(T_LEAVE[NAME]=$B70),--(T_LEAVE[DATE]&lt;=AG$8),--(T_LEAVE[DATE]&gt;=AG$8),ROW(T_LEAVE[LEAVE CODE]))-ROW(T_LEAVE[#Headers]))))))),"")</f>
        <v/>
      </c>
      <c r="AH70" s="75" t="str">
        <f>IFERROR(IF(AH$8="","NA",IF(AH$8&lt;INDEX(T_EMP[START DATE],ROW($B70)-ROW($B$8)),"NE",IF(AND(INDEX(T_EMP[TERMINATION DATE],ROW($B70)-ROW($B$8))&gt;0,AH$8&gt;INDEX(T_EMP[TERMINATION DATE],ROW($B70)-ROW($B$8))),"NE",IF(NOT(ISERROR(MATCH(AH$8,L_HOLS,0))),"H",IF(INDEX(L_WKNDVAL,WEEKDAY(AH$8,1))=1,"WKND",INDEX(T_LEAVE[LEAVE CODE],SUMPRODUCT(--(T_LEAVE[NAME]=$B70),--(T_LEAVE[DATE]&lt;=AH$8),--(T_LEAVE[DATE]&gt;=AH$8),ROW(T_LEAVE[LEAVE CODE]))-ROW(T_LEAVE[#Headers]))))))),"")</f>
        <v/>
      </c>
      <c r="AJ70" s="88">
        <f>IF(OR($B70="",AJ$8=""),"",COUNTIFS($D70:$AH70,AJ$8)*INDEX(T_LEAVETYPE[DAY VALUE],1))</f>
        <v>0</v>
      </c>
      <c r="AK70" s="88">
        <f>IF(OR($B70="",AK$8=""),"",COUNTIFS($D70:$AH70,AK$8)*INDEX(T_LEAVETYPE[DAY VALUE],1))</f>
        <v>0</v>
      </c>
      <c r="AL70" s="88">
        <f>IF(OR($B70="",AL$8=""),"",COUNTIFS($D70:$AH70,AL$8)*INDEX(T_LEAVETYPE[DAY VALUE],1))</f>
        <v>0</v>
      </c>
      <c r="AM70" s="88">
        <f>IF(OR($B70="",AM$8=""),"",COUNTIFS($D70:$AH70,AM$8)*INDEX(T_LEAVETYPE[DAY VALUE],1))</f>
        <v>0</v>
      </c>
      <c r="AN70" s="88">
        <f>IF(OR($B70="",AN$8=""),"",COUNTIFS($D70:$AH70,AN$8)*INDEX(T_LEAVETYPE[DAY VALUE],1))</f>
        <v>0</v>
      </c>
      <c r="AO70" s="88">
        <f>IF(OR($B70="",AO$8=""),"",COUNTIFS($D70:$AH70,AO$8)*INDEX(T_LEAVETYPE[DAY VALUE],6))</f>
        <v>0</v>
      </c>
      <c r="AP70" s="88">
        <f>IF(OR($B70="",AP$8=""),"",COUNTIFS($D70:$AH70,AP$8)*INDEX(T_LEAVETYPE[DAY VALUE],7))</f>
        <v>0</v>
      </c>
      <c r="AQ70" s="88">
        <f>IF(OR($B70="",AQ$8=""),"",COUNTIFS($D70:$AH70,AQ$8)*INDEX(T_LEAVETYPE[DAY VALUE],8))</f>
        <v>0</v>
      </c>
      <c r="AR70" s="89">
        <f t="shared" si="5"/>
        <v>0</v>
      </c>
    </row>
    <row r="71" spans="1:44" x14ac:dyDescent="0.25">
      <c r="A71" s="90">
        <f t="shared" si="4"/>
        <v>63</v>
      </c>
      <c r="B71" s="74" t="str">
        <f>IFERROR(INDEX(T_EMP[NAME],ROW(B71)-ROW($B$8)),"")</f>
        <v>GUCABAN, PETER</v>
      </c>
      <c r="C71" s="91" t="str">
        <f>IFERROR(INDEX(T_EMP[DEPARTMENT],ROW(B71)-ROW($C$8)),"")</f>
        <v>PHARMTECH</v>
      </c>
      <c r="D71" s="75" t="str">
        <f>IFERROR(IF(D$8="","NA",IF(D$8&lt;INDEX(T_EMP[START DATE],ROW($B71)-ROW($B$8)),"NE",IF(AND(INDEX(T_EMP[TERMINATION DATE],ROW($B71)-ROW($B$8))&gt;0,D$8&gt;INDEX(T_EMP[TERMINATION DATE],ROW($B71)-ROW($B$8))),"NE",IF(NOT(ISERROR(MATCH(D$8,L_HOLS,0))),"H",IF(INDEX(L_WKNDVAL,WEEKDAY(D$8,1))=1,"WKND",INDEX(T_LEAVE[LEAVE CODE],SUMPRODUCT(--(T_LEAVE[NAME]=$B71),--(T_LEAVE[DATE]&lt;=D$8),--(T_LEAVE[DATE]&gt;=D$8),ROW(T_LEAVE[LEAVE CODE]))-ROW(T_LEAVE[#Headers]))))))),"")</f>
        <v>H</v>
      </c>
      <c r="E71" s="75" t="str">
        <f>IFERROR(IF(E$8="","NA",IF(E$8&lt;INDEX(T_EMP[START DATE],ROW($B71)-ROW($B$8)),"NE",IF(AND(INDEX(T_EMP[TERMINATION DATE],ROW($B71)-ROW($B$8))&gt;0,E$8&gt;INDEX(T_EMP[TERMINATION DATE],ROW($B71)-ROW($B$8))),"NE",IF(NOT(ISERROR(MATCH(E$8,L_HOLS,0))),"H",IF(INDEX(L_WKNDVAL,WEEKDAY(E$8,1))=1,"WKND",INDEX(T_LEAVE[LEAVE CODE],SUMPRODUCT(--(T_LEAVE[NAME]=$B71),--(T_LEAVE[DATE]&lt;=E$8),--(T_LEAVE[DATE]&gt;=E$8),ROW(T_LEAVE[LEAVE CODE]))-ROW(T_LEAVE[#Headers]))))))),"")</f>
        <v/>
      </c>
      <c r="F71" s="75" t="str">
        <f>IFERROR(IF(F$8="","NA",IF(F$8&lt;INDEX(T_EMP[START DATE],ROW($B71)-ROW($B$8)),"NE",IF(AND(INDEX(T_EMP[TERMINATION DATE],ROW($B71)-ROW($B$8))&gt;0,F$8&gt;INDEX(T_EMP[TERMINATION DATE],ROW($B71)-ROW($B$8))),"NE",IF(NOT(ISERROR(MATCH(F$8,L_HOLS,0))),"H",IF(INDEX(L_WKNDVAL,WEEKDAY(F$8,1))=1,"WKND",INDEX(T_LEAVE[LEAVE CODE],SUMPRODUCT(--(T_LEAVE[NAME]=$B71),--(T_LEAVE[DATE]&lt;=F$8),--(T_LEAVE[DATE]&gt;=F$8),ROW(T_LEAVE[LEAVE CODE]))-ROW(T_LEAVE[#Headers]))))))),"")</f>
        <v/>
      </c>
      <c r="G71" s="75" t="str">
        <f>IFERROR(IF(G$8="","NA",IF(G$8&lt;INDEX(T_EMP[START DATE],ROW($B71)-ROW($B$8)),"NE",IF(AND(INDEX(T_EMP[TERMINATION DATE],ROW($B71)-ROW($B$8))&gt;0,G$8&gt;INDEX(T_EMP[TERMINATION DATE],ROW($B71)-ROW($B$8))),"NE",IF(NOT(ISERROR(MATCH(G$8,L_HOLS,0))),"H",IF(INDEX(L_WKNDVAL,WEEKDAY(G$8,1))=1,"WKND",INDEX(T_LEAVE[LEAVE CODE],SUMPRODUCT(--(T_LEAVE[NAME]=$B71),--(T_LEAVE[DATE]&lt;=G$8),--(T_LEAVE[DATE]&gt;=G$8),ROW(T_LEAVE[LEAVE CODE]))-ROW(T_LEAVE[#Headers]))))))),"")</f>
        <v/>
      </c>
      <c r="H71" s="75" t="str">
        <f>IFERROR(IF(H$8="","NA",IF(H$8&lt;INDEX(T_EMP[START DATE],ROW($B71)-ROW($B$8)),"NE",IF(AND(INDEX(T_EMP[TERMINATION DATE],ROW($B71)-ROW($B$8))&gt;0,H$8&gt;INDEX(T_EMP[TERMINATION DATE],ROW($B71)-ROW($B$8))),"NE",IF(NOT(ISERROR(MATCH(H$8,L_HOLS,0))),"H",IF(INDEX(L_WKNDVAL,WEEKDAY(H$8,1))=1,"WKND",INDEX(T_LEAVE[LEAVE CODE],SUMPRODUCT(--(T_LEAVE[NAME]=$B71),--(T_LEAVE[DATE]&lt;=H$8),--(T_LEAVE[DATE]&gt;=H$8),ROW(T_LEAVE[LEAVE CODE]))-ROW(T_LEAVE[#Headers]))))))),"")</f>
        <v/>
      </c>
      <c r="I71" s="75" t="str">
        <f>IFERROR(IF(I$8="","NA",IF(I$8&lt;INDEX(T_EMP[START DATE],ROW($B71)-ROW($B$8)),"NE",IF(AND(INDEX(T_EMP[TERMINATION DATE],ROW($B71)-ROW($B$8))&gt;0,I$8&gt;INDEX(T_EMP[TERMINATION DATE],ROW($B71)-ROW($B$8))),"NE",IF(NOT(ISERROR(MATCH(I$8,L_HOLS,0))),"H",IF(INDEX(L_WKNDVAL,WEEKDAY(I$8,1))=1,"WKND",INDEX(T_LEAVE[LEAVE CODE],SUMPRODUCT(--(T_LEAVE[NAME]=$B71),--(T_LEAVE[DATE]&lt;=I$8),--(T_LEAVE[DATE]&gt;=I$8),ROW(T_LEAVE[LEAVE CODE]))-ROW(T_LEAVE[#Headers]))))))),"")</f>
        <v/>
      </c>
      <c r="J71" s="75" t="str">
        <f>IFERROR(IF(J$8="","NA",IF(J$8&lt;INDEX(T_EMP[START DATE],ROW($B71)-ROW($B$8)),"NE",IF(AND(INDEX(T_EMP[TERMINATION DATE],ROW($B71)-ROW($B$8))&gt;0,J$8&gt;INDEX(T_EMP[TERMINATION DATE],ROW($B71)-ROW($B$8))),"NE",IF(NOT(ISERROR(MATCH(J$8,L_HOLS,0))),"H",IF(INDEX(L_WKNDVAL,WEEKDAY(J$8,1))=1,"WKND",INDEX(T_LEAVE[LEAVE CODE],SUMPRODUCT(--(T_LEAVE[NAME]=$B71),--(T_LEAVE[DATE]&lt;=J$8),--(T_LEAVE[DATE]&gt;=J$8),ROW(T_LEAVE[LEAVE CODE]))-ROW(T_LEAVE[#Headers]))))))),"")</f>
        <v/>
      </c>
      <c r="K71" s="75" t="str">
        <f>IFERROR(IF(K$8="","NA",IF(K$8&lt;INDEX(T_EMP[START DATE],ROW($B71)-ROW($B$8)),"NE",IF(AND(INDEX(T_EMP[TERMINATION DATE],ROW($B71)-ROW($B$8))&gt;0,K$8&gt;INDEX(T_EMP[TERMINATION DATE],ROW($B71)-ROW($B$8))),"NE",IF(NOT(ISERROR(MATCH(K$8,L_HOLS,0))),"H",IF(INDEX(L_WKNDVAL,WEEKDAY(K$8,1))=1,"WKND",INDEX(T_LEAVE[LEAVE CODE],SUMPRODUCT(--(T_LEAVE[NAME]=$B71),--(T_LEAVE[DATE]&lt;=K$8),--(T_LEAVE[DATE]&gt;=K$8),ROW(T_LEAVE[LEAVE CODE]))-ROW(T_LEAVE[#Headers]))))))),"")</f>
        <v/>
      </c>
      <c r="L71" s="75" t="str">
        <f>IFERROR(IF(L$8="","NA",IF(L$8&lt;INDEX(T_EMP[START DATE],ROW($B71)-ROW($B$8)),"NE",IF(AND(INDEX(T_EMP[TERMINATION DATE],ROW($B71)-ROW($B$8))&gt;0,L$8&gt;INDEX(T_EMP[TERMINATION DATE],ROW($B71)-ROW($B$8))),"NE",IF(NOT(ISERROR(MATCH(L$8,L_HOLS,0))),"H",IF(INDEX(L_WKNDVAL,WEEKDAY(L$8,1))=1,"WKND",INDEX(T_LEAVE[LEAVE CODE],SUMPRODUCT(--(T_LEAVE[NAME]=$B71),--(T_LEAVE[DATE]&lt;=L$8),--(T_LEAVE[DATE]&gt;=L$8),ROW(T_LEAVE[LEAVE CODE]))-ROW(T_LEAVE[#Headers]))))))),"")</f>
        <v/>
      </c>
      <c r="M71" s="75" t="str">
        <f>IFERROR(IF(M$8="","NA",IF(M$8&lt;INDEX(T_EMP[START DATE],ROW($B71)-ROW($B$8)),"NE",IF(AND(INDEX(T_EMP[TERMINATION DATE],ROW($B71)-ROW($B$8))&gt;0,M$8&gt;INDEX(T_EMP[TERMINATION DATE],ROW($B71)-ROW($B$8))),"NE",IF(NOT(ISERROR(MATCH(M$8,L_HOLS,0))),"H",IF(INDEX(L_WKNDVAL,WEEKDAY(M$8,1))=1,"WKND",INDEX(T_LEAVE[LEAVE CODE],SUMPRODUCT(--(T_LEAVE[NAME]=$B71),--(T_LEAVE[DATE]&lt;=M$8),--(T_LEAVE[DATE]&gt;=M$8),ROW(T_LEAVE[LEAVE CODE]))-ROW(T_LEAVE[#Headers]))))))),"")</f>
        <v/>
      </c>
      <c r="N71" s="75" t="str">
        <f>IFERROR(IF(N$8="","NA",IF(N$8&lt;INDEX(T_EMP[START DATE],ROW($B71)-ROW($B$8)),"NE",IF(AND(INDEX(T_EMP[TERMINATION DATE],ROW($B71)-ROW($B$8))&gt;0,N$8&gt;INDEX(T_EMP[TERMINATION DATE],ROW($B71)-ROW($B$8))),"NE",IF(NOT(ISERROR(MATCH(N$8,L_HOLS,0))),"H",IF(INDEX(L_WKNDVAL,WEEKDAY(N$8,1))=1,"WKND",INDEX(T_LEAVE[LEAVE CODE],SUMPRODUCT(--(T_LEAVE[NAME]=$B71),--(T_LEAVE[DATE]&lt;=N$8),--(T_LEAVE[DATE]&gt;=N$8),ROW(T_LEAVE[LEAVE CODE]))-ROW(T_LEAVE[#Headers]))))))),"")</f>
        <v/>
      </c>
      <c r="O71" s="75" t="str">
        <f>IFERROR(IF(O$8="","NA",IF(O$8&lt;INDEX(T_EMP[START DATE],ROW($B71)-ROW($B$8)),"NE",IF(AND(INDEX(T_EMP[TERMINATION DATE],ROW($B71)-ROW($B$8))&gt;0,O$8&gt;INDEX(T_EMP[TERMINATION DATE],ROW($B71)-ROW($B$8))),"NE",IF(NOT(ISERROR(MATCH(O$8,L_HOLS,0))),"H",IF(INDEX(L_WKNDVAL,WEEKDAY(O$8,1))=1,"WKND",INDEX(T_LEAVE[LEAVE CODE],SUMPRODUCT(--(T_LEAVE[NAME]=$B71),--(T_LEAVE[DATE]&lt;=O$8),--(T_LEAVE[DATE]&gt;=O$8),ROW(T_LEAVE[LEAVE CODE]))-ROW(T_LEAVE[#Headers]))))))),"")</f>
        <v/>
      </c>
      <c r="P71" s="75" t="str">
        <f>IFERROR(IF(P$8="","NA",IF(P$8&lt;INDEX(T_EMP[START DATE],ROW($B71)-ROW($B$8)),"NE",IF(AND(INDEX(T_EMP[TERMINATION DATE],ROW($B71)-ROW($B$8))&gt;0,P$8&gt;INDEX(T_EMP[TERMINATION DATE],ROW($B71)-ROW($B$8))),"NE",IF(NOT(ISERROR(MATCH(P$8,L_HOLS,0))),"H",IF(INDEX(L_WKNDVAL,WEEKDAY(P$8,1))=1,"WKND",INDEX(T_LEAVE[LEAVE CODE],SUMPRODUCT(--(T_LEAVE[NAME]=$B71),--(T_LEAVE[DATE]&lt;=P$8),--(T_LEAVE[DATE]&gt;=P$8),ROW(T_LEAVE[LEAVE CODE]))-ROW(T_LEAVE[#Headers]))))))),"")</f>
        <v>H</v>
      </c>
      <c r="Q71" s="75" t="str">
        <f>IFERROR(IF(Q$8="","NA",IF(Q$8&lt;INDEX(T_EMP[START DATE],ROW($B71)-ROW($B$8)),"NE",IF(AND(INDEX(T_EMP[TERMINATION DATE],ROW($B71)-ROW($B$8))&gt;0,Q$8&gt;INDEX(T_EMP[TERMINATION DATE],ROW($B71)-ROW($B$8))),"NE",IF(NOT(ISERROR(MATCH(Q$8,L_HOLS,0))),"H",IF(INDEX(L_WKNDVAL,WEEKDAY(Q$8,1))=1,"WKND",INDEX(T_LEAVE[LEAVE CODE],SUMPRODUCT(--(T_LEAVE[NAME]=$B71),--(T_LEAVE[DATE]&lt;=Q$8),--(T_LEAVE[DATE]&gt;=Q$8),ROW(T_LEAVE[LEAVE CODE]))-ROW(T_LEAVE[#Headers]))))))),"")</f>
        <v/>
      </c>
      <c r="R71" s="75" t="str">
        <f>IFERROR(IF(R$8="","NA",IF(R$8&lt;INDEX(T_EMP[START DATE],ROW($B71)-ROW($B$8)),"NE",IF(AND(INDEX(T_EMP[TERMINATION DATE],ROW($B71)-ROW($B$8))&gt;0,R$8&gt;INDEX(T_EMP[TERMINATION DATE],ROW($B71)-ROW($B$8))),"NE",IF(NOT(ISERROR(MATCH(R$8,L_HOLS,0))),"H",IF(INDEX(L_WKNDVAL,WEEKDAY(R$8,1))=1,"WKND",INDEX(T_LEAVE[LEAVE CODE],SUMPRODUCT(--(T_LEAVE[NAME]=$B71),--(T_LEAVE[DATE]&lt;=R$8),--(T_LEAVE[DATE]&gt;=R$8),ROW(T_LEAVE[LEAVE CODE]))-ROW(T_LEAVE[#Headers]))))))),"")</f>
        <v/>
      </c>
      <c r="S71" s="75" t="str">
        <f>IFERROR(IF(S$8="","NA",IF(S$8&lt;INDEX(T_EMP[START DATE],ROW($B71)-ROW($B$8)),"NE",IF(AND(INDEX(T_EMP[TERMINATION DATE],ROW($B71)-ROW($B$8))&gt;0,S$8&gt;INDEX(T_EMP[TERMINATION DATE],ROW($B71)-ROW($B$8))),"NE",IF(NOT(ISERROR(MATCH(S$8,L_HOLS,0))),"H",IF(INDEX(L_WKNDVAL,WEEKDAY(S$8,1))=1,"WKND",INDEX(T_LEAVE[LEAVE CODE],SUMPRODUCT(--(T_LEAVE[NAME]=$B71),--(T_LEAVE[DATE]&lt;=S$8),--(T_LEAVE[DATE]&gt;=S$8),ROW(T_LEAVE[LEAVE CODE]))-ROW(T_LEAVE[#Headers]))))))),"")</f>
        <v/>
      </c>
      <c r="T71" s="75" t="str">
        <f>IFERROR(IF(T$8="","NA",IF(T$8&lt;INDEX(T_EMP[START DATE],ROW($B71)-ROW($B$8)),"NE",IF(AND(INDEX(T_EMP[TERMINATION DATE],ROW($B71)-ROW($B$8))&gt;0,T$8&gt;INDEX(T_EMP[TERMINATION DATE],ROW($B71)-ROW($B$8))),"NE",IF(NOT(ISERROR(MATCH(T$8,L_HOLS,0))),"H",IF(INDEX(L_WKNDVAL,WEEKDAY(T$8,1))=1,"WKND",INDEX(T_LEAVE[LEAVE CODE],SUMPRODUCT(--(T_LEAVE[NAME]=$B71),--(T_LEAVE[DATE]&lt;=T$8),--(T_LEAVE[DATE]&gt;=T$8),ROW(T_LEAVE[LEAVE CODE]))-ROW(T_LEAVE[#Headers]))))))),"")</f>
        <v/>
      </c>
      <c r="U71" s="75" t="str">
        <f>IFERROR(IF(U$8="","NA",IF(U$8&lt;INDEX(T_EMP[START DATE],ROW($B71)-ROW($B$8)),"NE",IF(AND(INDEX(T_EMP[TERMINATION DATE],ROW($B71)-ROW($B$8))&gt;0,U$8&gt;INDEX(T_EMP[TERMINATION DATE],ROW($B71)-ROW($B$8))),"NE",IF(NOT(ISERROR(MATCH(U$8,L_HOLS,0))),"H",IF(INDEX(L_WKNDVAL,WEEKDAY(U$8,1))=1,"WKND",INDEX(T_LEAVE[LEAVE CODE],SUMPRODUCT(--(T_LEAVE[NAME]=$B71),--(T_LEAVE[DATE]&lt;=U$8),--(T_LEAVE[DATE]&gt;=U$8),ROW(T_LEAVE[LEAVE CODE]))-ROW(T_LEAVE[#Headers]))))))),"")</f>
        <v/>
      </c>
      <c r="V71" s="75" t="str">
        <f>IFERROR(IF(V$8="","NA",IF(V$8&lt;INDEX(T_EMP[START DATE],ROW($B71)-ROW($B$8)),"NE",IF(AND(INDEX(T_EMP[TERMINATION DATE],ROW($B71)-ROW($B$8))&gt;0,V$8&gt;INDEX(T_EMP[TERMINATION DATE],ROW($B71)-ROW($B$8))),"NE",IF(NOT(ISERROR(MATCH(V$8,L_HOLS,0))),"H",IF(INDEX(L_WKNDVAL,WEEKDAY(V$8,1))=1,"WKND",INDEX(T_LEAVE[LEAVE CODE],SUMPRODUCT(--(T_LEAVE[NAME]=$B71),--(T_LEAVE[DATE]&lt;=V$8),--(T_LEAVE[DATE]&gt;=V$8),ROW(T_LEAVE[LEAVE CODE]))-ROW(T_LEAVE[#Headers]))))))),"")</f>
        <v/>
      </c>
      <c r="W71" s="75" t="str">
        <f>IFERROR(IF(W$8="","NA",IF(W$8&lt;INDEX(T_EMP[START DATE],ROW($B71)-ROW($B$8)),"NE",IF(AND(INDEX(T_EMP[TERMINATION DATE],ROW($B71)-ROW($B$8))&gt;0,W$8&gt;INDEX(T_EMP[TERMINATION DATE],ROW($B71)-ROW($B$8))),"NE",IF(NOT(ISERROR(MATCH(W$8,L_HOLS,0))),"H",IF(INDEX(L_WKNDVAL,WEEKDAY(W$8,1))=1,"WKND",INDEX(T_LEAVE[LEAVE CODE],SUMPRODUCT(--(T_LEAVE[NAME]=$B71),--(T_LEAVE[DATE]&lt;=W$8),--(T_LEAVE[DATE]&gt;=W$8),ROW(T_LEAVE[LEAVE CODE]))-ROW(T_LEAVE[#Headers]))))))),"")</f>
        <v/>
      </c>
      <c r="X71" s="75" t="str">
        <f>IFERROR(IF(X$8="","NA",IF(X$8&lt;INDEX(T_EMP[START DATE],ROW($B71)-ROW($B$8)),"NE",IF(AND(INDEX(T_EMP[TERMINATION DATE],ROW($B71)-ROW($B$8))&gt;0,X$8&gt;INDEX(T_EMP[TERMINATION DATE],ROW($B71)-ROW($B$8))),"NE",IF(NOT(ISERROR(MATCH(X$8,L_HOLS,0))),"H",IF(INDEX(L_WKNDVAL,WEEKDAY(X$8,1))=1,"WKND",INDEX(T_LEAVE[LEAVE CODE],SUMPRODUCT(--(T_LEAVE[NAME]=$B71),--(T_LEAVE[DATE]&lt;=X$8),--(T_LEAVE[DATE]&gt;=X$8),ROW(T_LEAVE[LEAVE CODE]))-ROW(T_LEAVE[#Headers]))))))),"")</f>
        <v/>
      </c>
      <c r="Y71" s="75" t="str">
        <f>IFERROR(IF(Y$8="","NA",IF(Y$8&lt;INDEX(T_EMP[START DATE],ROW($B71)-ROW($B$8)),"NE",IF(AND(INDEX(T_EMP[TERMINATION DATE],ROW($B71)-ROW($B$8))&gt;0,Y$8&gt;INDEX(T_EMP[TERMINATION DATE],ROW($B71)-ROW($B$8))),"NE",IF(NOT(ISERROR(MATCH(Y$8,L_HOLS,0))),"H",IF(INDEX(L_WKNDVAL,WEEKDAY(Y$8,1))=1,"WKND",INDEX(T_LEAVE[LEAVE CODE],SUMPRODUCT(--(T_LEAVE[NAME]=$B71),--(T_LEAVE[DATE]&lt;=Y$8),--(T_LEAVE[DATE]&gt;=Y$8),ROW(T_LEAVE[LEAVE CODE]))-ROW(T_LEAVE[#Headers]))))))),"")</f>
        <v/>
      </c>
      <c r="Z71" s="75" t="str">
        <f>IFERROR(IF(Z$8="","NA",IF(Z$8&lt;INDEX(T_EMP[START DATE],ROW($B71)-ROW($B$8)),"NE",IF(AND(INDEX(T_EMP[TERMINATION DATE],ROW($B71)-ROW($B$8))&gt;0,Z$8&gt;INDEX(T_EMP[TERMINATION DATE],ROW($B71)-ROW($B$8))),"NE",IF(NOT(ISERROR(MATCH(Z$8,L_HOLS,0))),"H",IF(INDEX(L_WKNDVAL,WEEKDAY(Z$8,1))=1,"WKND",INDEX(T_LEAVE[LEAVE CODE],SUMPRODUCT(--(T_LEAVE[NAME]=$B71),--(T_LEAVE[DATE]&lt;=Z$8),--(T_LEAVE[DATE]&gt;=Z$8),ROW(T_LEAVE[LEAVE CODE]))-ROW(T_LEAVE[#Headers]))))))),"")</f>
        <v/>
      </c>
      <c r="AA71" s="75" t="str">
        <f>IFERROR(IF(AA$8="","NA",IF(AA$8&lt;INDEX(T_EMP[START DATE],ROW($B71)-ROW($B$8)),"NE",IF(AND(INDEX(T_EMP[TERMINATION DATE],ROW($B71)-ROW($B$8))&gt;0,AA$8&gt;INDEX(T_EMP[TERMINATION DATE],ROW($B71)-ROW($B$8))),"NE",IF(NOT(ISERROR(MATCH(AA$8,L_HOLS,0))),"H",IF(INDEX(L_WKNDVAL,WEEKDAY(AA$8,1))=1,"WKND",INDEX(T_LEAVE[LEAVE CODE],SUMPRODUCT(--(T_LEAVE[NAME]=$B71),--(T_LEAVE[DATE]&lt;=AA$8),--(T_LEAVE[DATE]&gt;=AA$8),ROW(T_LEAVE[LEAVE CODE]))-ROW(T_LEAVE[#Headers]))))))),"")</f>
        <v/>
      </c>
      <c r="AB71" s="75" t="str">
        <f>IFERROR(IF(AB$8="","NA",IF(AB$8&lt;INDEX(T_EMP[START DATE],ROW($B71)-ROW($B$8)),"NE",IF(AND(INDEX(T_EMP[TERMINATION DATE],ROW($B71)-ROW($B$8))&gt;0,AB$8&gt;INDEX(T_EMP[TERMINATION DATE],ROW($B71)-ROW($B$8))),"NE",IF(NOT(ISERROR(MATCH(AB$8,L_HOLS,0))),"H",IF(INDEX(L_WKNDVAL,WEEKDAY(AB$8,1))=1,"WKND",INDEX(T_LEAVE[LEAVE CODE],SUMPRODUCT(--(T_LEAVE[NAME]=$B71),--(T_LEAVE[DATE]&lt;=AB$8),--(T_LEAVE[DATE]&gt;=AB$8),ROW(T_LEAVE[LEAVE CODE]))-ROW(T_LEAVE[#Headers]))))))),"")</f>
        <v/>
      </c>
      <c r="AC71" s="75" t="str">
        <f>IFERROR(IF(AC$8="","NA",IF(AC$8&lt;INDEX(T_EMP[START DATE],ROW($B71)-ROW($B$8)),"NE",IF(AND(INDEX(T_EMP[TERMINATION DATE],ROW($B71)-ROW($B$8))&gt;0,AC$8&gt;INDEX(T_EMP[TERMINATION DATE],ROW($B71)-ROW($B$8))),"NE",IF(NOT(ISERROR(MATCH(AC$8,L_HOLS,0))),"H",IF(INDEX(L_WKNDVAL,WEEKDAY(AC$8,1))=1,"WKND",INDEX(T_LEAVE[LEAVE CODE],SUMPRODUCT(--(T_LEAVE[NAME]=$B71),--(T_LEAVE[DATE]&lt;=AC$8),--(T_LEAVE[DATE]&gt;=AC$8),ROW(T_LEAVE[LEAVE CODE]))-ROW(T_LEAVE[#Headers]))))))),"")</f>
        <v/>
      </c>
      <c r="AD71" s="75" t="str">
        <f>IFERROR(IF(AD$8="","NA",IF(AD$8&lt;INDEX(T_EMP[START DATE],ROW($B71)-ROW($B$8)),"NE",IF(AND(INDEX(T_EMP[TERMINATION DATE],ROW($B71)-ROW($B$8))&gt;0,AD$8&gt;INDEX(T_EMP[TERMINATION DATE],ROW($B71)-ROW($B$8))),"NE",IF(NOT(ISERROR(MATCH(AD$8,L_HOLS,0))),"H",IF(INDEX(L_WKNDVAL,WEEKDAY(AD$8,1))=1,"WKND",INDEX(T_LEAVE[LEAVE CODE],SUMPRODUCT(--(T_LEAVE[NAME]=$B71),--(T_LEAVE[DATE]&lt;=AD$8),--(T_LEAVE[DATE]&gt;=AD$8),ROW(T_LEAVE[LEAVE CODE]))-ROW(T_LEAVE[#Headers]))))))),"")</f>
        <v/>
      </c>
      <c r="AE71" s="75" t="str">
        <f>IFERROR(IF(AE$8="","NA",IF(AE$8&lt;INDEX(T_EMP[START DATE],ROW($B71)-ROW($B$8)),"NE",IF(AND(INDEX(T_EMP[TERMINATION DATE],ROW($B71)-ROW($B$8))&gt;0,AE$8&gt;INDEX(T_EMP[TERMINATION DATE],ROW($B71)-ROW($B$8))),"NE",IF(NOT(ISERROR(MATCH(AE$8,L_HOLS,0))),"H",IF(INDEX(L_WKNDVAL,WEEKDAY(AE$8,1))=1,"WKND",INDEX(T_LEAVE[LEAVE CODE],SUMPRODUCT(--(T_LEAVE[NAME]=$B71),--(T_LEAVE[DATE]&lt;=AE$8),--(T_LEAVE[DATE]&gt;=AE$8),ROW(T_LEAVE[LEAVE CODE]))-ROW(T_LEAVE[#Headers]))))))),"")</f>
        <v/>
      </c>
      <c r="AF71" s="75" t="str">
        <f>IFERROR(IF(AF$8="","NA",IF(AF$8&lt;INDEX(T_EMP[START DATE],ROW($B71)-ROW($B$8)),"NE",IF(AND(INDEX(T_EMP[TERMINATION DATE],ROW($B71)-ROW($B$8))&gt;0,AF$8&gt;INDEX(T_EMP[TERMINATION DATE],ROW($B71)-ROW($B$8))),"NE",IF(NOT(ISERROR(MATCH(AF$8,L_HOLS,0))),"H",IF(INDEX(L_WKNDVAL,WEEKDAY(AF$8,1))=1,"WKND",INDEX(T_LEAVE[LEAVE CODE],SUMPRODUCT(--(T_LEAVE[NAME]=$B71),--(T_LEAVE[DATE]&lt;=AF$8),--(T_LEAVE[DATE]&gt;=AF$8),ROW(T_LEAVE[LEAVE CODE]))-ROW(T_LEAVE[#Headers]))))))),"")</f>
        <v/>
      </c>
      <c r="AG71" s="75" t="str">
        <f>IFERROR(IF(AG$8="","NA",IF(AG$8&lt;INDEX(T_EMP[START DATE],ROW($B71)-ROW($B$8)),"NE",IF(AND(INDEX(T_EMP[TERMINATION DATE],ROW($B71)-ROW($B$8))&gt;0,AG$8&gt;INDEX(T_EMP[TERMINATION DATE],ROW($B71)-ROW($B$8))),"NE",IF(NOT(ISERROR(MATCH(AG$8,L_HOLS,0))),"H",IF(INDEX(L_WKNDVAL,WEEKDAY(AG$8,1))=1,"WKND",INDEX(T_LEAVE[LEAVE CODE],SUMPRODUCT(--(T_LEAVE[NAME]=$B71),--(T_LEAVE[DATE]&lt;=AG$8),--(T_LEAVE[DATE]&gt;=AG$8),ROW(T_LEAVE[LEAVE CODE]))-ROW(T_LEAVE[#Headers]))))))),"")</f>
        <v/>
      </c>
      <c r="AH71" s="75" t="str">
        <f>IFERROR(IF(AH$8="","NA",IF(AH$8&lt;INDEX(T_EMP[START DATE],ROW($B71)-ROW($B$8)),"NE",IF(AND(INDEX(T_EMP[TERMINATION DATE],ROW($B71)-ROW($B$8))&gt;0,AH$8&gt;INDEX(T_EMP[TERMINATION DATE],ROW($B71)-ROW($B$8))),"NE",IF(NOT(ISERROR(MATCH(AH$8,L_HOLS,0))),"H",IF(INDEX(L_WKNDVAL,WEEKDAY(AH$8,1))=1,"WKND",INDEX(T_LEAVE[LEAVE CODE],SUMPRODUCT(--(T_LEAVE[NAME]=$B71),--(T_LEAVE[DATE]&lt;=AH$8),--(T_LEAVE[DATE]&gt;=AH$8),ROW(T_LEAVE[LEAVE CODE]))-ROW(T_LEAVE[#Headers]))))))),"")</f>
        <v/>
      </c>
      <c r="AJ71" s="88">
        <f>IF(OR($B71="",AJ$8=""),"",COUNTIFS($D71:$AH71,AJ$8)*INDEX(T_LEAVETYPE[DAY VALUE],1))</f>
        <v>0</v>
      </c>
      <c r="AK71" s="88">
        <f>IF(OR($B71="",AK$8=""),"",COUNTIFS($D71:$AH71,AK$8)*INDEX(T_LEAVETYPE[DAY VALUE],1))</f>
        <v>0</v>
      </c>
      <c r="AL71" s="88">
        <f>IF(OR($B71="",AL$8=""),"",COUNTIFS($D71:$AH71,AL$8)*INDEX(T_LEAVETYPE[DAY VALUE],1))</f>
        <v>0</v>
      </c>
      <c r="AM71" s="88">
        <f>IF(OR($B71="",AM$8=""),"",COUNTIFS($D71:$AH71,AM$8)*INDEX(T_LEAVETYPE[DAY VALUE],1))</f>
        <v>0</v>
      </c>
      <c r="AN71" s="88">
        <f>IF(OR($B71="",AN$8=""),"",COUNTIFS($D71:$AH71,AN$8)*INDEX(T_LEAVETYPE[DAY VALUE],1))</f>
        <v>0</v>
      </c>
      <c r="AO71" s="88">
        <f>IF(OR($B71="",AO$8=""),"",COUNTIFS($D71:$AH71,AO$8)*INDEX(T_LEAVETYPE[DAY VALUE],6))</f>
        <v>0</v>
      </c>
      <c r="AP71" s="88">
        <f>IF(OR($B71="",AP$8=""),"",COUNTIFS($D71:$AH71,AP$8)*INDEX(T_LEAVETYPE[DAY VALUE],7))</f>
        <v>0</v>
      </c>
      <c r="AQ71" s="88">
        <f>IF(OR($B71="",AQ$8=""),"",COUNTIFS($D71:$AH71,AQ$8)*INDEX(T_LEAVETYPE[DAY VALUE],8))</f>
        <v>0</v>
      </c>
      <c r="AR71" s="89">
        <f t="shared" si="5"/>
        <v>0</v>
      </c>
    </row>
    <row r="72" spans="1:44" x14ac:dyDescent="0.25">
      <c r="A72" s="90">
        <f t="shared" si="4"/>
        <v>64</v>
      </c>
      <c r="B72" s="74" t="str">
        <f>IFERROR(INDEX(T_EMP[NAME],ROW(B72)-ROW($B$8)),"")</f>
        <v>GUIAO, CATHERINE</v>
      </c>
      <c r="C72" s="91" t="str">
        <f>IFERROR(INDEX(T_EMP[DEPARTMENT],ROW(B72)-ROW($C$8)),"")</f>
        <v>PHARMTECH</v>
      </c>
      <c r="D72" s="75" t="str">
        <f>IFERROR(IF(D$8="","NA",IF(D$8&lt;INDEX(T_EMP[START DATE],ROW($B72)-ROW($B$8)),"NE",IF(AND(INDEX(T_EMP[TERMINATION DATE],ROW($B72)-ROW($B$8))&gt;0,D$8&gt;INDEX(T_EMP[TERMINATION DATE],ROW($B72)-ROW($B$8))),"NE",IF(NOT(ISERROR(MATCH(D$8,L_HOLS,0))),"H",IF(INDEX(L_WKNDVAL,WEEKDAY(D$8,1))=1,"WKND",INDEX(T_LEAVE[LEAVE CODE],SUMPRODUCT(--(T_LEAVE[NAME]=$B72),--(T_LEAVE[DATE]&lt;=D$8),--(T_LEAVE[DATE]&gt;=D$8),ROW(T_LEAVE[LEAVE CODE]))-ROW(T_LEAVE[#Headers]))))))),"")</f>
        <v>H</v>
      </c>
      <c r="E72" s="75" t="str">
        <f>IFERROR(IF(E$8="","NA",IF(E$8&lt;INDEX(T_EMP[START DATE],ROW($B72)-ROW($B$8)),"NE",IF(AND(INDEX(T_EMP[TERMINATION DATE],ROW($B72)-ROW($B$8))&gt;0,E$8&gt;INDEX(T_EMP[TERMINATION DATE],ROW($B72)-ROW($B$8))),"NE",IF(NOT(ISERROR(MATCH(E$8,L_HOLS,0))),"H",IF(INDEX(L_WKNDVAL,WEEKDAY(E$8,1))=1,"WKND",INDEX(T_LEAVE[LEAVE CODE],SUMPRODUCT(--(T_LEAVE[NAME]=$B72),--(T_LEAVE[DATE]&lt;=E$8),--(T_LEAVE[DATE]&gt;=E$8),ROW(T_LEAVE[LEAVE CODE]))-ROW(T_LEAVE[#Headers]))))))),"")</f>
        <v/>
      </c>
      <c r="F72" s="75" t="str">
        <f>IFERROR(IF(F$8="","NA",IF(F$8&lt;INDEX(T_EMP[START DATE],ROW($B72)-ROW($B$8)),"NE",IF(AND(INDEX(T_EMP[TERMINATION DATE],ROW($B72)-ROW($B$8))&gt;0,F$8&gt;INDEX(T_EMP[TERMINATION DATE],ROW($B72)-ROW($B$8))),"NE",IF(NOT(ISERROR(MATCH(F$8,L_HOLS,0))),"H",IF(INDEX(L_WKNDVAL,WEEKDAY(F$8,1))=1,"WKND",INDEX(T_LEAVE[LEAVE CODE],SUMPRODUCT(--(T_LEAVE[NAME]=$B72),--(T_LEAVE[DATE]&lt;=F$8),--(T_LEAVE[DATE]&gt;=F$8),ROW(T_LEAVE[LEAVE CODE]))-ROW(T_LEAVE[#Headers]))))))),"")</f>
        <v/>
      </c>
      <c r="G72" s="75" t="str">
        <f>IFERROR(IF(G$8="","NA",IF(G$8&lt;INDEX(T_EMP[START DATE],ROW($B72)-ROW($B$8)),"NE",IF(AND(INDEX(T_EMP[TERMINATION DATE],ROW($B72)-ROW($B$8))&gt;0,G$8&gt;INDEX(T_EMP[TERMINATION DATE],ROW($B72)-ROW($B$8))),"NE",IF(NOT(ISERROR(MATCH(G$8,L_HOLS,0))),"H",IF(INDEX(L_WKNDVAL,WEEKDAY(G$8,1))=1,"WKND",INDEX(T_LEAVE[LEAVE CODE],SUMPRODUCT(--(T_LEAVE[NAME]=$B72),--(T_LEAVE[DATE]&lt;=G$8),--(T_LEAVE[DATE]&gt;=G$8),ROW(T_LEAVE[LEAVE CODE]))-ROW(T_LEAVE[#Headers]))))))),"")</f>
        <v/>
      </c>
      <c r="H72" s="75" t="str">
        <f>IFERROR(IF(H$8="","NA",IF(H$8&lt;INDEX(T_EMP[START DATE],ROW($B72)-ROW($B$8)),"NE",IF(AND(INDEX(T_EMP[TERMINATION DATE],ROW($B72)-ROW($B$8))&gt;0,H$8&gt;INDEX(T_EMP[TERMINATION DATE],ROW($B72)-ROW($B$8))),"NE",IF(NOT(ISERROR(MATCH(H$8,L_HOLS,0))),"H",IF(INDEX(L_WKNDVAL,WEEKDAY(H$8,1))=1,"WKND",INDEX(T_LEAVE[LEAVE CODE],SUMPRODUCT(--(T_LEAVE[NAME]=$B72),--(T_LEAVE[DATE]&lt;=H$8),--(T_LEAVE[DATE]&gt;=H$8),ROW(T_LEAVE[LEAVE CODE]))-ROW(T_LEAVE[#Headers]))))))),"")</f>
        <v/>
      </c>
      <c r="I72" s="75" t="str">
        <f>IFERROR(IF(I$8="","NA",IF(I$8&lt;INDEX(T_EMP[START DATE],ROW($B72)-ROW($B$8)),"NE",IF(AND(INDEX(T_EMP[TERMINATION DATE],ROW($B72)-ROW($B$8))&gt;0,I$8&gt;INDEX(T_EMP[TERMINATION DATE],ROW($B72)-ROW($B$8))),"NE",IF(NOT(ISERROR(MATCH(I$8,L_HOLS,0))),"H",IF(INDEX(L_WKNDVAL,WEEKDAY(I$8,1))=1,"WKND",INDEX(T_LEAVE[LEAVE CODE],SUMPRODUCT(--(T_LEAVE[NAME]=$B72),--(T_LEAVE[DATE]&lt;=I$8),--(T_LEAVE[DATE]&gt;=I$8),ROW(T_LEAVE[LEAVE CODE]))-ROW(T_LEAVE[#Headers]))))))),"")</f>
        <v/>
      </c>
      <c r="J72" s="75" t="str">
        <f>IFERROR(IF(J$8="","NA",IF(J$8&lt;INDEX(T_EMP[START DATE],ROW($B72)-ROW($B$8)),"NE",IF(AND(INDEX(T_EMP[TERMINATION DATE],ROW($B72)-ROW($B$8))&gt;0,J$8&gt;INDEX(T_EMP[TERMINATION DATE],ROW($B72)-ROW($B$8))),"NE",IF(NOT(ISERROR(MATCH(J$8,L_HOLS,0))),"H",IF(INDEX(L_WKNDVAL,WEEKDAY(J$8,1))=1,"WKND",INDEX(T_LEAVE[LEAVE CODE],SUMPRODUCT(--(T_LEAVE[NAME]=$B72),--(T_LEAVE[DATE]&lt;=J$8),--(T_LEAVE[DATE]&gt;=J$8),ROW(T_LEAVE[LEAVE CODE]))-ROW(T_LEAVE[#Headers]))))))),"")</f>
        <v/>
      </c>
      <c r="K72" s="75" t="str">
        <f>IFERROR(IF(K$8="","NA",IF(K$8&lt;INDEX(T_EMP[START DATE],ROW($B72)-ROW($B$8)),"NE",IF(AND(INDEX(T_EMP[TERMINATION DATE],ROW($B72)-ROW($B$8))&gt;0,K$8&gt;INDEX(T_EMP[TERMINATION DATE],ROW($B72)-ROW($B$8))),"NE",IF(NOT(ISERROR(MATCH(K$8,L_HOLS,0))),"H",IF(INDEX(L_WKNDVAL,WEEKDAY(K$8,1))=1,"WKND",INDEX(T_LEAVE[LEAVE CODE],SUMPRODUCT(--(T_LEAVE[NAME]=$B72),--(T_LEAVE[DATE]&lt;=K$8),--(T_LEAVE[DATE]&gt;=K$8),ROW(T_LEAVE[LEAVE CODE]))-ROW(T_LEAVE[#Headers]))))))),"")</f>
        <v/>
      </c>
      <c r="L72" s="75" t="str">
        <f>IFERROR(IF(L$8="","NA",IF(L$8&lt;INDEX(T_EMP[START DATE],ROW($B72)-ROW($B$8)),"NE",IF(AND(INDEX(T_EMP[TERMINATION DATE],ROW($B72)-ROW($B$8))&gt;0,L$8&gt;INDEX(T_EMP[TERMINATION DATE],ROW($B72)-ROW($B$8))),"NE",IF(NOT(ISERROR(MATCH(L$8,L_HOLS,0))),"H",IF(INDEX(L_WKNDVAL,WEEKDAY(L$8,1))=1,"WKND",INDEX(T_LEAVE[LEAVE CODE],SUMPRODUCT(--(T_LEAVE[NAME]=$B72),--(T_LEAVE[DATE]&lt;=L$8),--(T_LEAVE[DATE]&gt;=L$8),ROW(T_LEAVE[LEAVE CODE]))-ROW(T_LEAVE[#Headers]))))))),"")</f>
        <v/>
      </c>
      <c r="M72" s="75" t="str">
        <f>IFERROR(IF(M$8="","NA",IF(M$8&lt;INDEX(T_EMP[START DATE],ROW($B72)-ROW($B$8)),"NE",IF(AND(INDEX(T_EMP[TERMINATION DATE],ROW($B72)-ROW($B$8))&gt;0,M$8&gt;INDEX(T_EMP[TERMINATION DATE],ROW($B72)-ROW($B$8))),"NE",IF(NOT(ISERROR(MATCH(M$8,L_HOLS,0))),"H",IF(INDEX(L_WKNDVAL,WEEKDAY(M$8,1))=1,"WKND",INDEX(T_LEAVE[LEAVE CODE],SUMPRODUCT(--(T_LEAVE[NAME]=$B72),--(T_LEAVE[DATE]&lt;=M$8),--(T_LEAVE[DATE]&gt;=M$8),ROW(T_LEAVE[LEAVE CODE]))-ROW(T_LEAVE[#Headers]))))))),"")</f>
        <v/>
      </c>
      <c r="N72" s="75" t="str">
        <f>IFERROR(IF(N$8="","NA",IF(N$8&lt;INDEX(T_EMP[START DATE],ROW($B72)-ROW($B$8)),"NE",IF(AND(INDEX(T_EMP[TERMINATION DATE],ROW($B72)-ROW($B$8))&gt;0,N$8&gt;INDEX(T_EMP[TERMINATION DATE],ROW($B72)-ROW($B$8))),"NE",IF(NOT(ISERROR(MATCH(N$8,L_HOLS,0))),"H",IF(INDEX(L_WKNDVAL,WEEKDAY(N$8,1))=1,"WKND",INDEX(T_LEAVE[LEAVE CODE],SUMPRODUCT(--(T_LEAVE[NAME]=$B72),--(T_LEAVE[DATE]&lt;=N$8),--(T_LEAVE[DATE]&gt;=N$8),ROW(T_LEAVE[LEAVE CODE]))-ROW(T_LEAVE[#Headers]))))))),"")</f>
        <v/>
      </c>
      <c r="O72" s="75" t="str">
        <f>IFERROR(IF(O$8="","NA",IF(O$8&lt;INDEX(T_EMP[START DATE],ROW($B72)-ROW($B$8)),"NE",IF(AND(INDEX(T_EMP[TERMINATION DATE],ROW($B72)-ROW($B$8))&gt;0,O$8&gt;INDEX(T_EMP[TERMINATION DATE],ROW($B72)-ROW($B$8))),"NE",IF(NOT(ISERROR(MATCH(O$8,L_HOLS,0))),"H",IF(INDEX(L_WKNDVAL,WEEKDAY(O$8,1))=1,"WKND",INDEX(T_LEAVE[LEAVE CODE],SUMPRODUCT(--(T_LEAVE[NAME]=$B72),--(T_LEAVE[DATE]&lt;=O$8),--(T_LEAVE[DATE]&gt;=O$8),ROW(T_LEAVE[LEAVE CODE]))-ROW(T_LEAVE[#Headers]))))))),"")</f>
        <v/>
      </c>
      <c r="P72" s="75" t="str">
        <f>IFERROR(IF(P$8="","NA",IF(P$8&lt;INDEX(T_EMP[START DATE],ROW($B72)-ROW($B$8)),"NE",IF(AND(INDEX(T_EMP[TERMINATION DATE],ROW($B72)-ROW($B$8))&gt;0,P$8&gt;INDEX(T_EMP[TERMINATION DATE],ROW($B72)-ROW($B$8))),"NE",IF(NOT(ISERROR(MATCH(P$8,L_HOLS,0))),"H",IF(INDEX(L_WKNDVAL,WEEKDAY(P$8,1))=1,"WKND",INDEX(T_LEAVE[LEAVE CODE],SUMPRODUCT(--(T_LEAVE[NAME]=$B72),--(T_LEAVE[DATE]&lt;=P$8),--(T_LEAVE[DATE]&gt;=P$8),ROW(T_LEAVE[LEAVE CODE]))-ROW(T_LEAVE[#Headers]))))))),"")</f>
        <v>H</v>
      </c>
      <c r="Q72" s="75" t="str">
        <f>IFERROR(IF(Q$8="","NA",IF(Q$8&lt;INDEX(T_EMP[START DATE],ROW($B72)-ROW($B$8)),"NE",IF(AND(INDEX(T_EMP[TERMINATION DATE],ROW($B72)-ROW($B$8))&gt;0,Q$8&gt;INDEX(T_EMP[TERMINATION DATE],ROW($B72)-ROW($B$8))),"NE",IF(NOT(ISERROR(MATCH(Q$8,L_HOLS,0))),"H",IF(INDEX(L_WKNDVAL,WEEKDAY(Q$8,1))=1,"WKND",INDEX(T_LEAVE[LEAVE CODE],SUMPRODUCT(--(T_LEAVE[NAME]=$B72),--(T_LEAVE[DATE]&lt;=Q$8),--(T_LEAVE[DATE]&gt;=Q$8),ROW(T_LEAVE[LEAVE CODE]))-ROW(T_LEAVE[#Headers]))))))),"")</f>
        <v/>
      </c>
      <c r="R72" s="75" t="str">
        <f>IFERROR(IF(R$8="","NA",IF(R$8&lt;INDEX(T_EMP[START DATE],ROW($B72)-ROW($B$8)),"NE",IF(AND(INDEX(T_EMP[TERMINATION DATE],ROW($B72)-ROW($B$8))&gt;0,R$8&gt;INDEX(T_EMP[TERMINATION DATE],ROW($B72)-ROW($B$8))),"NE",IF(NOT(ISERROR(MATCH(R$8,L_HOLS,0))),"H",IF(INDEX(L_WKNDVAL,WEEKDAY(R$8,1))=1,"WKND",INDEX(T_LEAVE[LEAVE CODE],SUMPRODUCT(--(T_LEAVE[NAME]=$B72),--(T_LEAVE[DATE]&lt;=R$8),--(T_LEAVE[DATE]&gt;=R$8),ROW(T_LEAVE[LEAVE CODE]))-ROW(T_LEAVE[#Headers]))))))),"")</f>
        <v/>
      </c>
      <c r="S72" s="75" t="str">
        <f>IFERROR(IF(S$8="","NA",IF(S$8&lt;INDEX(T_EMP[START DATE],ROW($B72)-ROW($B$8)),"NE",IF(AND(INDEX(T_EMP[TERMINATION DATE],ROW($B72)-ROW($B$8))&gt;0,S$8&gt;INDEX(T_EMP[TERMINATION DATE],ROW($B72)-ROW($B$8))),"NE",IF(NOT(ISERROR(MATCH(S$8,L_HOLS,0))),"H",IF(INDEX(L_WKNDVAL,WEEKDAY(S$8,1))=1,"WKND",INDEX(T_LEAVE[LEAVE CODE],SUMPRODUCT(--(T_LEAVE[NAME]=$B72),--(T_LEAVE[DATE]&lt;=S$8),--(T_LEAVE[DATE]&gt;=S$8),ROW(T_LEAVE[LEAVE CODE]))-ROW(T_LEAVE[#Headers]))))))),"")</f>
        <v/>
      </c>
      <c r="T72" s="75" t="str">
        <f>IFERROR(IF(T$8="","NA",IF(T$8&lt;INDEX(T_EMP[START DATE],ROW($B72)-ROW($B$8)),"NE",IF(AND(INDEX(T_EMP[TERMINATION DATE],ROW($B72)-ROW($B$8))&gt;0,T$8&gt;INDEX(T_EMP[TERMINATION DATE],ROW($B72)-ROW($B$8))),"NE",IF(NOT(ISERROR(MATCH(T$8,L_HOLS,0))),"H",IF(INDEX(L_WKNDVAL,WEEKDAY(T$8,1))=1,"WKND",INDEX(T_LEAVE[LEAVE CODE],SUMPRODUCT(--(T_LEAVE[NAME]=$B72),--(T_LEAVE[DATE]&lt;=T$8),--(T_LEAVE[DATE]&gt;=T$8),ROW(T_LEAVE[LEAVE CODE]))-ROW(T_LEAVE[#Headers]))))))),"")</f>
        <v/>
      </c>
      <c r="U72" s="75" t="str">
        <f>IFERROR(IF(U$8="","NA",IF(U$8&lt;INDEX(T_EMP[START DATE],ROW($B72)-ROW($B$8)),"NE",IF(AND(INDEX(T_EMP[TERMINATION DATE],ROW($B72)-ROW($B$8))&gt;0,U$8&gt;INDEX(T_EMP[TERMINATION DATE],ROW($B72)-ROW($B$8))),"NE",IF(NOT(ISERROR(MATCH(U$8,L_HOLS,0))),"H",IF(INDEX(L_WKNDVAL,WEEKDAY(U$8,1))=1,"WKND",INDEX(T_LEAVE[LEAVE CODE],SUMPRODUCT(--(T_LEAVE[NAME]=$B72),--(T_LEAVE[DATE]&lt;=U$8),--(T_LEAVE[DATE]&gt;=U$8),ROW(T_LEAVE[LEAVE CODE]))-ROW(T_LEAVE[#Headers]))))))),"")</f>
        <v/>
      </c>
      <c r="V72" s="75" t="str">
        <f>IFERROR(IF(V$8="","NA",IF(V$8&lt;INDEX(T_EMP[START DATE],ROW($B72)-ROW($B$8)),"NE",IF(AND(INDEX(T_EMP[TERMINATION DATE],ROW($B72)-ROW($B$8))&gt;0,V$8&gt;INDEX(T_EMP[TERMINATION DATE],ROW($B72)-ROW($B$8))),"NE",IF(NOT(ISERROR(MATCH(V$8,L_HOLS,0))),"H",IF(INDEX(L_WKNDVAL,WEEKDAY(V$8,1))=1,"WKND",INDEX(T_LEAVE[LEAVE CODE],SUMPRODUCT(--(T_LEAVE[NAME]=$B72),--(T_LEAVE[DATE]&lt;=V$8),--(T_LEAVE[DATE]&gt;=V$8),ROW(T_LEAVE[LEAVE CODE]))-ROW(T_LEAVE[#Headers]))))))),"")</f>
        <v/>
      </c>
      <c r="W72" s="75" t="str">
        <f>IFERROR(IF(W$8="","NA",IF(W$8&lt;INDEX(T_EMP[START DATE],ROW($B72)-ROW($B$8)),"NE",IF(AND(INDEX(T_EMP[TERMINATION DATE],ROW($B72)-ROW($B$8))&gt;0,W$8&gt;INDEX(T_EMP[TERMINATION DATE],ROW($B72)-ROW($B$8))),"NE",IF(NOT(ISERROR(MATCH(W$8,L_HOLS,0))),"H",IF(INDEX(L_WKNDVAL,WEEKDAY(W$8,1))=1,"WKND",INDEX(T_LEAVE[LEAVE CODE],SUMPRODUCT(--(T_LEAVE[NAME]=$B72),--(T_LEAVE[DATE]&lt;=W$8),--(T_LEAVE[DATE]&gt;=W$8),ROW(T_LEAVE[LEAVE CODE]))-ROW(T_LEAVE[#Headers]))))))),"")</f>
        <v/>
      </c>
      <c r="X72" s="75" t="str">
        <f>IFERROR(IF(X$8="","NA",IF(X$8&lt;INDEX(T_EMP[START DATE],ROW($B72)-ROW($B$8)),"NE",IF(AND(INDEX(T_EMP[TERMINATION DATE],ROW($B72)-ROW($B$8))&gt;0,X$8&gt;INDEX(T_EMP[TERMINATION DATE],ROW($B72)-ROW($B$8))),"NE",IF(NOT(ISERROR(MATCH(X$8,L_HOLS,0))),"H",IF(INDEX(L_WKNDVAL,WEEKDAY(X$8,1))=1,"WKND",INDEX(T_LEAVE[LEAVE CODE],SUMPRODUCT(--(T_LEAVE[NAME]=$B72),--(T_LEAVE[DATE]&lt;=X$8),--(T_LEAVE[DATE]&gt;=X$8),ROW(T_LEAVE[LEAVE CODE]))-ROW(T_LEAVE[#Headers]))))))),"")</f>
        <v/>
      </c>
      <c r="Y72" s="75" t="str">
        <f>IFERROR(IF(Y$8="","NA",IF(Y$8&lt;INDEX(T_EMP[START DATE],ROW($B72)-ROW($B$8)),"NE",IF(AND(INDEX(T_EMP[TERMINATION DATE],ROW($B72)-ROW($B$8))&gt;0,Y$8&gt;INDEX(T_EMP[TERMINATION DATE],ROW($B72)-ROW($B$8))),"NE",IF(NOT(ISERROR(MATCH(Y$8,L_HOLS,0))),"H",IF(INDEX(L_WKNDVAL,WEEKDAY(Y$8,1))=1,"WKND",INDEX(T_LEAVE[LEAVE CODE],SUMPRODUCT(--(T_LEAVE[NAME]=$B72),--(T_LEAVE[DATE]&lt;=Y$8),--(T_LEAVE[DATE]&gt;=Y$8),ROW(T_LEAVE[LEAVE CODE]))-ROW(T_LEAVE[#Headers]))))))),"")</f>
        <v/>
      </c>
      <c r="Z72" s="75" t="str">
        <f>IFERROR(IF(Z$8="","NA",IF(Z$8&lt;INDEX(T_EMP[START DATE],ROW($B72)-ROW($B$8)),"NE",IF(AND(INDEX(T_EMP[TERMINATION DATE],ROW($B72)-ROW($B$8))&gt;0,Z$8&gt;INDEX(T_EMP[TERMINATION DATE],ROW($B72)-ROW($B$8))),"NE",IF(NOT(ISERROR(MATCH(Z$8,L_HOLS,0))),"H",IF(INDEX(L_WKNDVAL,WEEKDAY(Z$8,1))=1,"WKND",INDEX(T_LEAVE[LEAVE CODE],SUMPRODUCT(--(T_LEAVE[NAME]=$B72),--(T_LEAVE[DATE]&lt;=Z$8),--(T_LEAVE[DATE]&gt;=Z$8),ROW(T_LEAVE[LEAVE CODE]))-ROW(T_LEAVE[#Headers]))))))),"")</f>
        <v/>
      </c>
      <c r="AA72" s="75" t="str">
        <f>IFERROR(IF(AA$8="","NA",IF(AA$8&lt;INDEX(T_EMP[START DATE],ROW($B72)-ROW($B$8)),"NE",IF(AND(INDEX(T_EMP[TERMINATION DATE],ROW($B72)-ROW($B$8))&gt;0,AA$8&gt;INDEX(T_EMP[TERMINATION DATE],ROW($B72)-ROW($B$8))),"NE",IF(NOT(ISERROR(MATCH(AA$8,L_HOLS,0))),"H",IF(INDEX(L_WKNDVAL,WEEKDAY(AA$8,1))=1,"WKND",INDEX(T_LEAVE[LEAVE CODE],SUMPRODUCT(--(T_LEAVE[NAME]=$B72),--(T_LEAVE[DATE]&lt;=AA$8),--(T_LEAVE[DATE]&gt;=AA$8),ROW(T_LEAVE[LEAVE CODE]))-ROW(T_LEAVE[#Headers]))))))),"")</f>
        <v/>
      </c>
      <c r="AB72" s="75" t="str">
        <f>IFERROR(IF(AB$8="","NA",IF(AB$8&lt;INDEX(T_EMP[START DATE],ROW($B72)-ROW($B$8)),"NE",IF(AND(INDEX(T_EMP[TERMINATION DATE],ROW($B72)-ROW($B$8))&gt;0,AB$8&gt;INDEX(T_EMP[TERMINATION DATE],ROW($B72)-ROW($B$8))),"NE",IF(NOT(ISERROR(MATCH(AB$8,L_HOLS,0))),"H",IF(INDEX(L_WKNDVAL,WEEKDAY(AB$8,1))=1,"WKND",INDEX(T_LEAVE[LEAVE CODE],SUMPRODUCT(--(T_LEAVE[NAME]=$B72),--(T_LEAVE[DATE]&lt;=AB$8),--(T_LEAVE[DATE]&gt;=AB$8),ROW(T_LEAVE[LEAVE CODE]))-ROW(T_LEAVE[#Headers]))))))),"")</f>
        <v/>
      </c>
      <c r="AC72" s="75" t="str">
        <f>IFERROR(IF(AC$8="","NA",IF(AC$8&lt;INDEX(T_EMP[START DATE],ROW($B72)-ROW($B$8)),"NE",IF(AND(INDEX(T_EMP[TERMINATION DATE],ROW($B72)-ROW($B$8))&gt;0,AC$8&gt;INDEX(T_EMP[TERMINATION DATE],ROW($B72)-ROW($B$8))),"NE",IF(NOT(ISERROR(MATCH(AC$8,L_HOLS,0))),"H",IF(INDEX(L_WKNDVAL,WEEKDAY(AC$8,1))=1,"WKND",INDEX(T_LEAVE[LEAVE CODE],SUMPRODUCT(--(T_LEAVE[NAME]=$B72),--(T_LEAVE[DATE]&lt;=AC$8),--(T_LEAVE[DATE]&gt;=AC$8),ROW(T_LEAVE[LEAVE CODE]))-ROW(T_LEAVE[#Headers]))))))),"")</f>
        <v/>
      </c>
      <c r="AD72" s="75" t="str">
        <f>IFERROR(IF(AD$8="","NA",IF(AD$8&lt;INDEX(T_EMP[START DATE],ROW($B72)-ROW($B$8)),"NE",IF(AND(INDEX(T_EMP[TERMINATION DATE],ROW($B72)-ROW($B$8))&gt;0,AD$8&gt;INDEX(T_EMP[TERMINATION DATE],ROW($B72)-ROW($B$8))),"NE",IF(NOT(ISERROR(MATCH(AD$8,L_HOLS,0))),"H",IF(INDEX(L_WKNDVAL,WEEKDAY(AD$8,1))=1,"WKND",INDEX(T_LEAVE[LEAVE CODE],SUMPRODUCT(--(T_LEAVE[NAME]=$B72),--(T_LEAVE[DATE]&lt;=AD$8),--(T_LEAVE[DATE]&gt;=AD$8),ROW(T_LEAVE[LEAVE CODE]))-ROW(T_LEAVE[#Headers]))))))),"")</f>
        <v/>
      </c>
      <c r="AE72" s="75" t="str">
        <f>IFERROR(IF(AE$8="","NA",IF(AE$8&lt;INDEX(T_EMP[START DATE],ROW($B72)-ROW($B$8)),"NE",IF(AND(INDEX(T_EMP[TERMINATION DATE],ROW($B72)-ROW($B$8))&gt;0,AE$8&gt;INDEX(T_EMP[TERMINATION DATE],ROW($B72)-ROW($B$8))),"NE",IF(NOT(ISERROR(MATCH(AE$8,L_HOLS,0))),"H",IF(INDEX(L_WKNDVAL,WEEKDAY(AE$8,1))=1,"WKND",INDEX(T_LEAVE[LEAVE CODE],SUMPRODUCT(--(T_LEAVE[NAME]=$B72),--(T_LEAVE[DATE]&lt;=AE$8),--(T_LEAVE[DATE]&gt;=AE$8),ROW(T_LEAVE[LEAVE CODE]))-ROW(T_LEAVE[#Headers]))))))),"")</f>
        <v/>
      </c>
      <c r="AF72" s="75" t="str">
        <f>IFERROR(IF(AF$8="","NA",IF(AF$8&lt;INDEX(T_EMP[START DATE],ROW($B72)-ROW($B$8)),"NE",IF(AND(INDEX(T_EMP[TERMINATION DATE],ROW($B72)-ROW($B$8))&gt;0,AF$8&gt;INDEX(T_EMP[TERMINATION DATE],ROW($B72)-ROW($B$8))),"NE",IF(NOT(ISERROR(MATCH(AF$8,L_HOLS,0))),"H",IF(INDEX(L_WKNDVAL,WEEKDAY(AF$8,1))=1,"WKND",INDEX(T_LEAVE[LEAVE CODE],SUMPRODUCT(--(T_LEAVE[NAME]=$B72),--(T_LEAVE[DATE]&lt;=AF$8),--(T_LEAVE[DATE]&gt;=AF$8),ROW(T_LEAVE[LEAVE CODE]))-ROW(T_LEAVE[#Headers]))))))),"")</f>
        <v/>
      </c>
      <c r="AG72" s="75" t="str">
        <f>IFERROR(IF(AG$8="","NA",IF(AG$8&lt;INDEX(T_EMP[START DATE],ROW($B72)-ROW($B$8)),"NE",IF(AND(INDEX(T_EMP[TERMINATION DATE],ROW($B72)-ROW($B$8))&gt;0,AG$8&gt;INDEX(T_EMP[TERMINATION DATE],ROW($B72)-ROW($B$8))),"NE",IF(NOT(ISERROR(MATCH(AG$8,L_HOLS,0))),"H",IF(INDEX(L_WKNDVAL,WEEKDAY(AG$8,1))=1,"WKND",INDEX(T_LEAVE[LEAVE CODE],SUMPRODUCT(--(T_LEAVE[NAME]=$B72),--(T_LEAVE[DATE]&lt;=AG$8),--(T_LEAVE[DATE]&gt;=AG$8),ROW(T_LEAVE[LEAVE CODE]))-ROW(T_LEAVE[#Headers]))))))),"")</f>
        <v/>
      </c>
      <c r="AH72" s="75" t="str">
        <f>IFERROR(IF(AH$8="","NA",IF(AH$8&lt;INDEX(T_EMP[START DATE],ROW($B72)-ROW($B$8)),"NE",IF(AND(INDEX(T_EMP[TERMINATION DATE],ROW($B72)-ROW($B$8))&gt;0,AH$8&gt;INDEX(T_EMP[TERMINATION DATE],ROW($B72)-ROW($B$8))),"NE",IF(NOT(ISERROR(MATCH(AH$8,L_HOLS,0))),"H",IF(INDEX(L_WKNDVAL,WEEKDAY(AH$8,1))=1,"WKND",INDEX(T_LEAVE[LEAVE CODE],SUMPRODUCT(--(T_LEAVE[NAME]=$B72),--(T_LEAVE[DATE]&lt;=AH$8),--(T_LEAVE[DATE]&gt;=AH$8),ROW(T_LEAVE[LEAVE CODE]))-ROW(T_LEAVE[#Headers]))))))),"")</f>
        <v/>
      </c>
      <c r="AJ72" s="88">
        <f>IF(OR($B72="",AJ$8=""),"",COUNTIFS($D72:$AH72,AJ$8)*INDEX(T_LEAVETYPE[DAY VALUE],1))</f>
        <v>0</v>
      </c>
      <c r="AK72" s="88">
        <f>IF(OR($B72="",AK$8=""),"",COUNTIFS($D72:$AH72,AK$8)*INDEX(T_LEAVETYPE[DAY VALUE],1))</f>
        <v>0</v>
      </c>
      <c r="AL72" s="88">
        <f>IF(OR($B72="",AL$8=""),"",COUNTIFS($D72:$AH72,AL$8)*INDEX(T_LEAVETYPE[DAY VALUE],1))</f>
        <v>0</v>
      </c>
      <c r="AM72" s="88">
        <f>IF(OR($B72="",AM$8=""),"",COUNTIFS($D72:$AH72,AM$8)*INDEX(T_LEAVETYPE[DAY VALUE],1))</f>
        <v>0</v>
      </c>
      <c r="AN72" s="88">
        <f>IF(OR($B72="",AN$8=""),"",COUNTIFS($D72:$AH72,AN$8)*INDEX(T_LEAVETYPE[DAY VALUE],1))</f>
        <v>0</v>
      </c>
      <c r="AO72" s="88">
        <f>IF(OR($B72="",AO$8=""),"",COUNTIFS($D72:$AH72,AO$8)*INDEX(T_LEAVETYPE[DAY VALUE],6))</f>
        <v>0</v>
      </c>
      <c r="AP72" s="88">
        <f>IF(OR($B72="",AP$8=""),"",COUNTIFS($D72:$AH72,AP$8)*INDEX(T_LEAVETYPE[DAY VALUE],7))</f>
        <v>0</v>
      </c>
      <c r="AQ72" s="88">
        <f>IF(OR($B72="",AQ$8=""),"",COUNTIFS($D72:$AH72,AQ$8)*INDEX(T_LEAVETYPE[DAY VALUE],8))</f>
        <v>0</v>
      </c>
      <c r="AR72" s="89">
        <f t="shared" si="5"/>
        <v>0</v>
      </c>
    </row>
    <row r="73" spans="1:44" x14ac:dyDescent="0.25">
      <c r="A73" s="90">
        <f t="shared" si="4"/>
        <v>65</v>
      </c>
      <c r="B73" s="74" t="str">
        <f>IFERROR(INDEX(T_EMP[NAME],ROW(B73)-ROW($B$8)),"")</f>
        <v>JOHN MICHAEL , IGNACIO</v>
      </c>
      <c r="C73" s="91" t="str">
        <f>IFERROR(INDEX(T_EMP[DEPARTMENT],ROW(B73)-ROW($C$8)),"")</f>
        <v>PHARMTECH</v>
      </c>
      <c r="D73" s="75" t="str">
        <f>IFERROR(IF(D$8="","NA",IF(D$8&lt;INDEX(T_EMP[START DATE],ROW($B73)-ROW($B$8)),"NE",IF(AND(INDEX(T_EMP[TERMINATION DATE],ROW($B73)-ROW($B$8))&gt;0,D$8&gt;INDEX(T_EMP[TERMINATION DATE],ROW($B73)-ROW($B$8))),"NE",IF(NOT(ISERROR(MATCH(D$8,L_HOLS,0))),"H",IF(INDEX(L_WKNDVAL,WEEKDAY(D$8,1))=1,"WKND",INDEX(T_LEAVE[LEAVE CODE],SUMPRODUCT(--(T_LEAVE[NAME]=$B73),--(T_LEAVE[DATE]&lt;=D$8),--(T_LEAVE[DATE]&gt;=D$8),ROW(T_LEAVE[LEAVE CODE]))-ROW(T_LEAVE[#Headers]))))))),"")</f>
        <v>H</v>
      </c>
      <c r="E73" s="75" t="str">
        <f>IFERROR(IF(E$8="","NA",IF(E$8&lt;INDEX(T_EMP[START DATE],ROW($B73)-ROW($B$8)),"NE",IF(AND(INDEX(T_EMP[TERMINATION DATE],ROW($B73)-ROW($B$8))&gt;0,E$8&gt;INDEX(T_EMP[TERMINATION DATE],ROW($B73)-ROW($B$8))),"NE",IF(NOT(ISERROR(MATCH(E$8,L_HOLS,0))),"H",IF(INDEX(L_WKNDVAL,WEEKDAY(E$8,1))=1,"WKND",INDEX(T_LEAVE[LEAVE CODE],SUMPRODUCT(--(T_LEAVE[NAME]=$B73),--(T_LEAVE[DATE]&lt;=E$8),--(T_LEAVE[DATE]&gt;=E$8),ROW(T_LEAVE[LEAVE CODE]))-ROW(T_LEAVE[#Headers]))))))),"")</f>
        <v/>
      </c>
      <c r="F73" s="75" t="str">
        <f>IFERROR(IF(F$8="","NA",IF(F$8&lt;INDEX(T_EMP[START DATE],ROW($B73)-ROW($B$8)),"NE",IF(AND(INDEX(T_EMP[TERMINATION DATE],ROW($B73)-ROW($B$8))&gt;0,F$8&gt;INDEX(T_EMP[TERMINATION DATE],ROW($B73)-ROW($B$8))),"NE",IF(NOT(ISERROR(MATCH(F$8,L_HOLS,0))),"H",IF(INDEX(L_WKNDVAL,WEEKDAY(F$8,1))=1,"WKND",INDEX(T_LEAVE[LEAVE CODE],SUMPRODUCT(--(T_LEAVE[NAME]=$B73),--(T_LEAVE[DATE]&lt;=F$8),--(T_LEAVE[DATE]&gt;=F$8),ROW(T_LEAVE[LEAVE CODE]))-ROW(T_LEAVE[#Headers]))))))),"")</f>
        <v/>
      </c>
      <c r="G73" s="75" t="str">
        <f>IFERROR(IF(G$8="","NA",IF(G$8&lt;INDEX(T_EMP[START DATE],ROW($B73)-ROW($B$8)),"NE",IF(AND(INDEX(T_EMP[TERMINATION DATE],ROW($B73)-ROW($B$8))&gt;0,G$8&gt;INDEX(T_EMP[TERMINATION DATE],ROW($B73)-ROW($B$8))),"NE",IF(NOT(ISERROR(MATCH(G$8,L_HOLS,0))),"H",IF(INDEX(L_WKNDVAL,WEEKDAY(G$8,1))=1,"WKND",INDEX(T_LEAVE[LEAVE CODE],SUMPRODUCT(--(T_LEAVE[NAME]=$B73),--(T_LEAVE[DATE]&lt;=G$8),--(T_LEAVE[DATE]&gt;=G$8),ROW(T_LEAVE[LEAVE CODE]))-ROW(T_LEAVE[#Headers]))))))),"")</f>
        <v/>
      </c>
      <c r="H73" s="75" t="str">
        <f>IFERROR(IF(H$8="","NA",IF(H$8&lt;INDEX(T_EMP[START DATE],ROW($B73)-ROW($B$8)),"NE",IF(AND(INDEX(T_EMP[TERMINATION DATE],ROW($B73)-ROW($B$8))&gt;0,H$8&gt;INDEX(T_EMP[TERMINATION DATE],ROW($B73)-ROW($B$8))),"NE",IF(NOT(ISERROR(MATCH(H$8,L_HOLS,0))),"H",IF(INDEX(L_WKNDVAL,WEEKDAY(H$8,1))=1,"WKND",INDEX(T_LEAVE[LEAVE CODE],SUMPRODUCT(--(T_LEAVE[NAME]=$B73),--(T_LEAVE[DATE]&lt;=H$8),--(T_LEAVE[DATE]&gt;=H$8),ROW(T_LEAVE[LEAVE CODE]))-ROW(T_LEAVE[#Headers]))))))),"")</f>
        <v/>
      </c>
      <c r="I73" s="75" t="str">
        <f>IFERROR(IF(I$8="","NA",IF(I$8&lt;INDEX(T_EMP[START DATE],ROW($B73)-ROW($B$8)),"NE",IF(AND(INDEX(T_EMP[TERMINATION DATE],ROW($B73)-ROW($B$8))&gt;0,I$8&gt;INDEX(T_EMP[TERMINATION DATE],ROW($B73)-ROW($B$8))),"NE",IF(NOT(ISERROR(MATCH(I$8,L_HOLS,0))),"H",IF(INDEX(L_WKNDVAL,WEEKDAY(I$8,1))=1,"WKND",INDEX(T_LEAVE[LEAVE CODE],SUMPRODUCT(--(T_LEAVE[NAME]=$B73),--(T_LEAVE[DATE]&lt;=I$8),--(T_LEAVE[DATE]&gt;=I$8),ROW(T_LEAVE[LEAVE CODE]))-ROW(T_LEAVE[#Headers]))))))),"")</f>
        <v/>
      </c>
      <c r="J73" s="75" t="str">
        <f>IFERROR(IF(J$8="","NA",IF(J$8&lt;INDEX(T_EMP[START DATE],ROW($B73)-ROW($B$8)),"NE",IF(AND(INDEX(T_EMP[TERMINATION DATE],ROW($B73)-ROW($B$8))&gt;0,J$8&gt;INDEX(T_EMP[TERMINATION DATE],ROW($B73)-ROW($B$8))),"NE",IF(NOT(ISERROR(MATCH(J$8,L_HOLS,0))),"H",IF(INDEX(L_WKNDVAL,WEEKDAY(J$8,1))=1,"WKND",INDEX(T_LEAVE[LEAVE CODE],SUMPRODUCT(--(T_LEAVE[NAME]=$B73),--(T_LEAVE[DATE]&lt;=J$8),--(T_LEAVE[DATE]&gt;=J$8),ROW(T_LEAVE[LEAVE CODE]))-ROW(T_LEAVE[#Headers]))))))),"")</f>
        <v/>
      </c>
      <c r="K73" s="75" t="str">
        <f>IFERROR(IF(K$8="","NA",IF(K$8&lt;INDEX(T_EMP[START DATE],ROW($B73)-ROW($B$8)),"NE",IF(AND(INDEX(T_EMP[TERMINATION DATE],ROW($B73)-ROW($B$8))&gt;0,K$8&gt;INDEX(T_EMP[TERMINATION DATE],ROW($B73)-ROW($B$8))),"NE",IF(NOT(ISERROR(MATCH(K$8,L_HOLS,0))),"H",IF(INDEX(L_WKNDVAL,WEEKDAY(K$8,1))=1,"WKND",INDEX(T_LEAVE[LEAVE CODE],SUMPRODUCT(--(T_LEAVE[NAME]=$B73),--(T_LEAVE[DATE]&lt;=K$8),--(T_LEAVE[DATE]&gt;=K$8),ROW(T_LEAVE[LEAVE CODE]))-ROW(T_LEAVE[#Headers]))))))),"")</f>
        <v/>
      </c>
      <c r="L73" s="75" t="str">
        <f>IFERROR(IF(L$8="","NA",IF(L$8&lt;INDEX(T_EMP[START DATE],ROW($B73)-ROW($B$8)),"NE",IF(AND(INDEX(T_EMP[TERMINATION DATE],ROW($B73)-ROW($B$8))&gt;0,L$8&gt;INDEX(T_EMP[TERMINATION DATE],ROW($B73)-ROW($B$8))),"NE",IF(NOT(ISERROR(MATCH(L$8,L_HOLS,0))),"H",IF(INDEX(L_WKNDVAL,WEEKDAY(L$8,1))=1,"WKND",INDEX(T_LEAVE[LEAVE CODE],SUMPRODUCT(--(T_LEAVE[NAME]=$B73),--(T_LEAVE[DATE]&lt;=L$8),--(T_LEAVE[DATE]&gt;=L$8),ROW(T_LEAVE[LEAVE CODE]))-ROW(T_LEAVE[#Headers]))))))),"")</f>
        <v/>
      </c>
      <c r="M73" s="75" t="str">
        <f>IFERROR(IF(M$8="","NA",IF(M$8&lt;INDEX(T_EMP[START DATE],ROW($B73)-ROW($B$8)),"NE",IF(AND(INDEX(T_EMP[TERMINATION DATE],ROW($B73)-ROW($B$8))&gt;0,M$8&gt;INDEX(T_EMP[TERMINATION DATE],ROW($B73)-ROW($B$8))),"NE",IF(NOT(ISERROR(MATCH(M$8,L_HOLS,0))),"H",IF(INDEX(L_WKNDVAL,WEEKDAY(M$8,1))=1,"WKND",INDEX(T_LEAVE[LEAVE CODE],SUMPRODUCT(--(T_LEAVE[NAME]=$B73),--(T_LEAVE[DATE]&lt;=M$8),--(T_LEAVE[DATE]&gt;=M$8),ROW(T_LEAVE[LEAVE CODE]))-ROW(T_LEAVE[#Headers]))))))),"")</f>
        <v/>
      </c>
      <c r="N73" s="75" t="str">
        <f>IFERROR(IF(N$8="","NA",IF(N$8&lt;INDEX(T_EMP[START DATE],ROW($B73)-ROW($B$8)),"NE",IF(AND(INDEX(T_EMP[TERMINATION DATE],ROW($B73)-ROW($B$8))&gt;0,N$8&gt;INDEX(T_EMP[TERMINATION DATE],ROW($B73)-ROW($B$8))),"NE",IF(NOT(ISERROR(MATCH(N$8,L_HOLS,0))),"H",IF(INDEX(L_WKNDVAL,WEEKDAY(N$8,1))=1,"WKND",INDEX(T_LEAVE[LEAVE CODE],SUMPRODUCT(--(T_LEAVE[NAME]=$B73),--(T_LEAVE[DATE]&lt;=N$8),--(T_LEAVE[DATE]&gt;=N$8),ROW(T_LEAVE[LEAVE CODE]))-ROW(T_LEAVE[#Headers]))))))),"")</f>
        <v/>
      </c>
      <c r="O73" s="75" t="str">
        <f>IFERROR(IF(O$8="","NA",IF(O$8&lt;INDEX(T_EMP[START DATE],ROW($B73)-ROW($B$8)),"NE",IF(AND(INDEX(T_EMP[TERMINATION DATE],ROW($B73)-ROW($B$8))&gt;0,O$8&gt;INDEX(T_EMP[TERMINATION DATE],ROW($B73)-ROW($B$8))),"NE",IF(NOT(ISERROR(MATCH(O$8,L_HOLS,0))),"H",IF(INDEX(L_WKNDVAL,WEEKDAY(O$8,1))=1,"WKND",INDEX(T_LEAVE[LEAVE CODE],SUMPRODUCT(--(T_LEAVE[NAME]=$B73),--(T_LEAVE[DATE]&lt;=O$8),--(T_LEAVE[DATE]&gt;=O$8),ROW(T_LEAVE[LEAVE CODE]))-ROW(T_LEAVE[#Headers]))))))),"")</f>
        <v/>
      </c>
      <c r="P73" s="75" t="str">
        <f>IFERROR(IF(P$8="","NA",IF(P$8&lt;INDEX(T_EMP[START DATE],ROW($B73)-ROW($B$8)),"NE",IF(AND(INDEX(T_EMP[TERMINATION DATE],ROW($B73)-ROW($B$8))&gt;0,P$8&gt;INDEX(T_EMP[TERMINATION DATE],ROW($B73)-ROW($B$8))),"NE",IF(NOT(ISERROR(MATCH(P$8,L_HOLS,0))),"H",IF(INDEX(L_WKNDVAL,WEEKDAY(P$8,1))=1,"WKND",INDEX(T_LEAVE[LEAVE CODE],SUMPRODUCT(--(T_LEAVE[NAME]=$B73),--(T_LEAVE[DATE]&lt;=P$8),--(T_LEAVE[DATE]&gt;=P$8),ROW(T_LEAVE[LEAVE CODE]))-ROW(T_LEAVE[#Headers]))))))),"")</f>
        <v>H</v>
      </c>
      <c r="Q73" s="75" t="str">
        <f>IFERROR(IF(Q$8="","NA",IF(Q$8&lt;INDEX(T_EMP[START DATE],ROW($B73)-ROW($B$8)),"NE",IF(AND(INDEX(T_EMP[TERMINATION DATE],ROW($B73)-ROW($B$8))&gt;0,Q$8&gt;INDEX(T_EMP[TERMINATION DATE],ROW($B73)-ROW($B$8))),"NE",IF(NOT(ISERROR(MATCH(Q$8,L_HOLS,0))),"H",IF(INDEX(L_WKNDVAL,WEEKDAY(Q$8,1))=1,"WKND",INDEX(T_LEAVE[LEAVE CODE],SUMPRODUCT(--(T_LEAVE[NAME]=$B73),--(T_LEAVE[DATE]&lt;=Q$8),--(T_LEAVE[DATE]&gt;=Q$8),ROW(T_LEAVE[LEAVE CODE]))-ROW(T_LEAVE[#Headers]))))))),"")</f>
        <v/>
      </c>
      <c r="R73" s="75" t="str">
        <f>IFERROR(IF(R$8="","NA",IF(R$8&lt;INDEX(T_EMP[START DATE],ROW($B73)-ROW($B$8)),"NE",IF(AND(INDEX(T_EMP[TERMINATION DATE],ROW($B73)-ROW($B$8))&gt;0,R$8&gt;INDEX(T_EMP[TERMINATION DATE],ROW($B73)-ROW($B$8))),"NE",IF(NOT(ISERROR(MATCH(R$8,L_HOLS,0))),"H",IF(INDEX(L_WKNDVAL,WEEKDAY(R$8,1))=1,"WKND",INDEX(T_LEAVE[LEAVE CODE],SUMPRODUCT(--(T_LEAVE[NAME]=$B73),--(T_LEAVE[DATE]&lt;=R$8),--(T_LEAVE[DATE]&gt;=R$8),ROW(T_LEAVE[LEAVE CODE]))-ROW(T_LEAVE[#Headers]))))))),"")</f>
        <v/>
      </c>
      <c r="S73" s="75" t="str">
        <f>IFERROR(IF(S$8="","NA",IF(S$8&lt;INDEX(T_EMP[START DATE],ROW($B73)-ROW($B$8)),"NE",IF(AND(INDEX(T_EMP[TERMINATION DATE],ROW($B73)-ROW($B$8))&gt;0,S$8&gt;INDEX(T_EMP[TERMINATION DATE],ROW($B73)-ROW($B$8))),"NE",IF(NOT(ISERROR(MATCH(S$8,L_HOLS,0))),"H",IF(INDEX(L_WKNDVAL,WEEKDAY(S$8,1))=1,"WKND",INDEX(T_LEAVE[LEAVE CODE],SUMPRODUCT(--(T_LEAVE[NAME]=$B73),--(T_LEAVE[DATE]&lt;=S$8),--(T_LEAVE[DATE]&gt;=S$8),ROW(T_LEAVE[LEAVE CODE]))-ROW(T_LEAVE[#Headers]))))))),"")</f>
        <v/>
      </c>
      <c r="T73" s="75" t="str">
        <f>IFERROR(IF(T$8="","NA",IF(T$8&lt;INDEX(T_EMP[START DATE],ROW($B73)-ROW($B$8)),"NE",IF(AND(INDEX(T_EMP[TERMINATION DATE],ROW($B73)-ROW($B$8))&gt;0,T$8&gt;INDEX(T_EMP[TERMINATION DATE],ROW($B73)-ROW($B$8))),"NE",IF(NOT(ISERROR(MATCH(T$8,L_HOLS,0))),"H",IF(INDEX(L_WKNDVAL,WEEKDAY(T$8,1))=1,"WKND",INDEX(T_LEAVE[LEAVE CODE],SUMPRODUCT(--(T_LEAVE[NAME]=$B73),--(T_LEAVE[DATE]&lt;=T$8),--(T_LEAVE[DATE]&gt;=T$8),ROW(T_LEAVE[LEAVE CODE]))-ROW(T_LEAVE[#Headers]))))))),"")</f>
        <v/>
      </c>
      <c r="U73" s="75" t="str">
        <f>IFERROR(IF(U$8="","NA",IF(U$8&lt;INDEX(T_EMP[START DATE],ROW($B73)-ROW($B$8)),"NE",IF(AND(INDEX(T_EMP[TERMINATION DATE],ROW($B73)-ROW($B$8))&gt;0,U$8&gt;INDEX(T_EMP[TERMINATION DATE],ROW($B73)-ROW($B$8))),"NE",IF(NOT(ISERROR(MATCH(U$8,L_HOLS,0))),"H",IF(INDEX(L_WKNDVAL,WEEKDAY(U$8,1))=1,"WKND",INDEX(T_LEAVE[LEAVE CODE],SUMPRODUCT(--(T_LEAVE[NAME]=$B73),--(T_LEAVE[DATE]&lt;=U$8),--(T_LEAVE[DATE]&gt;=U$8),ROW(T_LEAVE[LEAVE CODE]))-ROW(T_LEAVE[#Headers]))))))),"")</f>
        <v/>
      </c>
      <c r="V73" s="75" t="str">
        <f>IFERROR(IF(V$8="","NA",IF(V$8&lt;INDEX(T_EMP[START DATE],ROW($B73)-ROW($B$8)),"NE",IF(AND(INDEX(T_EMP[TERMINATION DATE],ROW($B73)-ROW($B$8))&gt;0,V$8&gt;INDEX(T_EMP[TERMINATION DATE],ROW($B73)-ROW($B$8))),"NE",IF(NOT(ISERROR(MATCH(V$8,L_HOLS,0))),"H",IF(INDEX(L_WKNDVAL,WEEKDAY(V$8,1))=1,"WKND",INDEX(T_LEAVE[LEAVE CODE],SUMPRODUCT(--(T_LEAVE[NAME]=$B73),--(T_LEAVE[DATE]&lt;=V$8),--(T_LEAVE[DATE]&gt;=V$8),ROW(T_LEAVE[LEAVE CODE]))-ROW(T_LEAVE[#Headers]))))))),"")</f>
        <v/>
      </c>
      <c r="W73" s="75" t="str">
        <f>IFERROR(IF(W$8="","NA",IF(W$8&lt;INDEX(T_EMP[START DATE],ROW($B73)-ROW($B$8)),"NE",IF(AND(INDEX(T_EMP[TERMINATION DATE],ROW($B73)-ROW($B$8))&gt;0,W$8&gt;INDEX(T_EMP[TERMINATION DATE],ROW($B73)-ROW($B$8))),"NE",IF(NOT(ISERROR(MATCH(W$8,L_HOLS,0))),"H",IF(INDEX(L_WKNDVAL,WEEKDAY(W$8,1))=1,"WKND",INDEX(T_LEAVE[LEAVE CODE],SUMPRODUCT(--(T_LEAVE[NAME]=$B73),--(T_LEAVE[DATE]&lt;=W$8),--(T_LEAVE[DATE]&gt;=W$8),ROW(T_LEAVE[LEAVE CODE]))-ROW(T_LEAVE[#Headers]))))))),"")</f>
        <v/>
      </c>
      <c r="X73" s="75" t="str">
        <f>IFERROR(IF(X$8="","NA",IF(X$8&lt;INDEX(T_EMP[START DATE],ROW($B73)-ROW($B$8)),"NE",IF(AND(INDEX(T_EMP[TERMINATION DATE],ROW($B73)-ROW($B$8))&gt;0,X$8&gt;INDEX(T_EMP[TERMINATION DATE],ROW($B73)-ROW($B$8))),"NE",IF(NOT(ISERROR(MATCH(X$8,L_HOLS,0))),"H",IF(INDEX(L_WKNDVAL,WEEKDAY(X$8,1))=1,"WKND",INDEX(T_LEAVE[LEAVE CODE],SUMPRODUCT(--(T_LEAVE[NAME]=$B73),--(T_LEAVE[DATE]&lt;=X$8),--(T_LEAVE[DATE]&gt;=X$8),ROW(T_LEAVE[LEAVE CODE]))-ROW(T_LEAVE[#Headers]))))))),"")</f>
        <v/>
      </c>
      <c r="Y73" s="75" t="str">
        <f>IFERROR(IF(Y$8="","NA",IF(Y$8&lt;INDEX(T_EMP[START DATE],ROW($B73)-ROW($B$8)),"NE",IF(AND(INDEX(T_EMP[TERMINATION DATE],ROW($B73)-ROW($B$8))&gt;0,Y$8&gt;INDEX(T_EMP[TERMINATION DATE],ROW($B73)-ROW($B$8))),"NE",IF(NOT(ISERROR(MATCH(Y$8,L_HOLS,0))),"H",IF(INDEX(L_WKNDVAL,WEEKDAY(Y$8,1))=1,"WKND",INDEX(T_LEAVE[LEAVE CODE],SUMPRODUCT(--(T_LEAVE[NAME]=$B73),--(T_LEAVE[DATE]&lt;=Y$8),--(T_LEAVE[DATE]&gt;=Y$8),ROW(T_LEAVE[LEAVE CODE]))-ROW(T_LEAVE[#Headers]))))))),"")</f>
        <v/>
      </c>
      <c r="Z73" s="75" t="str">
        <f>IFERROR(IF(Z$8="","NA",IF(Z$8&lt;INDEX(T_EMP[START DATE],ROW($B73)-ROW($B$8)),"NE",IF(AND(INDEX(T_EMP[TERMINATION DATE],ROW($B73)-ROW($B$8))&gt;0,Z$8&gt;INDEX(T_EMP[TERMINATION DATE],ROW($B73)-ROW($B$8))),"NE",IF(NOT(ISERROR(MATCH(Z$8,L_HOLS,0))),"H",IF(INDEX(L_WKNDVAL,WEEKDAY(Z$8,1))=1,"WKND",INDEX(T_LEAVE[LEAVE CODE],SUMPRODUCT(--(T_LEAVE[NAME]=$B73),--(T_LEAVE[DATE]&lt;=Z$8),--(T_LEAVE[DATE]&gt;=Z$8),ROW(T_LEAVE[LEAVE CODE]))-ROW(T_LEAVE[#Headers]))))))),"")</f>
        <v/>
      </c>
      <c r="AA73" s="75" t="str">
        <f>IFERROR(IF(AA$8="","NA",IF(AA$8&lt;INDEX(T_EMP[START DATE],ROW($B73)-ROW($B$8)),"NE",IF(AND(INDEX(T_EMP[TERMINATION DATE],ROW($B73)-ROW($B$8))&gt;0,AA$8&gt;INDEX(T_EMP[TERMINATION DATE],ROW($B73)-ROW($B$8))),"NE",IF(NOT(ISERROR(MATCH(AA$8,L_HOLS,0))),"H",IF(INDEX(L_WKNDVAL,WEEKDAY(AA$8,1))=1,"WKND",INDEX(T_LEAVE[LEAVE CODE],SUMPRODUCT(--(T_LEAVE[NAME]=$B73),--(T_LEAVE[DATE]&lt;=AA$8),--(T_LEAVE[DATE]&gt;=AA$8),ROW(T_LEAVE[LEAVE CODE]))-ROW(T_LEAVE[#Headers]))))))),"")</f>
        <v/>
      </c>
      <c r="AB73" s="75" t="str">
        <f>IFERROR(IF(AB$8="","NA",IF(AB$8&lt;INDEX(T_EMP[START DATE],ROW($B73)-ROW($B$8)),"NE",IF(AND(INDEX(T_EMP[TERMINATION DATE],ROW($B73)-ROW($B$8))&gt;0,AB$8&gt;INDEX(T_EMP[TERMINATION DATE],ROW($B73)-ROW($B$8))),"NE",IF(NOT(ISERROR(MATCH(AB$8,L_HOLS,0))),"H",IF(INDEX(L_WKNDVAL,WEEKDAY(AB$8,1))=1,"WKND",INDEX(T_LEAVE[LEAVE CODE],SUMPRODUCT(--(T_LEAVE[NAME]=$B73),--(T_LEAVE[DATE]&lt;=AB$8),--(T_LEAVE[DATE]&gt;=AB$8),ROW(T_LEAVE[LEAVE CODE]))-ROW(T_LEAVE[#Headers]))))))),"")</f>
        <v/>
      </c>
      <c r="AC73" s="75" t="str">
        <f>IFERROR(IF(AC$8="","NA",IF(AC$8&lt;INDEX(T_EMP[START DATE],ROW($B73)-ROW($B$8)),"NE",IF(AND(INDEX(T_EMP[TERMINATION DATE],ROW($B73)-ROW($B$8))&gt;0,AC$8&gt;INDEX(T_EMP[TERMINATION DATE],ROW($B73)-ROW($B$8))),"NE",IF(NOT(ISERROR(MATCH(AC$8,L_HOLS,0))),"H",IF(INDEX(L_WKNDVAL,WEEKDAY(AC$8,1))=1,"WKND",INDEX(T_LEAVE[LEAVE CODE],SUMPRODUCT(--(T_LEAVE[NAME]=$B73),--(T_LEAVE[DATE]&lt;=AC$8),--(T_LEAVE[DATE]&gt;=AC$8),ROW(T_LEAVE[LEAVE CODE]))-ROW(T_LEAVE[#Headers]))))))),"")</f>
        <v/>
      </c>
      <c r="AD73" s="75" t="str">
        <f>IFERROR(IF(AD$8="","NA",IF(AD$8&lt;INDEX(T_EMP[START DATE],ROW($B73)-ROW($B$8)),"NE",IF(AND(INDEX(T_EMP[TERMINATION DATE],ROW($B73)-ROW($B$8))&gt;0,AD$8&gt;INDEX(T_EMP[TERMINATION DATE],ROW($B73)-ROW($B$8))),"NE",IF(NOT(ISERROR(MATCH(AD$8,L_HOLS,0))),"H",IF(INDEX(L_WKNDVAL,WEEKDAY(AD$8,1))=1,"WKND",INDEX(T_LEAVE[LEAVE CODE],SUMPRODUCT(--(T_LEAVE[NAME]=$B73),--(T_LEAVE[DATE]&lt;=AD$8),--(T_LEAVE[DATE]&gt;=AD$8),ROW(T_LEAVE[LEAVE CODE]))-ROW(T_LEAVE[#Headers]))))))),"")</f>
        <v/>
      </c>
      <c r="AE73" s="75" t="str">
        <f>IFERROR(IF(AE$8="","NA",IF(AE$8&lt;INDEX(T_EMP[START DATE],ROW($B73)-ROW($B$8)),"NE",IF(AND(INDEX(T_EMP[TERMINATION DATE],ROW($B73)-ROW($B$8))&gt;0,AE$8&gt;INDEX(T_EMP[TERMINATION DATE],ROW($B73)-ROW($B$8))),"NE",IF(NOT(ISERROR(MATCH(AE$8,L_HOLS,0))),"H",IF(INDEX(L_WKNDVAL,WEEKDAY(AE$8,1))=1,"WKND",INDEX(T_LEAVE[LEAVE CODE],SUMPRODUCT(--(T_LEAVE[NAME]=$B73),--(T_LEAVE[DATE]&lt;=AE$8),--(T_LEAVE[DATE]&gt;=AE$8),ROW(T_LEAVE[LEAVE CODE]))-ROW(T_LEAVE[#Headers]))))))),"")</f>
        <v/>
      </c>
      <c r="AF73" s="75" t="str">
        <f>IFERROR(IF(AF$8="","NA",IF(AF$8&lt;INDEX(T_EMP[START DATE],ROW($B73)-ROW($B$8)),"NE",IF(AND(INDEX(T_EMP[TERMINATION DATE],ROW($B73)-ROW($B$8))&gt;0,AF$8&gt;INDEX(T_EMP[TERMINATION DATE],ROW($B73)-ROW($B$8))),"NE",IF(NOT(ISERROR(MATCH(AF$8,L_HOLS,0))),"H",IF(INDEX(L_WKNDVAL,WEEKDAY(AF$8,1))=1,"WKND",INDEX(T_LEAVE[LEAVE CODE],SUMPRODUCT(--(T_LEAVE[NAME]=$B73),--(T_LEAVE[DATE]&lt;=AF$8),--(T_LEAVE[DATE]&gt;=AF$8),ROW(T_LEAVE[LEAVE CODE]))-ROW(T_LEAVE[#Headers]))))))),"")</f>
        <v/>
      </c>
      <c r="AG73" s="75" t="str">
        <f>IFERROR(IF(AG$8="","NA",IF(AG$8&lt;INDEX(T_EMP[START DATE],ROW($B73)-ROW($B$8)),"NE",IF(AND(INDEX(T_EMP[TERMINATION DATE],ROW($B73)-ROW($B$8))&gt;0,AG$8&gt;INDEX(T_EMP[TERMINATION DATE],ROW($B73)-ROW($B$8))),"NE",IF(NOT(ISERROR(MATCH(AG$8,L_HOLS,0))),"H",IF(INDEX(L_WKNDVAL,WEEKDAY(AG$8,1))=1,"WKND",INDEX(T_LEAVE[LEAVE CODE],SUMPRODUCT(--(T_LEAVE[NAME]=$B73),--(T_LEAVE[DATE]&lt;=AG$8),--(T_LEAVE[DATE]&gt;=AG$8),ROW(T_LEAVE[LEAVE CODE]))-ROW(T_LEAVE[#Headers]))))))),"")</f>
        <v/>
      </c>
      <c r="AH73" s="75" t="str">
        <f>IFERROR(IF(AH$8="","NA",IF(AH$8&lt;INDEX(T_EMP[START DATE],ROW($B73)-ROW($B$8)),"NE",IF(AND(INDEX(T_EMP[TERMINATION DATE],ROW($B73)-ROW($B$8))&gt;0,AH$8&gt;INDEX(T_EMP[TERMINATION DATE],ROW($B73)-ROW($B$8))),"NE",IF(NOT(ISERROR(MATCH(AH$8,L_HOLS,0))),"H",IF(INDEX(L_WKNDVAL,WEEKDAY(AH$8,1))=1,"WKND",INDEX(T_LEAVE[LEAVE CODE],SUMPRODUCT(--(T_LEAVE[NAME]=$B73),--(T_LEAVE[DATE]&lt;=AH$8),--(T_LEAVE[DATE]&gt;=AH$8),ROW(T_LEAVE[LEAVE CODE]))-ROW(T_LEAVE[#Headers]))))))),"")</f>
        <v/>
      </c>
      <c r="AJ73" s="88">
        <f>IF(OR($B73="",AJ$8=""),"",COUNTIFS($D73:$AH73,AJ$8)*INDEX(T_LEAVETYPE[DAY VALUE],1))</f>
        <v>0</v>
      </c>
      <c r="AK73" s="88">
        <f>IF(OR($B73="",AK$8=""),"",COUNTIFS($D73:$AH73,AK$8)*INDEX(T_LEAVETYPE[DAY VALUE],1))</f>
        <v>0</v>
      </c>
      <c r="AL73" s="88">
        <f>IF(OR($B73="",AL$8=""),"",COUNTIFS($D73:$AH73,AL$8)*INDEX(T_LEAVETYPE[DAY VALUE],1))</f>
        <v>0</v>
      </c>
      <c r="AM73" s="88">
        <f>IF(OR($B73="",AM$8=""),"",COUNTIFS($D73:$AH73,AM$8)*INDEX(T_LEAVETYPE[DAY VALUE],1))</f>
        <v>0</v>
      </c>
      <c r="AN73" s="88">
        <f>IF(OR($B73="",AN$8=""),"",COUNTIFS($D73:$AH73,AN$8)*INDEX(T_LEAVETYPE[DAY VALUE],1))</f>
        <v>0</v>
      </c>
      <c r="AO73" s="88">
        <f>IF(OR($B73="",AO$8=""),"",COUNTIFS($D73:$AH73,AO$8)*INDEX(T_LEAVETYPE[DAY VALUE],6))</f>
        <v>0</v>
      </c>
      <c r="AP73" s="88">
        <f>IF(OR($B73="",AP$8=""),"",COUNTIFS($D73:$AH73,AP$8)*INDEX(T_LEAVETYPE[DAY VALUE],7))</f>
        <v>0</v>
      </c>
      <c r="AQ73" s="88">
        <f>IF(OR($B73="",AQ$8=""),"",COUNTIFS($D73:$AH73,AQ$8)*INDEX(T_LEAVETYPE[DAY VALUE],8))</f>
        <v>0</v>
      </c>
      <c r="AR73" s="89">
        <f t="shared" si="5"/>
        <v>0</v>
      </c>
    </row>
    <row r="74" spans="1:44" x14ac:dyDescent="0.25">
      <c r="A74" s="90">
        <f t="shared" si="4"/>
        <v>66</v>
      </c>
      <c r="B74" s="74" t="str">
        <f>IFERROR(INDEX(T_EMP[NAME],ROW(B74)-ROW($B$8)),"")</f>
        <v>LIMBO, PATRICIA JOAN</v>
      </c>
      <c r="C74" s="91" t="str">
        <f>IFERROR(INDEX(T_EMP[DEPARTMENT],ROW(B74)-ROW($C$8)),"")</f>
        <v>PHARMTECH</v>
      </c>
      <c r="D74" s="75" t="str">
        <f>IFERROR(IF(D$8="","NA",IF(D$8&lt;INDEX(T_EMP[START DATE],ROW($B74)-ROW($B$8)),"NE",IF(AND(INDEX(T_EMP[TERMINATION DATE],ROW($B74)-ROW($B$8))&gt;0,D$8&gt;INDEX(T_EMP[TERMINATION DATE],ROW($B74)-ROW($B$8))),"NE",IF(NOT(ISERROR(MATCH(D$8,L_HOLS,0))),"H",IF(INDEX(L_WKNDVAL,WEEKDAY(D$8,1))=1,"WKND",INDEX(T_LEAVE[LEAVE CODE],SUMPRODUCT(--(T_LEAVE[NAME]=$B74),--(T_LEAVE[DATE]&lt;=D$8),--(T_LEAVE[DATE]&gt;=D$8),ROW(T_LEAVE[LEAVE CODE]))-ROW(T_LEAVE[#Headers]))))))),"")</f>
        <v>H</v>
      </c>
      <c r="E74" s="75" t="str">
        <f>IFERROR(IF(E$8="","NA",IF(E$8&lt;INDEX(T_EMP[START DATE],ROW($B74)-ROW($B$8)),"NE",IF(AND(INDEX(T_EMP[TERMINATION DATE],ROW($B74)-ROW($B$8))&gt;0,E$8&gt;INDEX(T_EMP[TERMINATION DATE],ROW($B74)-ROW($B$8))),"NE",IF(NOT(ISERROR(MATCH(E$8,L_HOLS,0))),"H",IF(INDEX(L_WKNDVAL,WEEKDAY(E$8,1))=1,"WKND",INDEX(T_LEAVE[LEAVE CODE],SUMPRODUCT(--(T_LEAVE[NAME]=$B74),--(T_LEAVE[DATE]&lt;=E$8),--(T_LEAVE[DATE]&gt;=E$8),ROW(T_LEAVE[LEAVE CODE]))-ROW(T_LEAVE[#Headers]))))))),"")</f>
        <v/>
      </c>
      <c r="F74" s="75" t="str">
        <f>IFERROR(IF(F$8="","NA",IF(F$8&lt;INDEX(T_EMP[START DATE],ROW($B74)-ROW($B$8)),"NE",IF(AND(INDEX(T_EMP[TERMINATION DATE],ROW($B74)-ROW($B$8))&gt;0,F$8&gt;INDEX(T_EMP[TERMINATION DATE],ROW($B74)-ROW($B$8))),"NE",IF(NOT(ISERROR(MATCH(F$8,L_HOLS,0))),"H",IF(INDEX(L_WKNDVAL,WEEKDAY(F$8,1))=1,"WKND",INDEX(T_LEAVE[LEAVE CODE],SUMPRODUCT(--(T_LEAVE[NAME]=$B74),--(T_LEAVE[DATE]&lt;=F$8),--(T_LEAVE[DATE]&gt;=F$8),ROW(T_LEAVE[LEAVE CODE]))-ROW(T_LEAVE[#Headers]))))))),"")</f>
        <v/>
      </c>
      <c r="G74" s="75" t="str">
        <f>IFERROR(IF(G$8="","NA",IF(G$8&lt;INDEX(T_EMP[START DATE],ROW($B74)-ROW($B$8)),"NE",IF(AND(INDEX(T_EMP[TERMINATION DATE],ROW($B74)-ROW($B$8))&gt;0,G$8&gt;INDEX(T_EMP[TERMINATION DATE],ROW($B74)-ROW($B$8))),"NE",IF(NOT(ISERROR(MATCH(G$8,L_HOLS,0))),"H",IF(INDEX(L_WKNDVAL,WEEKDAY(G$8,1))=1,"WKND",INDEX(T_LEAVE[LEAVE CODE],SUMPRODUCT(--(T_LEAVE[NAME]=$B74),--(T_LEAVE[DATE]&lt;=G$8),--(T_LEAVE[DATE]&gt;=G$8),ROW(T_LEAVE[LEAVE CODE]))-ROW(T_LEAVE[#Headers]))))))),"")</f>
        <v/>
      </c>
      <c r="H74" s="75" t="str">
        <f>IFERROR(IF(H$8="","NA",IF(H$8&lt;INDEX(T_EMP[START DATE],ROW($B74)-ROW($B$8)),"NE",IF(AND(INDEX(T_EMP[TERMINATION DATE],ROW($B74)-ROW($B$8))&gt;0,H$8&gt;INDEX(T_EMP[TERMINATION DATE],ROW($B74)-ROW($B$8))),"NE",IF(NOT(ISERROR(MATCH(H$8,L_HOLS,0))),"H",IF(INDEX(L_WKNDVAL,WEEKDAY(H$8,1))=1,"WKND",INDEX(T_LEAVE[LEAVE CODE],SUMPRODUCT(--(T_LEAVE[NAME]=$B74),--(T_LEAVE[DATE]&lt;=H$8),--(T_LEAVE[DATE]&gt;=H$8),ROW(T_LEAVE[LEAVE CODE]))-ROW(T_LEAVE[#Headers]))))))),"")</f>
        <v/>
      </c>
      <c r="I74" s="75" t="str">
        <f>IFERROR(IF(I$8="","NA",IF(I$8&lt;INDEX(T_EMP[START DATE],ROW($B74)-ROW($B$8)),"NE",IF(AND(INDEX(T_EMP[TERMINATION DATE],ROW($B74)-ROW($B$8))&gt;0,I$8&gt;INDEX(T_EMP[TERMINATION DATE],ROW($B74)-ROW($B$8))),"NE",IF(NOT(ISERROR(MATCH(I$8,L_HOLS,0))),"H",IF(INDEX(L_WKNDVAL,WEEKDAY(I$8,1))=1,"WKND",INDEX(T_LEAVE[LEAVE CODE],SUMPRODUCT(--(T_LEAVE[NAME]=$B74),--(T_LEAVE[DATE]&lt;=I$8),--(T_LEAVE[DATE]&gt;=I$8),ROW(T_LEAVE[LEAVE CODE]))-ROW(T_LEAVE[#Headers]))))))),"")</f>
        <v/>
      </c>
      <c r="J74" s="75" t="str">
        <f>IFERROR(IF(J$8="","NA",IF(J$8&lt;INDEX(T_EMP[START DATE],ROW($B74)-ROW($B$8)),"NE",IF(AND(INDEX(T_EMP[TERMINATION DATE],ROW($B74)-ROW($B$8))&gt;0,J$8&gt;INDEX(T_EMP[TERMINATION DATE],ROW($B74)-ROW($B$8))),"NE",IF(NOT(ISERROR(MATCH(J$8,L_HOLS,0))),"H",IF(INDEX(L_WKNDVAL,WEEKDAY(J$8,1))=1,"WKND",INDEX(T_LEAVE[LEAVE CODE],SUMPRODUCT(--(T_LEAVE[NAME]=$B74),--(T_LEAVE[DATE]&lt;=J$8),--(T_LEAVE[DATE]&gt;=J$8),ROW(T_LEAVE[LEAVE CODE]))-ROW(T_LEAVE[#Headers]))))))),"")</f>
        <v/>
      </c>
      <c r="K74" s="75" t="str">
        <f>IFERROR(IF(K$8="","NA",IF(K$8&lt;INDEX(T_EMP[START DATE],ROW($B74)-ROW($B$8)),"NE",IF(AND(INDEX(T_EMP[TERMINATION DATE],ROW($B74)-ROW($B$8))&gt;0,K$8&gt;INDEX(T_EMP[TERMINATION DATE],ROW($B74)-ROW($B$8))),"NE",IF(NOT(ISERROR(MATCH(K$8,L_HOLS,0))),"H",IF(INDEX(L_WKNDVAL,WEEKDAY(K$8,1))=1,"WKND",INDEX(T_LEAVE[LEAVE CODE],SUMPRODUCT(--(T_LEAVE[NAME]=$B74),--(T_LEAVE[DATE]&lt;=K$8),--(T_LEAVE[DATE]&gt;=K$8),ROW(T_LEAVE[LEAVE CODE]))-ROW(T_LEAVE[#Headers]))))))),"")</f>
        <v/>
      </c>
      <c r="L74" s="75" t="str">
        <f>IFERROR(IF(L$8="","NA",IF(L$8&lt;INDEX(T_EMP[START DATE],ROW($B74)-ROW($B$8)),"NE",IF(AND(INDEX(T_EMP[TERMINATION DATE],ROW($B74)-ROW($B$8))&gt;0,L$8&gt;INDEX(T_EMP[TERMINATION DATE],ROW($B74)-ROW($B$8))),"NE",IF(NOT(ISERROR(MATCH(L$8,L_HOLS,0))),"H",IF(INDEX(L_WKNDVAL,WEEKDAY(L$8,1))=1,"WKND",INDEX(T_LEAVE[LEAVE CODE],SUMPRODUCT(--(T_LEAVE[NAME]=$B74),--(T_LEAVE[DATE]&lt;=L$8),--(T_LEAVE[DATE]&gt;=L$8),ROW(T_LEAVE[LEAVE CODE]))-ROW(T_LEAVE[#Headers]))))))),"")</f>
        <v/>
      </c>
      <c r="M74" s="75" t="str">
        <f>IFERROR(IF(M$8="","NA",IF(M$8&lt;INDEX(T_EMP[START DATE],ROW($B74)-ROW($B$8)),"NE",IF(AND(INDEX(T_EMP[TERMINATION DATE],ROW($B74)-ROW($B$8))&gt;0,M$8&gt;INDEX(T_EMP[TERMINATION DATE],ROW($B74)-ROW($B$8))),"NE",IF(NOT(ISERROR(MATCH(M$8,L_HOLS,0))),"H",IF(INDEX(L_WKNDVAL,WEEKDAY(M$8,1))=1,"WKND",INDEX(T_LEAVE[LEAVE CODE],SUMPRODUCT(--(T_LEAVE[NAME]=$B74),--(T_LEAVE[DATE]&lt;=M$8),--(T_LEAVE[DATE]&gt;=M$8),ROW(T_LEAVE[LEAVE CODE]))-ROW(T_LEAVE[#Headers]))))))),"")</f>
        <v/>
      </c>
      <c r="N74" s="75" t="str">
        <f>IFERROR(IF(N$8="","NA",IF(N$8&lt;INDEX(T_EMP[START DATE],ROW($B74)-ROW($B$8)),"NE",IF(AND(INDEX(T_EMP[TERMINATION DATE],ROW($B74)-ROW($B$8))&gt;0,N$8&gt;INDEX(T_EMP[TERMINATION DATE],ROW($B74)-ROW($B$8))),"NE",IF(NOT(ISERROR(MATCH(N$8,L_HOLS,0))),"H",IF(INDEX(L_WKNDVAL,WEEKDAY(N$8,1))=1,"WKND",INDEX(T_LEAVE[LEAVE CODE],SUMPRODUCT(--(T_LEAVE[NAME]=$B74),--(T_LEAVE[DATE]&lt;=N$8),--(T_LEAVE[DATE]&gt;=N$8),ROW(T_LEAVE[LEAVE CODE]))-ROW(T_LEAVE[#Headers]))))))),"")</f>
        <v/>
      </c>
      <c r="O74" s="75" t="str">
        <f>IFERROR(IF(O$8="","NA",IF(O$8&lt;INDEX(T_EMP[START DATE],ROW($B74)-ROW($B$8)),"NE",IF(AND(INDEX(T_EMP[TERMINATION DATE],ROW($B74)-ROW($B$8))&gt;0,O$8&gt;INDEX(T_EMP[TERMINATION DATE],ROW($B74)-ROW($B$8))),"NE",IF(NOT(ISERROR(MATCH(O$8,L_HOLS,0))),"H",IF(INDEX(L_WKNDVAL,WEEKDAY(O$8,1))=1,"WKND",INDEX(T_LEAVE[LEAVE CODE],SUMPRODUCT(--(T_LEAVE[NAME]=$B74),--(T_LEAVE[DATE]&lt;=O$8),--(T_LEAVE[DATE]&gt;=O$8),ROW(T_LEAVE[LEAVE CODE]))-ROW(T_LEAVE[#Headers]))))))),"")</f>
        <v/>
      </c>
      <c r="P74" s="75" t="str">
        <f>IFERROR(IF(P$8="","NA",IF(P$8&lt;INDEX(T_EMP[START DATE],ROW($B74)-ROW($B$8)),"NE",IF(AND(INDEX(T_EMP[TERMINATION DATE],ROW($B74)-ROW($B$8))&gt;0,P$8&gt;INDEX(T_EMP[TERMINATION DATE],ROW($B74)-ROW($B$8))),"NE",IF(NOT(ISERROR(MATCH(P$8,L_HOLS,0))),"H",IF(INDEX(L_WKNDVAL,WEEKDAY(P$8,1))=1,"WKND",INDEX(T_LEAVE[LEAVE CODE],SUMPRODUCT(--(T_LEAVE[NAME]=$B74),--(T_LEAVE[DATE]&lt;=P$8),--(T_LEAVE[DATE]&gt;=P$8),ROW(T_LEAVE[LEAVE CODE]))-ROW(T_LEAVE[#Headers]))))))),"")</f>
        <v>H</v>
      </c>
      <c r="Q74" s="75" t="str">
        <f>IFERROR(IF(Q$8="","NA",IF(Q$8&lt;INDEX(T_EMP[START DATE],ROW($B74)-ROW($B$8)),"NE",IF(AND(INDEX(T_EMP[TERMINATION DATE],ROW($B74)-ROW($B$8))&gt;0,Q$8&gt;INDEX(T_EMP[TERMINATION DATE],ROW($B74)-ROW($B$8))),"NE",IF(NOT(ISERROR(MATCH(Q$8,L_HOLS,0))),"H",IF(INDEX(L_WKNDVAL,WEEKDAY(Q$8,1))=1,"WKND",INDEX(T_LEAVE[LEAVE CODE],SUMPRODUCT(--(T_LEAVE[NAME]=$B74),--(T_LEAVE[DATE]&lt;=Q$8),--(T_LEAVE[DATE]&gt;=Q$8),ROW(T_LEAVE[LEAVE CODE]))-ROW(T_LEAVE[#Headers]))))))),"")</f>
        <v/>
      </c>
      <c r="R74" s="75" t="str">
        <f>IFERROR(IF(R$8="","NA",IF(R$8&lt;INDEX(T_EMP[START DATE],ROW($B74)-ROW($B$8)),"NE",IF(AND(INDEX(T_EMP[TERMINATION DATE],ROW($B74)-ROW($B$8))&gt;0,R$8&gt;INDEX(T_EMP[TERMINATION DATE],ROW($B74)-ROW($B$8))),"NE",IF(NOT(ISERROR(MATCH(R$8,L_HOLS,0))),"H",IF(INDEX(L_WKNDVAL,WEEKDAY(R$8,1))=1,"WKND",INDEX(T_LEAVE[LEAVE CODE],SUMPRODUCT(--(T_LEAVE[NAME]=$B74),--(T_LEAVE[DATE]&lt;=R$8),--(T_LEAVE[DATE]&gt;=R$8),ROW(T_LEAVE[LEAVE CODE]))-ROW(T_LEAVE[#Headers]))))))),"")</f>
        <v/>
      </c>
      <c r="S74" s="75" t="str">
        <f>IFERROR(IF(S$8="","NA",IF(S$8&lt;INDEX(T_EMP[START DATE],ROW($B74)-ROW($B$8)),"NE",IF(AND(INDEX(T_EMP[TERMINATION DATE],ROW($B74)-ROW($B$8))&gt;0,S$8&gt;INDEX(T_EMP[TERMINATION DATE],ROW($B74)-ROW($B$8))),"NE",IF(NOT(ISERROR(MATCH(S$8,L_HOLS,0))),"H",IF(INDEX(L_WKNDVAL,WEEKDAY(S$8,1))=1,"WKND",INDEX(T_LEAVE[LEAVE CODE],SUMPRODUCT(--(T_LEAVE[NAME]=$B74),--(T_LEAVE[DATE]&lt;=S$8),--(T_LEAVE[DATE]&gt;=S$8),ROW(T_LEAVE[LEAVE CODE]))-ROW(T_LEAVE[#Headers]))))))),"")</f>
        <v/>
      </c>
      <c r="T74" s="75" t="str">
        <f>IFERROR(IF(T$8="","NA",IF(T$8&lt;INDEX(T_EMP[START DATE],ROW($B74)-ROW($B$8)),"NE",IF(AND(INDEX(T_EMP[TERMINATION DATE],ROW($B74)-ROW($B$8))&gt;0,T$8&gt;INDEX(T_EMP[TERMINATION DATE],ROW($B74)-ROW($B$8))),"NE",IF(NOT(ISERROR(MATCH(T$8,L_HOLS,0))),"H",IF(INDEX(L_WKNDVAL,WEEKDAY(T$8,1))=1,"WKND",INDEX(T_LEAVE[LEAVE CODE],SUMPRODUCT(--(T_LEAVE[NAME]=$B74),--(T_LEAVE[DATE]&lt;=T$8),--(T_LEAVE[DATE]&gt;=T$8),ROW(T_LEAVE[LEAVE CODE]))-ROW(T_LEAVE[#Headers]))))))),"")</f>
        <v/>
      </c>
      <c r="U74" s="75" t="str">
        <f>IFERROR(IF(U$8="","NA",IF(U$8&lt;INDEX(T_EMP[START DATE],ROW($B74)-ROW($B$8)),"NE",IF(AND(INDEX(T_EMP[TERMINATION DATE],ROW($B74)-ROW($B$8))&gt;0,U$8&gt;INDEX(T_EMP[TERMINATION DATE],ROW($B74)-ROW($B$8))),"NE",IF(NOT(ISERROR(MATCH(U$8,L_HOLS,0))),"H",IF(INDEX(L_WKNDVAL,WEEKDAY(U$8,1))=1,"WKND",INDEX(T_LEAVE[LEAVE CODE],SUMPRODUCT(--(T_LEAVE[NAME]=$B74),--(T_LEAVE[DATE]&lt;=U$8),--(T_LEAVE[DATE]&gt;=U$8),ROW(T_LEAVE[LEAVE CODE]))-ROW(T_LEAVE[#Headers]))))))),"")</f>
        <v/>
      </c>
      <c r="V74" s="75" t="str">
        <f>IFERROR(IF(V$8="","NA",IF(V$8&lt;INDEX(T_EMP[START DATE],ROW($B74)-ROW($B$8)),"NE",IF(AND(INDEX(T_EMP[TERMINATION DATE],ROW($B74)-ROW($B$8))&gt;0,V$8&gt;INDEX(T_EMP[TERMINATION DATE],ROW($B74)-ROW($B$8))),"NE",IF(NOT(ISERROR(MATCH(V$8,L_HOLS,0))),"H",IF(INDEX(L_WKNDVAL,WEEKDAY(V$8,1))=1,"WKND",INDEX(T_LEAVE[LEAVE CODE],SUMPRODUCT(--(T_LEAVE[NAME]=$B74),--(T_LEAVE[DATE]&lt;=V$8),--(T_LEAVE[DATE]&gt;=V$8),ROW(T_LEAVE[LEAVE CODE]))-ROW(T_LEAVE[#Headers]))))))),"")</f>
        <v/>
      </c>
      <c r="W74" s="75" t="str">
        <f>IFERROR(IF(W$8="","NA",IF(W$8&lt;INDEX(T_EMP[START DATE],ROW($B74)-ROW($B$8)),"NE",IF(AND(INDEX(T_EMP[TERMINATION DATE],ROW($B74)-ROW($B$8))&gt;0,W$8&gt;INDEX(T_EMP[TERMINATION DATE],ROW($B74)-ROW($B$8))),"NE",IF(NOT(ISERROR(MATCH(W$8,L_HOLS,0))),"H",IF(INDEX(L_WKNDVAL,WEEKDAY(W$8,1))=1,"WKND",INDEX(T_LEAVE[LEAVE CODE],SUMPRODUCT(--(T_LEAVE[NAME]=$B74),--(T_LEAVE[DATE]&lt;=W$8),--(T_LEAVE[DATE]&gt;=W$8),ROW(T_LEAVE[LEAVE CODE]))-ROW(T_LEAVE[#Headers]))))))),"")</f>
        <v/>
      </c>
      <c r="X74" s="75" t="str">
        <f>IFERROR(IF(X$8="","NA",IF(X$8&lt;INDEX(T_EMP[START DATE],ROW($B74)-ROW($B$8)),"NE",IF(AND(INDEX(T_EMP[TERMINATION DATE],ROW($B74)-ROW($B$8))&gt;0,X$8&gt;INDEX(T_EMP[TERMINATION DATE],ROW($B74)-ROW($B$8))),"NE",IF(NOT(ISERROR(MATCH(X$8,L_HOLS,0))),"H",IF(INDEX(L_WKNDVAL,WEEKDAY(X$8,1))=1,"WKND",INDEX(T_LEAVE[LEAVE CODE],SUMPRODUCT(--(T_LEAVE[NAME]=$B74),--(T_LEAVE[DATE]&lt;=X$8),--(T_LEAVE[DATE]&gt;=X$8),ROW(T_LEAVE[LEAVE CODE]))-ROW(T_LEAVE[#Headers]))))))),"")</f>
        <v/>
      </c>
      <c r="Y74" s="75" t="str">
        <f>IFERROR(IF(Y$8="","NA",IF(Y$8&lt;INDEX(T_EMP[START DATE],ROW($B74)-ROW($B$8)),"NE",IF(AND(INDEX(T_EMP[TERMINATION DATE],ROW($B74)-ROW($B$8))&gt;0,Y$8&gt;INDEX(T_EMP[TERMINATION DATE],ROW($B74)-ROW($B$8))),"NE",IF(NOT(ISERROR(MATCH(Y$8,L_HOLS,0))),"H",IF(INDEX(L_WKNDVAL,WEEKDAY(Y$8,1))=1,"WKND",INDEX(T_LEAVE[LEAVE CODE],SUMPRODUCT(--(T_LEAVE[NAME]=$B74),--(T_LEAVE[DATE]&lt;=Y$8),--(T_LEAVE[DATE]&gt;=Y$8),ROW(T_LEAVE[LEAVE CODE]))-ROW(T_LEAVE[#Headers]))))))),"")</f>
        <v/>
      </c>
      <c r="Z74" s="75" t="str">
        <f>IFERROR(IF(Z$8="","NA",IF(Z$8&lt;INDEX(T_EMP[START DATE],ROW($B74)-ROW($B$8)),"NE",IF(AND(INDEX(T_EMP[TERMINATION DATE],ROW($B74)-ROW($B$8))&gt;0,Z$8&gt;INDEX(T_EMP[TERMINATION DATE],ROW($B74)-ROW($B$8))),"NE",IF(NOT(ISERROR(MATCH(Z$8,L_HOLS,0))),"H",IF(INDEX(L_WKNDVAL,WEEKDAY(Z$8,1))=1,"WKND",INDEX(T_LEAVE[LEAVE CODE],SUMPRODUCT(--(T_LEAVE[NAME]=$B74),--(T_LEAVE[DATE]&lt;=Z$8),--(T_LEAVE[DATE]&gt;=Z$8),ROW(T_LEAVE[LEAVE CODE]))-ROW(T_LEAVE[#Headers]))))))),"")</f>
        <v/>
      </c>
      <c r="AA74" s="75" t="str">
        <f>IFERROR(IF(AA$8="","NA",IF(AA$8&lt;INDEX(T_EMP[START DATE],ROW($B74)-ROW($B$8)),"NE",IF(AND(INDEX(T_EMP[TERMINATION DATE],ROW($B74)-ROW($B$8))&gt;0,AA$8&gt;INDEX(T_EMP[TERMINATION DATE],ROW($B74)-ROW($B$8))),"NE",IF(NOT(ISERROR(MATCH(AA$8,L_HOLS,0))),"H",IF(INDEX(L_WKNDVAL,WEEKDAY(AA$8,1))=1,"WKND",INDEX(T_LEAVE[LEAVE CODE],SUMPRODUCT(--(T_LEAVE[NAME]=$B74),--(T_LEAVE[DATE]&lt;=AA$8),--(T_LEAVE[DATE]&gt;=AA$8),ROW(T_LEAVE[LEAVE CODE]))-ROW(T_LEAVE[#Headers]))))))),"")</f>
        <v/>
      </c>
      <c r="AB74" s="75" t="str">
        <f>IFERROR(IF(AB$8="","NA",IF(AB$8&lt;INDEX(T_EMP[START DATE],ROW($B74)-ROW($B$8)),"NE",IF(AND(INDEX(T_EMP[TERMINATION DATE],ROW($B74)-ROW($B$8))&gt;0,AB$8&gt;INDEX(T_EMP[TERMINATION DATE],ROW($B74)-ROW($B$8))),"NE",IF(NOT(ISERROR(MATCH(AB$8,L_HOLS,0))),"H",IF(INDEX(L_WKNDVAL,WEEKDAY(AB$8,1))=1,"WKND",INDEX(T_LEAVE[LEAVE CODE],SUMPRODUCT(--(T_LEAVE[NAME]=$B74),--(T_LEAVE[DATE]&lt;=AB$8),--(T_LEAVE[DATE]&gt;=AB$8),ROW(T_LEAVE[LEAVE CODE]))-ROW(T_LEAVE[#Headers]))))))),"")</f>
        <v/>
      </c>
      <c r="AC74" s="75" t="str">
        <f>IFERROR(IF(AC$8="","NA",IF(AC$8&lt;INDEX(T_EMP[START DATE],ROW($B74)-ROW($B$8)),"NE",IF(AND(INDEX(T_EMP[TERMINATION DATE],ROW($B74)-ROW($B$8))&gt;0,AC$8&gt;INDEX(T_EMP[TERMINATION DATE],ROW($B74)-ROW($B$8))),"NE",IF(NOT(ISERROR(MATCH(AC$8,L_HOLS,0))),"H",IF(INDEX(L_WKNDVAL,WEEKDAY(AC$8,1))=1,"WKND",INDEX(T_LEAVE[LEAVE CODE],SUMPRODUCT(--(T_LEAVE[NAME]=$B74),--(T_LEAVE[DATE]&lt;=AC$8),--(T_LEAVE[DATE]&gt;=AC$8),ROW(T_LEAVE[LEAVE CODE]))-ROW(T_LEAVE[#Headers]))))))),"")</f>
        <v/>
      </c>
      <c r="AD74" s="75" t="str">
        <f>IFERROR(IF(AD$8="","NA",IF(AD$8&lt;INDEX(T_EMP[START DATE],ROW($B74)-ROW($B$8)),"NE",IF(AND(INDEX(T_EMP[TERMINATION DATE],ROW($B74)-ROW($B$8))&gt;0,AD$8&gt;INDEX(T_EMP[TERMINATION DATE],ROW($B74)-ROW($B$8))),"NE",IF(NOT(ISERROR(MATCH(AD$8,L_HOLS,0))),"H",IF(INDEX(L_WKNDVAL,WEEKDAY(AD$8,1))=1,"WKND",INDEX(T_LEAVE[LEAVE CODE],SUMPRODUCT(--(T_LEAVE[NAME]=$B74),--(T_LEAVE[DATE]&lt;=AD$8),--(T_LEAVE[DATE]&gt;=AD$8),ROW(T_LEAVE[LEAVE CODE]))-ROW(T_LEAVE[#Headers]))))))),"")</f>
        <v/>
      </c>
      <c r="AE74" s="75" t="str">
        <f>IFERROR(IF(AE$8="","NA",IF(AE$8&lt;INDEX(T_EMP[START DATE],ROW($B74)-ROW($B$8)),"NE",IF(AND(INDEX(T_EMP[TERMINATION DATE],ROW($B74)-ROW($B$8))&gt;0,AE$8&gt;INDEX(T_EMP[TERMINATION DATE],ROW($B74)-ROW($B$8))),"NE",IF(NOT(ISERROR(MATCH(AE$8,L_HOLS,0))),"H",IF(INDEX(L_WKNDVAL,WEEKDAY(AE$8,1))=1,"WKND",INDEX(T_LEAVE[LEAVE CODE],SUMPRODUCT(--(T_LEAVE[NAME]=$B74),--(T_LEAVE[DATE]&lt;=AE$8),--(T_LEAVE[DATE]&gt;=AE$8),ROW(T_LEAVE[LEAVE CODE]))-ROW(T_LEAVE[#Headers]))))))),"")</f>
        <v/>
      </c>
      <c r="AF74" s="75" t="str">
        <f>IFERROR(IF(AF$8="","NA",IF(AF$8&lt;INDEX(T_EMP[START DATE],ROW($B74)-ROW($B$8)),"NE",IF(AND(INDEX(T_EMP[TERMINATION DATE],ROW($B74)-ROW($B$8))&gt;0,AF$8&gt;INDEX(T_EMP[TERMINATION DATE],ROW($B74)-ROW($B$8))),"NE",IF(NOT(ISERROR(MATCH(AF$8,L_HOLS,0))),"H",IF(INDEX(L_WKNDVAL,WEEKDAY(AF$8,1))=1,"WKND",INDEX(T_LEAVE[LEAVE CODE],SUMPRODUCT(--(T_LEAVE[NAME]=$B74),--(T_LEAVE[DATE]&lt;=AF$8),--(T_LEAVE[DATE]&gt;=AF$8),ROW(T_LEAVE[LEAVE CODE]))-ROW(T_LEAVE[#Headers]))))))),"")</f>
        <v/>
      </c>
      <c r="AG74" s="75" t="str">
        <f>IFERROR(IF(AG$8="","NA",IF(AG$8&lt;INDEX(T_EMP[START DATE],ROW($B74)-ROW($B$8)),"NE",IF(AND(INDEX(T_EMP[TERMINATION DATE],ROW($B74)-ROW($B$8))&gt;0,AG$8&gt;INDEX(T_EMP[TERMINATION DATE],ROW($B74)-ROW($B$8))),"NE",IF(NOT(ISERROR(MATCH(AG$8,L_HOLS,0))),"H",IF(INDEX(L_WKNDVAL,WEEKDAY(AG$8,1))=1,"WKND",INDEX(T_LEAVE[LEAVE CODE],SUMPRODUCT(--(T_LEAVE[NAME]=$B74),--(T_LEAVE[DATE]&lt;=AG$8),--(T_LEAVE[DATE]&gt;=AG$8),ROW(T_LEAVE[LEAVE CODE]))-ROW(T_LEAVE[#Headers]))))))),"")</f>
        <v/>
      </c>
      <c r="AH74" s="75" t="str">
        <f>IFERROR(IF(AH$8="","NA",IF(AH$8&lt;INDEX(T_EMP[START DATE],ROW($B74)-ROW($B$8)),"NE",IF(AND(INDEX(T_EMP[TERMINATION DATE],ROW($B74)-ROW($B$8))&gt;0,AH$8&gt;INDEX(T_EMP[TERMINATION DATE],ROW($B74)-ROW($B$8))),"NE",IF(NOT(ISERROR(MATCH(AH$8,L_HOLS,0))),"H",IF(INDEX(L_WKNDVAL,WEEKDAY(AH$8,1))=1,"WKND",INDEX(T_LEAVE[LEAVE CODE],SUMPRODUCT(--(T_LEAVE[NAME]=$B74),--(T_LEAVE[DATE]&lt;=AH$8),--(T_LEAVE[DATE]&gt;=AH$8),ROW(T_LEAVE[LEAVE CODE]))-ROW(T_LEAVE[#Headers]))))))),"")</f>
        <v/>
      </c>
      <c r="AJ74" s="88">
        <f>IF(OR($B74="",AJ$8=""),"",COUNTIFS($D74:$AH74,AJ$8)*INDEX(T_LEAVETYPE[DAY VALUE],1))</f>
        <v>0</v>
      </c>
      <c r="AK74" s="88">
        <f>IF(OR($B74="",AK$8=""),"",COUNTIFS($D74:$AH74,AK$8)*INDEX(T_LEAVETYPE[DAY VALUE],1))</f>
        <v>0</v>
      </c>
      <c r="AL74" s="88">
        <f>IF(OR($B74="",AL$8=""),"",COUNTIFS($D74:$AH74,AL$8)*INDEX(T_LEAVETYPE[DAY VALUE],1))</f>
        <v>0</v>
      </c>
      <c r="AM74" s="88">
        <f>IF(OR($B74="",AM$8=""),"",COUNTIFS($D74:$AH74,AM$8)*INDEX(T_LEAVETYPE[DAY VALUE],1))</f>
        <v>0</v>
      </c>
      <c r="AN74" s="88">
        <f>IF(OR($B74="",AN$8=""),"",COUNTIFS($D74:$AH74,AN$8)*INDEX(T_LEAVETYPE[DAY VALUE],1))</f>
        <v>0</v>
      </c>
      <c r="AO74" s="88">
        <f>IF(OR($B74="",AO$8=""),"",COUNTIFS($D74:$AH74,AO$8)*INDEX(T_LEAVETYPE[DAY VALUE],6))</f>
        <v>0</v>
      </c>
      <c r="AP74" s="88">
        <f>IF(OR($B74="",AP$8=""),"",COUNTIFS($D74:$AH74,AP$8)*INDEX(T_LEAVETYPE[DAY VALUE],7))</f>
        <v>0</v>
      </c>
      <c r="AQ74" s="88">
        <f>IF(OR($B74="",AQ$8=""),"",COUNTIFS($D74:$AH74,AQ$8)*INDEX(T_LEAVETYPE[DAY VALUE],8))</f>
        <v>0</v>
      </c>
      <c r="AR74" s="89">
        <f t="shared" si="5"/>
        <v>0</v>
      </c>
    </row>
    <row r="75" spans="1:44" x14ac:dyDescent="0.25">
      <c r="A75" s="90">
        <f t="shared" si="4"/>
        <v>67</v>
      </c>
      <c r="B75" s="74" t="str">
        <f>IFERROR(INDEX(T_EMP[NAME],ROW(B75)-ROW($B$8)),"")</f>
        <v>LLANETA, SWEDEN RICHELE</v>
      </c>
      <c r="C75" s="91" t="str">
        <f>IFERROR(INDEX(T_EMP[DEPARTMENT],ROW(B75)-ROW($C$8)),"")</f>
        <v>PHARMTECH</v>
      </c>
      <c r="D75" s="75" t="str">
        <f>IFERROR(IF(D$8="","NA",IF(D$8&lt;INDEX(T_EMP[START DATE],ROW($B75)-ROW($B$8)),"NE",IF(AND(INDEX(T_EMP[TERMINATION DATE],ROW($B75)-ROW($B$8))&gt;0,D$8&gt;INDEX(T_EMP[TERMINATION DATE],ROW($B75)-ROW($B$8))),"NE",IF(NOT(ISERROR(MATCH(D$8,L_HOLS,0))),"H",IF(INDEX(L_WKNDVAL,WEEKDAY(D$8,1))=1,"WKND",INDEX(T_LEAVE[LEAVE CODE],SUMPRODUCT(--(T_LEAVE[NAME]=$B75),--(T_LEAVE[DATE]&lt;=D$8),--(T_LEAVE[DATE]&gt;=D$8),ROW(T_LEAVE[LEAVE CODE]))-ROW(T_LEAVE[#Headers]))))))),"")</f>
        <v>H</v>
      </c>
      <c r="E75" s="75" t="str">
        <f>IFERROR(IF(E$8="","NA",IF(E$8&lt;INDEX(T_EMP[START DATE],ROW($B75)-ROW($B$8)),"NE",IF(AND(INDEX(T_EMP[TERMINATION DATE],ROW($B75)-ROW($B$8))&gt;0,E$8&gt;INDEX(T_EMP[TERMINATION DATE],ROW($B75)-ROW($B$8))),"NE",IF(NOT(ISERROR(MATCH(E$8,L_HOLS,0))),"H",IF(INDEX(L_WKNDVAL,WEEKDAY(E$8,1))=1,"WKND",INDEX(T_LEAVE[LEAVE CODE],SUMPRODUCT(--(T_LEAVE[NAME]=$B75),--(T_LEAVE[DATE]&lt;=E$8),--(T_LEAVE[DATE]&gt;=E$8),ROW(T_LEAVE[LEAVE CODE]))-ROW(T_LEAVE[#Headers]))))))),"")</f>
        <v/>
      </c>
      <c r="F75" s="75" t="str">
        <f>IFERROR(IF(F$8="","NA",IF(F$8&lt;INDEX(T_EMP[START DATE],ROW($B75)-ROW($B$8)),"NE",IF(AND(INDEX(T_EMP[TERMINATION DATE],ROW($B75)-ROW($B$8))&gt;0,F$8&gt;INDEX(T_EMP[TERMINATION DATE],ROW($B75)-ROW($B$8))),"NE",IF(NOT(ISERROR(MATCH(F$8,L_HOLS,0))),"H",IF(INDEX(L_WKNDVAL,WEEKDAY(F$8,1))=1,"WKND",INDEX(T_LEAVE[LEAVE CODE],SUMPRODUCT(--(T_LEAVE[NAME]=$B75),--(T_LEAVE[DATE]&lt;=F$8),--(T_LEAVE[DATE]&gt;=F$8),ROW(T_LEAVE[LEAVE CODE]))-ROW(T_LEAVE[#Headers]))))))),"")</f>
        <v/>
      </c>
      <c r="G75" s="75" t="str">
        <f>IFERROR(IF(G$8="","NA",IF(G$8&lt;INDEX(T_EMP[START DATE],ROW($B75)-ROW($B$8)),"NE",IF(AND(INDEX(T_EMP[TERMINATION DATE],ROW($B75)-ROW($B$8))&gt;0,G$8&gt;INDEX(T_EMP[TERMINATION DATE],ROW($B75)-ROW($B$8))),"NE",IF(NOT(ISERROR(MATCH(G$8,L_HOLS,0))),"H",IF(INDEX(L_WKNDVAL,WEEKDAY(G$8,1))=1,"WKND",INDEX(T_LEAVE[LEAVE CODE],SUMPRODUCT(--(T_LEAVE[NAME]=$B75),--(T_LEAVE[DATE]&lt;=G$8),--(T_LEAVE[DATE]&gt;=G$8),ROW(T_LEAVE[LEAVE CODE]))-ROW(T_LEAVE[#Headers]))))))),"")</f>
        <v/>
      </c>
      <c r="H75" s="75" t="str">
        <f>IFERROR(IF(H$8="","NA",IF(H$8&lt;INDEX(T_EMP[START DATE],ROW($B75)-ROW($B$8)),"NE",IF(AND(INDEX(T_EMP[TERMINATION DATE],ROW($B75)-ROW($B$8))&gt;0,H$8&gt;INDEX(T_EMP[TERMINATION DATE],ROW($B75)-ROW($B$8))),"NE",IF(NOT(ISERROR(MATCH(H$8,L_HOLS,0))),"H",IF(INDEX(L_WKNDVAL,WEEKDAY(H$8,1))=1,"WKND",INDEX(T_LEAVE[LEAVE CODE],SUMPRODUCT(--(T_LEAVE[NAME]=$B75),--(T_LEAVE[DATE]&lt;=H$8),--(T_LEAVE[DATE]&gt;=H$8),ROW(T_LEAVE[LEAVE CODE]))-ROW(T_LEAVE[#Headers]))))))),"")</f>
        <v/>
      </c>
      <c r="I75" s="75" t="str">
        <f>IFERROR(IF(I$8="","NA",IF(I$8&lt;INDEX(T_EMP[START DATE],ROW($B75)-ROW($B$8)),"NE",IF(AND(INDEX(T_EMP[TERMINATION DATE],ROW($B75)-ROW($B$8))&gt;0,I$8&gt;INDEX(T_EMP[TERMINATION DATE],ROW($B75)-ROW($B$8))),"NE",IF(NOT(ISERROR(MATCH(I$8,L_HOLS,0))),"H",IF(INDEX(L_WKNDVAL,WEEKDAY(I$8,1))=1,"WKND",INDEX(T_LEAVE[LEAVE CODE],SUMPRODUCT(--(T_LEAVE[NAME]=$B75),--(T_LEAVE[DATE]&lt;=I$8),--(T_LEAVE[DATE]&gt;=I$8),ROW(T_LEAVE[LEAVE CODE]))-ROW(T_LEAVE[#Headers]))))))),"")</f>
        <v/>
      </c>
      <c r="J75" s="75" t="str">
        <f>IFERROR(IF(J$8="","NA",IF(J$8&lt;INDEX(T_EMP[START DATE],ROW($B75)-ROW($B$8)),"NE",IF(AND(INDEX(T_EMP[TERMINATION DATE],ROW($B75)-ROW($B$8))&gt;0,J$8&gt;INDEX(T_EMP[TERMINATION DATE],ROW($B75)-ROW($B$8))),"NE",IF(NOT(ISERROR(MATCH(J$8,L_HOLS,0))),"H",IF(INDEX(L_WKNDVAL,WEEKDAY(J$8,1))=1,"WKND",INDEX(T_LEAVE[LEAVE CODE],SUMPRODUCT(--(T_LEAVE[NAME]=$B75),--(T_LEAVE[DATE]&lt;=J$8),--(T_LEAVE[DATE]&gt;=J$8),ROW(T_LEAVE[LEAVE CODE]))-ROW(T_LEAVE[#Headers]))))))),"")</f>
        <v/>
      </c>
      <c r="K75" s="75" t="str">
        <f>IFERROR(IF(K$8="","NA",IF(K$8&lt;INDEX(T_EMP[START DATE],ROW($B75)-ROW($B$8)),"NE",IF(AND(INDEX(T_EMP[TERMINATION DATE],ROW($B75)-ROW($B$8))&gt;0,K$8&gt;INDEX(T_EMP[TERMINATION DATE],ROW($B75)-ROW($B$8))),"NE",IF(NOT(ISERROR(MATCH(K$8,L_HOLS,0))),"H",IF(INDEX(L_WKNDVAL,WEEKDAY(K$8,1))=1,"WKND",INDEX(T_LEAVE[LEAVE CODE],SUMPRODUCT(--(T_LEAVE[NAME]=$B75),--(T_LEAVE[DATE]&lt;=K$8),--(T_LEAVE[DATE]&gt;=K$8),ROW(T_LEAVE[LEAVE CODE]))-ROW(T_LEAVE[#Headers]))))))),"")</f>
        <v/>
      </c>
      <c r="L75" s="75" t="str">
        <f>IFERROR(IF(L$8="","NA",IF(L$8&lt;INDEX(T_EMP[START DATE],ROW($B75)-ROW($B$8)),"NE",IF(AND(INDEX(T_EMP[TERMINATION DATE],ROW($B75)-ROW($B$8))&gt;0,L$8&gt;INDEX(T_EMP[TERMINATION DATE],ROW($B75)-ROW($B$8))),"NE",IF(NOT(ISERROR(MATCH(L$8,L_HOLS,0))),"H",IF(INDEX(L_WKNDVAL,WEEKDAY(L$8,1))=1,"WKND",INDEX(T_LEAVE[LEAVE CODE],SUMPRODUCT(--(T_LEAVE[NAME]=$B75),--(T_LEAVE[DATE]&lt;=L$8),--(T_LEAVE[DATE]&gt;=L$8),ROW(T_LEAVE[LEAVE CODE]))-ROW(T_LEAVE[#Headers]))))))),"")</f>
        <v/>
      </c>
      <c r="M75" s="75" t="str">
        <f>IFERROR(IF(M$8="","NA",IF(M$8&lt;INDEX(T_EMP[START DATE],ROW($B75)-ROW($B$8)),"NE",IF(AND(INDEX(T_EMP[TERMINATION DATE],ROW($B75)-ROW($B$8))&gt;0,M$8&gt;INDEX(T_EMP[TERMINATION DATE],ROW($B75)-ROW($B$8))),"NE",IF(NOT(ISERROR(MATCH(M$8,L_HOLS,0))),"H",IF(INDEX(L_WKNDVAL,WEEKDAY(M$8,1))=1,"WKND",INDEX(T_LEAVE[LEAVE CODE],SUMPRODUCT(--(T_LEAVE[NAME]=$B75),--(T_LEAVE[DATE]&lt;=M$8),--(T_LEAVE[DATE]&gt;=M$8),ROW(T_LEAVE[LEAVE CODE]))-ROW(T_LEAVE[#Headers]))))))),"")</f>
        <v/>
      </c>
      <c r="N75" s="75" t="str">
        <f>IFERROR(IF(N$8="","NA",IF(N$8&lt;INDEX(T_EMP[START DATE],ROW($B75)-ROW($B$8)),"NE",IF(AND(INDEX(T_EMP[TERMINATION DATE],ROW($B75)-ROW($B$8))&gt;0,N$8&gt;INDEX(T_EMP[TERMINATION DATE],ROW($B75)-ROW($B$8))),"NE",IF(NOT(ISERROR(MATCH(N$8,L_HOLS,0))),"H",IF(INDEX(L_WKNDVAL,WEEKDAY(N$8,1))=1,"WKND",INDEX(T_LEAVE[LEAVE CODE],SUMPRODUCT(--(T_LEAVE[NAME]=$B75),--(T_LEAVE[DATE]&lt;=N$8),--(T_LEAVE[DATE]&gt;=N$8),ROW(T_LEAVE[LEAVE CODE]))-ROW(T_LEAVE[#Headers]))))))),"")</f>
        <v/>
      </c>
      <c r="O75" s="75" t="str">
        <f>IFERROR(IF(O$8="","NA",IF(O$8&lt;INDEX(T_EMP[START DATE],ROW($B75)-ROW($B$8)),"NE",IF(AND(INDEX(T_EMP[TERMINATION DATE],ROW($B75)-ROW($B$8))&gt;0,O$8&gt;INDEX(T_EMP[TERMINATION DATE],ROW($B75)-ROW($B$8))),"NE",IF(NOT(ISERROR(MATCH(O$8,L_HOLS,0))),"H",IF(INDEX(L_WKNDVAL,WEEKDAY(O$8,1))=1,"WKND",INDEX(T_LEAVE[LEAVE CODE],SUMPRODUCT(--(T_LEAVE[NAME]=$B75),--(T_LEAVE[DATE]&lt;=O$8),--(T_LEAVE[DATE]&gt;=O$8),ROW(T_LEAVE[LEAVE CODE]))-ROW(T_LEAVE[#Headers]))))))),"")</f>
        <v/>
      </c>
      <c r="P75" s="75" t="str">
        <f>IFERROR(IF(P$8="","NA",IF(P$8&lt;INDEX(T_EMP[START DATE],ROW($B75)-ROW($B$8)),"NE",IF(AND(INDEX(T_EMP[TERMINATION DATE],ROW($B75)-ROW($B$8))&gt;0,P$8&gt;INDEX(T_EMP[TERMINATION DATE],ROW($B75)-ROW($B$8))),"NE",IF(NOT(ISERROR(MATCH(P$8,L_HOLS,0))),"H",IF(INDEX(L_WKNDVAL,WEEKDAY(P$8,1))=1,"WKND",INDEX(T_LEAVE[LEAVE CODE],SUMPRODUCT(--(T_LEAVE[NAME]=$B75),--(T_LEAVE[DATE]&lt;=P$8),--(T_LEAVE[DATE]&gt;=P$8),ROW(T_LEAVE[LEAVE CODE]))-ROW(T_LEAVE[#Headers]))))))),"")</f>
        <v>H</v>
      </c>
      <c r="Q75" s="75" t="str">
        <f>IFERROR(IF(Q$8="","NA",IF(Q$8&lt;INDEX(T_EMP[START DATE],ROW($B75)-ROW($B$8)),"NE",IF(AND(INDEX(T_EMP[TERMINATION DATE],ROW($B75)-ROW($B$8))&gt;0,Q$8&gt;INDEX(T_EMP[TERMINATION DATE],ROW($B75)-ROW($B$8))),"NE",IF(NOT(ISERROR(MATCH(Q$8,L_HOLS,0))),"H",IF(INDEX(L_WKNDVAL,WEEKDAY(Q$8,1))=1,"WKND",INDEX(T_LEAVE[LEAVE CODE],SUMPRODUCT(--(T_LEAVE[NAME]=$B75),--(T_LEAVE[DATE]&lt;=Q$8),--(T_LEAVE[DATE]&gt;=Q$8),ROW(T_LEAVE[LEAVE CODE]))-ROW(T_LEAVE[#Headers]))))))),"")</f>
        <v/>
      </c>
      <c r="R75" s="75" t="str">
        <f>IFERROR(IF(R$8="","NA",IF(R$8&lt;INDEX(T_EMP[START DATE],ROW($B75)-ROW($B$8)),"NE",IF(AND(INDEX(T_EMP[TERMINATION DATE],ROW($B75)-ROW($B$8))&gt;0,R$8&gt;INDEX(T_EMP[TERMINATION DATE],ROW($B75)-ROW($B$8))),"NE",IF(NOT(ISERROR(MATCH(R$8,L_HOLS,0))),"H",IF(INDEX(L_WKNDVAL,WEEKDAY(R$8,1))=1,"WKND",INDEX(T_LEAVE[LEAVE CODE],SUMPRODUCT(--(T_LEAVE[NAME]=$B75),--(T_LEAVE[DATE]&lt;=R$8),--(T_LEAVE[DATE]&gt;=R$8),ROW(T_LEAVE[LEAVE CODE]))-ROW(T_LEAVE[#Headers]))))))),"")</f>
        <v/>
      </c>
      <c r="S75" s="75" t="str">
        <f>IFERROR(IF(S$8="","NA",IF(S$8&lt;INDEX(T_EMP[START DATE],ROW($B75)-ROW($B$8)),"NE",IF(AND(INDEX(T_EMP[TERMINATION DATE],ROW($B75)-ROW($B$8))&gt;0,S$8&gt;INDEX(T_EMP[TERMINATION DATE],ROW($B75)-ROW($B$8))),"NE",IF(NOT(ISERROR(MATCH(S$8,L_HOLS,0))),"H",IF(INDEX(L_WKNDVAL,WEEKDAY(S$8,1))=1,"WKND",INDEX(T_LEAVE[LEAVE CODE],SUMPRODUCT(--(T_LEAVE[NAME]=$B75),--(T_LEAVE[DATE]&lt;=S$8),--(T_LEAVE[DATE]&gt;=S$8),ROW(T_LEAVE[LEAVE CODE]))-ROW(T_LEAVE[#Headers]))))))),"")</f>
        <v/>
      </c>
      <c r="T75" s="75" t="str">
        <f>IFERROR(IF(T$8="","NA",IF(T$8&lt;INDEX(T_EMP[START DATE],ROW($B75)-ROW($B$8)),"NE",IF(AND(INDEX(T_EMP[TERMINATION DATE],ROW($B75)-ROW($B$8))&gt;0,T$8&gt;INDEX(T_EMP[TERMINATION DATE],ROW($B75)-ROW($B$8))),"NE",IF(NOT(ISERROR(MATCH(T$8,L_HOLS,0))),"H",IF(INDEX(L_WKNDVAL,WEEKDAY(T$8,1))=1,"WKND",INDEX(T_LEAVE[LEAVE CODE],SUMPRODUCT(--(T_LEAVE[NAME]=$B75),--(T_LEAVE[DATE]&lt;=T$8),--(T_LEAVE[DATE]&gt;=T$8),ROW(T_LEAVE[LEAVE CODE]))-ROW(T_LEAVE[#Headers]))))))),"")</f>
        <v/>
      </c>
      <c r="U75" s="75" t="str">
        <f>IFERROR(IF(U$8="","NA",IF(U$8&lt;INDEX(T_EMP[START DATE],ROW($B75)-ROW($B$8)),"NE",IF(AND(INDEX(T_EMP[TERMINATION DATE],ROW($B75)-ROW($B$8))&gt;0,U$8&gt;INDEX(T_EMP[TERMINATION DATE],ROW($B75)-ROW($B$8))),"NE",IF(NOT(ISERROR(MATCH(U$8,L_HOLS,0))),"H",IF(INDEX(L_WKNDVAL,WEEKDAY(U$8,1))=1,"WKND",INDEX(T_LEAVE[LEAVE CODE],SUMPRODUCT(--(T_LEAVE[NAME]=$B75),--(T_LEAVE[DATE]&lt;=U$8),--(T_LEAVE[DATE]&gt;=U$8),ROW(T_LEAVE[LEAVE CODE]))-ROW(T_LEAVE[#Headers]))))))),"")</f>
        <v/>
      </c>
      <c r="V75" s="75" t="str">
        <f>IFERROR(IF(V$8="","NA",IF(V$8&lt;INDEX(T_EMP[START DATE],ROW($B75)-ROW($B$8)),"NE",IF(AND(INDEX(T_EMP[TERMINATION DATE],ROW($B75)-ROW($B$8))&gt;0,V$8&gt;INDEX(T_EMP[TERMINATION DATE],ROW($B75)-ROW($B$8))),"NE",IF(NOT(ISERROR(MATCH(V$8,L_HOLS,0))),"H",IF(INDEX(L_WKNDVAL,WEEKDAY(V$8,1))=1,"WKND",INDEX(T_LEAVE[LEAVE CODE],SUMPRODUCT(--(T_LEAVE[NAME]=$B75),--(T_LEAVE[DATE]&lt;=V$8),--(T_LEAVE[DATE]&gt;=V$8),ROW(T_LEAVE[LEAVE CODE]))-ROW(T_LEAVE[#Headers]))))))),"")</f>
        <v/>
      </c>
      <c r="W75" s="75" t="str">
        <f>IFERROR(IF(W$8="","NA",IF(W$8&lt;INDEX(T_EMP[START DATE],ROW($B75)-ROW($B$8)),"NE",IF(AND(INDEX(T_EMP[TERMINATION DATE],ROW($B75)-ROW($B$8))&gt;0,W$8&gt;INDEX(T_EMP[TERMINATION DATE],ROW($B75)-ROW($B$8))),"NE",IF(NOT(ISERROR(MATCH(W$8,L_HOLS,0))),"H",IF(INDEX(L_WKNDVAL,WEEKDAY(W$8,1))=1,"WKND",INDEX(T_LEAVE[LEAVE CODE],SUMPRODUCT(--(T_LEAVE[NAME]=$B75),--(T_LEAVE[DATE]&lt;=W$8),--(T_LEAVE[DATE]&gt;=W$8),ROW(T_LEAVE[LEAVE CODE]))-ROW(T_LEAVE[#Headers]))))))),"")</f>
        <v/>
      </c>
      <c r="X75" s="75" t="str">
        <f>IFERROR(IF(X$8="","NA",IF(X$8&lt;INDEX(T_EMP[START DATE],ROW($B75)-ROW($B$8)),"NE",IF(AND(INDEX(T_EMP[TERMINATION DATE],ROW($B75)-ROW($B$8))&gt;0,X$8&gt;INDEX(T_EMP[TERMINATION DATE],ROW($B75)-ROW($B$8))),"NE",IF(NOT(ISERROR(MATCH(X$8,L_HOLS,0))),"H",IF(INDEX(L_WKNDVAL,WEEKDAY(X$8,1))=1,"WKND",INDEX(T_LEAVE[LEAVE CODE],SUMPRODUCT(--(T_LEAVE[NAME]=$B75),--(T_LEAVE[DATE]&lt;=X$8),--(T_LEAVE[DATE]&gt;=X$8),ROW(T_LEAVE[LEAVE CODE]))-ROW(T_LEAVE[#Headers]))))))),"")</f>
        <v/>
      </c>
      <c r="Y75" s="75" t="str">
        <f>IFERROR(IF(Y$8="","NA",IF(Y$8&lt;INDEX(T_EMP[START DATE],ROW($B75)-ROW($B$8)),"NE",IF(AND(INDEX(T_EMP[TERMINATION DATE],ROW($B75)-ROW($B$8))&gt;0,Y$8&gt;INDEX(T_EMP[TERMINATION DATE],ROW($B75)-ROW($B$8))),"NE",IF(NOT(ISERROR(MATCH(Y$8,L_HOLS,0))),"H",IF(INDEX(L_WKNDVAL,WEEKDAY(Y$8,1))=1,"WKND",INDEX(T_LEAVE[LEAVE CODE],SUMPRODUCT(--(T_LEAVE[NAME]=$B75),--(T_LEAVE[DATE]&lt;=Y$8),--(T_LEAVE[DATE]&gt;=Y$8),ROW(T_LEAVE[LEAVE CODE]))-ROW(T_LEAVE[#Headers]))))))),"")</f>
        <v/>
      </c>
      <c r="Z75" s="75" t="str">
        <f>IFERROR(IF(Z$8="","NA",IF(Z$8&lt;INDEX(T_EMP[START DATE],ROW($B75)-ROW($B$8)),"NE",IF(AND(INDEX(T_EMP[TERMINATION DATE],ROW($B75)-ROW($B$8))&gt;0,Z$8&gt;INDEX(T_EMP[TERMINATION DATE],ROW($B75)-ROW($B$8))),"NE",IF(NOT(ISERROR(MATCH(Z$8,L_HOLS,0))),"H",IF(INDEX(L_WKNDVAL,WEEKDAY(Z$8,1))=1,"WKND",INDEX(T_LEAVE[LEAVE CODE],SUMPRODUCT(--(T_LEAVE[NAME]=$B75),--(T_LEAVE[DATE]&lt;=Z$8),--(T_LEAVE[DATE]&gt;=Z$8),ROW(T_LEAVE[LEAVE CODE]))-ROW(T_LEAVE[#Headers]))))))),"")</f>
        <v/>
      </c>
      <c r="AA75" s="75" t="str">
        <f>IFERROR(IF(AA$8="","NA",IF(AA$8&lt;INDEX(T_EMP[START DATE],ROW($B75)-ROW($B$8)),"NE",IF(AND(INDEX(T_EMP[TERMINATION DATE],ROW($B75)-ROW($B$8))&gt;0,AA$8&gt;INDEX(T_EMP[TERMINATION DATE],ROW($B75)-ROW($B$8))),"NE",IF(NOT(ISERROR(MATCH(AA$8,L_HOLS,0))),"H",IF(INDEX(L_WKNDVAL,WEEKDAY(AA$8,1))=1,"WKND",INDEX(T_LEAVE[LEAVE CODE],SUMPRODUCT(--(T_LEAVE[NAME]=$B75),--(T_LEAVE[DATE]&lt;=AA$8),--(T_LEAVE[DATE]&gt;=AA$8),ROW(T_LEAVE[LEAVE CODE]))-ROW(T_LEAVE[#Headers]))))))),"")</f>
        <v/>
      </c>
      <c r="AB75" s="75" t="str">
        <f>IFERROR(IF(AB$8="","NA",IF(AB$8&lt;INDEX(T_EMP[START DATE],ROW($B75)-ROW($B$8)),"NE",IF(AND(INDEX(T_EMP[TERMINATION DATE],ROW($B75)-ROW($B$8))&gt;0,AB$8&gt;INDEX(T_EMP[TERMINATION DATE],ROW($B75)-ROW($B$8))),"NE",IF(NOT(ISERROR(MATCH(AB$8,L_HOLS,0))),"H",IF(INDEX(L_WKNDVAL,WEEKDAY(AB$8,1))=1,"WKND",INDEX(T_LEAVE[LEAVE CODE],SUMPRODUCT(--(T_LEAVE[NAME]=$B75),--(T_LEAVE[DATE]&lt;=AB$8),--(T_LEAVE[DATE]&gt;=AB$8),ROW(T_LEAVE[LEAVE CODE]))-ROW(T_LEAVE[#Headers]))))))),"")</f>
        <v/>
      </c>
      <c r="AC75" s="75" t="str">
        <f>IFERROR(IF(AC$8="","NA",IF(AC$8&lt;INDEX(T_EMP[START DATE],ROW($B75)-ROW($B$8)),"NE",IF(AND(INDEX(T_EMP[TERMINATION DATE],ROW($B75)-ROW($B$8))&gt;0,AC$8&gt;INDEX(T_EMP[TERMINATION DATE],ROW($B75)-ROW($B$8))),"NE",IF(NOT(ISERROR(MATCH(AC$8,L_HOLS,0))),"H",IF(INDEX(L_WKNDVAL,WEEKDAY(AC$8,1))=1,"WKND",INDEX(T_LEAVE[LEAVE CODE],SUMPRODUCT(--(T_LEAVE[NAME]=$B75),--(T_LEAVE[DATE]&lt;=AC$8),--(T_LEAVE[DATE]&gt;=AC$8),ROW(T_LEAVE[LEAVE CODE]))-ROW(T_LEAVE[#Headers]))))))),"")</f>
        <v/>
      </c>
      <c r="AD75" s="75" t="str">
        <f>IFERROR(IF(AD$8="","NA",IF(AD$8&lt;INDEX(T_EMP[START DATE],ROW($B75)-ROW($B$8)),"NE",IF(AND(INDEX(T_EMP[TERMINATION DATE],ROW($B75)-ROW($B$8))&gt;0,AD$8&gt;INDEX(T_EMP[TERMINATION DATE],ROW($B75)-ROW($B$8))),"NE",IF(NOT(ISERROR(MATCH(AD$8,L_HOLS,0))),"H",IF(INDEX(L_WKNDVAL,WEEKDAY(AD$8,1))=1,"WKND",INDEX(T_LEAVE[LEAVE CODE],SUMPRODUCT(--(T_LEAVE[NAME]=$B75),--(T_LEAVE[DATE]&lt;=AD$8),--(T_LEAVE[DATE]&gt;=AD$8),ROW(T_LEAVE[LEAVE CODE]))-ROW(T_LEAVE[#Headers]))))))),"")</f>
        <v/>
      </c>
      <c r="AE75" s="75" t="str">
        <f>IFERROR(IF(AE$8="","NA",IF(AE$8&lt;INDEX(T_EMP[START DATE],ROW($B75)-ROW($B$8)),"NE",IF(AND(INDEX(T_EMP[TERMINATION DATE],ROW($B75)-ROW($B$8))&gt;0,AE$8&gt;INDEX(T_EMP[TERMINATION DATE],ROW($B75)-ROW($B$8))),"NE",IF(NOT(ISERROR(MATCH(AE$8,L_HOLS,0))),"H",IF(INDEX(L_WKNDVAL,WEEKDAY(AE$8,1))=1,"WKND",INDEX(T_LEAVE[LEAVE CODE],SUMPRODUCT(--(T_LEAVE[NAME]=$B75),--(T_LEAVE[DATE]&lt;=AE$8),--(T_LEAVE[DATE]&gt;=AE$8),ROW(T_LEAVE[LEAVE CODE]))-ROW(T_LEAVE[#Headers]))))))),"")</f>
        <v/>
      </c>
      <c r="AF75" s="75" t="str">
        <f>IFERROR(IF(AF$8="","NA",IF(AF$8&lt;INDEX(T_EMP[START DATE],ROW($B75)-ROW($B$8)),"NE",IF(AND(INDEX(T_EMP[TERMINATION DATE],ROW($B75)-ROW($B$8))&gt;0,AF$8&gt;INDEX(T_EMP[TERMINATION DATE],ROW($B75)-ROW($B$8))),"NE",IF(NOT(ISERROR(MATCH(AF$8,L_HOLS,0))),"H",IF(INDEX(L_WKNDVAL,WEEKDAY(AF$8,1))=1,"WKND",INDEX(T_LEAVE[LEAVE CODE],SUMPRODUCT(--(T_LEAVE[NAME]=$B75),--(T_LEAVE[DATE]&lt;=AF$8),--(T_LEAVE[DATE]&gt;=AF$8),ROW(T_LEAVE[LEAVE CODE]))-ROW(T_LEAVE[#Headers]))))))),"")</f>
        <v/>
      </c>
      <c r="AG75" s="75" t="str">
        <f>IFERROR(IF(AG$8="","NA",IF(AG$8&lt;INDEX(T_EMP[START DATE],ROW($B75)-ROW($B$8)),"NE",IF(AND(INDEX(T_EMP[TERMINATION DATE],ROW($B75)-ROW($B$8))&gt;0,AG$8&gt;INDEX(T_EMP[TERMINATION DATE],ROW($B75)-ROW($B$8))),"NE",IF(NOT(ISERROR(MATCH(AG$8,L_HOLS,0))),"H",IF(INDEX(L_WKNDVAL,WEEKDAY(AG$8,1))=1,"WKND",INDEX(T_LEAVE[LEAVE CODE],SUMPRODUCT(--(T_LEAVE[NAME]=$B75),--(T_LEAVE[DATE]&lt;=AG$8),--(T_LEAVE[DATE]&gt;=AG$8),ROW(T_LEAVE[LEAVE CODE]))-ROW(T_LEAVE[#Headers]))))))),"")</f>
        <v/>
      </c>
      <c r="AH75" s="75" t="str">
        <f>IFERROR(IF(AH$8="","NA",IF(AH$8&lt;INDEX(T_EMP[START DATE],ROW($B75)-ROW($B$8)),"NE",IF(AND(INDEX(T_EMP[TERMINATION DATE],ROW($B75)-ROW($B$8))&gt;0,AH$8&gt;INDEX(T_EMP[TERMINATION DATE],ROW($B75)-ROW($B$8))),"NE",IF(NOT(ISERROR(MATCH(AH$8,L_HOLS,0))),"H",IF(INDEX(L_WKNDVAL,WEEKDAY(AH$8,1))=1,"WKND",INDEX(T_LEAVE[LEAVE CODE],SUMPRODUCT(--(T_LEAVE[NAME]=$B75),--(T_LEAVE[DATE]&lt;=AH$8),--(T_LEAVE[DATE]&gt;=AH$8),ROW(T_LEAVE[LEAVE CODE]))-ROW(T_LEAVE[#Headers]))))))),"")</f>
        <v/>
      </c>
      <c r="AJ75" s="88">
        <f>IF(OR($B75="",AJ$8=""),"",COUNTIFS($D75:$AH75,AJ$8)*INDEX(T_LEAVETYPE[DAY VALUE],1))</f>
        <v>0</v>
      </c>
      <c r="AK75" s="88">
        <f>IF(OR($B75="",AK$8=""),"",COUNTIFS($D75:$AH75,AK$8)*INDEX(T_LEAVETYPE[DAY VALUE],1))</f>
        <v>0</v>
      </c>
      <c r="AL75" s="88">
        <f>IF(OR($B75="",AL$8=""),"",COUNTIFS($D75:$AH75,AL$8)*INDEX(T_LEAVETYPE[DAY VALUE],1))</f>
        <v>0</v>
      </c>
      <c r="AM75" s="88">
        <f>IF(OR($B75="",AM$8=""),"",COUNTIFS($D75:$AH75,AM$8)*INDEX(T_LEAVETYPE[DAY VALUE],1))</f>
        <v>0</v>
      </c>
      <c r="AN75" s="88">
        <f>IF(OR($B75="",AN$8=""),"",COUNTIFS($D75:$AH75,AN$8)*INDEX(T_LEAVETYPE[DAY VALUE],1))</f>
        <v>0</v>
      </c>
      <c r="AO75" s="88">
        <f>IF(OR($B75="",AO$8=""),"",COUNTIFS($D75:$AH75,AO$8)*INDEX(T_LEAVETYPE[DAY VALUE],6))</f>
        <v>0</v>
      </c>
      <c r="AP75" s="88">
        <f>IF(OR($B75="",AP$8=""),"",COUNTIFS($D75:$AH75,AP$8)*INDEX(T_LEAVETYPE[DAY VALUE],7))</f>
        <v>0</v>
      </c>
      <c r="AQ75" s="88">
        <f>IF(OR($B75="",AQ$8=""),"",COUNTIFS($D75:$AH75,AQ$8)*INDEX(T_LEAVETYPE[DAY VALUE],8))</f>
        <v>0</v>
      </c>
      <c r="AR75" s="89">
        <f t="shared" si="5"/>
        <v>0</v>
      </c>
    </row>
    <row r="76" spans="1:44" x14ac:dyDescent="0.25">
      <c r="A76" s="90">
        <f t="shared" si="4"/>
        <v>68</v>
      </c>
      <c r="B76" s="74" t="str">
        <f>IFERROR(INDEX(T_EMP[NAME],ROW(B76)-ROW($B$8)),"")</f>
        <v>PASCUAL, PRINCETON BABES</v>
      </c>
      <c r="C76" s="91" t="str">
        <f>IFERROR(INDEX(T_EMP[DEPARTMENT],ROW(B76)-ROW($C$8)),"")</f>
        <v>PHARMTECH</v>
      </c>
      <c r="D76" s="75" t="str">
        <f>IFERROR(IF(D$8="","NA",IF(D$8&lt;INDEX(T_EMP[START DATE],ROW($B76)-ROW($B$8)),"NE",IF(AND(INDEX(T_EMP[TERMINATION DATE],ROW($B76)-ROW($B$8))&gt;0,D$8&gt;INDEX(T_EMP[TERMINATION DATE],ROW($B76)-ROW($B$8))),"NE",IF(NOT(ISERROR(MATCH(D$8,L_HOLS,0))),"H",IF(INDEX(L_WKNDVAL,WEEKDAY(D$8,1))=1,"WKND",INDEX(T_LEAVE[LEAVE CODE],SUMPRODUCT(--(T_LEAVE[NAME]=$B76),--(T_LEAVE[DATE]&lt;=D$8),--(T_LEAVE[DATE]&gt;=D$8),ROW(T_LEAVE[LEAVE CODE]))-ROW(T_LEAVE[#Headers]))))))),"")</f>
        <v>H</v>
      </c>
      <c r="E76" s="75" t="str">
        <f>IFERROR(IF(E$8="","NA",IF(E$8&lt;INDEX(T_EMP[START DATE],ROW($B76)-ROW($B$8)),"NE",IF(AND(INDEX(T_EMP[TERMINATION DATE],ROW($B76)-ROW($B$8))&gt;0,E$8&gt;INDEX(T_EMP[TERMINATION DATE],ROW($B76)-ROW($B$8))),"NE",IF(NOT(ISERROR(MATCH(E$8,L_HOLS,0))),"H",IF(INDEX(L_WKNDVAL,WEEKDAY(E$8,1))=1,"WKND",INDEX(T_LEAVE[LEAVE CODE],SUMPRODUCT(--(T_LEAVE[NAME]=$B76),--(T_LEAVE[DATE]&lt;=E$8),--(T_LEAVE[DATE]&gt;=E$8),ROW(T_LEAVE[LEAVE CODE]))-ROW(T_LEAVE[#Headers]))))))),"")</f>
        <v/>
      </c>
      <c r="F76" s="75" t="str">
        <f>IFERROR(IF(F$8="","NA",IF(F$8&lt;INDEX(T_EMP[START DATE],ROW($B76)-ROW($B$8)),"NE",IF(AND(INDEX(T_EMP[TERMINATION DATE],ROW($B76)-ROW($B$8))&gt;0,F$8&gt;INDEX(T_EMP[TERMINATION DATE],ROW($B76)-ROW($B$8))),"NE",IF(NOT(ISERROR(MATCH(F$8,L_HOLS,0))),"H",IF(INDEX(L_WKNDVAL,WEEKDAY(F$8,1))=1,"WKND",INDEX(T_LEAVE[LEAVE CODE],SUMPRODUCT(--(T_LEAVE[NAME]=$B76),--(T_LEAVE[DATE]&lt;=F$8),--(T_LEAVE[DATE]&gt;=F$8),ROW(T_LEAVE[LEAVE CODE]))-ROW(T_LEAVE[#Headers]))))))),"")</f>
        <v/>
      </c>
      <c r="G76" s="75" t="str">
        <f>IFERROR(IF(G$8="","NA",IF(G$8&lt;INDEX(T_EMP[START DATE],ROW($B76)-ROW($B$8)),"NE",IF(AND(INDEX(T_EMP[TERMINATION DATE],ROW($B76)-ROW($B$8))&gt;0,G$8&gt;INDEX(T_EMP[TERMINATION DATE],ROW($B76)-ROW($B$8))),"NE",IF(NOT(ISERROR(MATCH(G$8,L_HOLS,0))),"H",IF(INDEX(L_WKNDVAL,WEEKDAY(G$8,1))=1,"WKND",INDEX(T_LEAVE[LEAVE CODE],SUMPRODUCT(--(T_LEAVE[NAME]=$B76),--(T_LEAVE[DATE]&lt;=G$8),--(T_LEAVE[DATE]&gt;=G$8),ROW(T_LEAVE[LEAVE CODE]))-ROW(T_LEAVE[#Headers]))))))),"")</f>
        <v/>
      </c>
      <c r="H76" s="75" t="str">
        <f>IFERROR(IF(H$8="","NA",IF(H$8&lt;INDEX(T_EMP[START DATE],ROW($B76)-ROW($B$8)),"NE",IF(AND(INDEX(T_EMP[TERMINATION DATE],ROW($B76)-ROW($B$8))&gt;0,H$8&gt;INDEX(T_EMP[TERMINATION DATE],ROW($B76)-ROW($B$8))),"NE",IF(NOT(ISERROR(MATCH(H$8,L_HOLS,0))),"H",IF(INDEX(L_WKNDVAL,WEEKDAY(H$8,1))=1,"WKND",INDEX(T_LEAVE[LEAVE CODE],SUMPRODUCT(--(T_LEAVE[NAME]=$B76),--(T_LEAVE[DATE]&lt;=H$8),--(T_LEAVE[DATE]&gt;=H$8),ROW(T_LEAVE[LEAVE CODE]))-ROW(T_LEAVE[#Headers]))))))),"")</f>
        <v/>
      </c>
      <c r="I76" s="75" t="str">
        <f>IFERROR(IF(I$8="","NA",IF(I$8&lt;INDEX(T_EMP[START DATE],ROW($B76)-ROW($B$8)),"NE",IF(AND(INDEX(T_EMP[TERMINATION DATE],ROW($B76)-ROW($B$8))&gt;0,I$8&gt;INDEX(T_EMP[TERMINATION DATE],ROW($B76)-ROW($B$8))),"NE",IF(NOT(ISERROR(MATCH(I$8,L_HOLS,0))),"H",IF(INDEX(L_WKNDVAL,WEEKDAY(I$8,1))=1,"WKND",INDEX(T_LEAVE[LEAVE CODE],SUMPRODUCT(--(T_LEAVE[NAME]=$B76),--(T_LEAVE[DATE]&lt;=I$8),--(T_LEAVE[DATE]&gt;=I$8),ROW(T_LEAVE[LEAVE CODE]))-ROW(T_LEAVE[#Headers]))))))),"")</f>
        <v/>
      </c>
      <c r="J76" s="75" t="str">
        <f>IFERROR(IF(J$8="","NA",IF(J$8&lt;INDEX(T_EMP[START DATE],ROW($B76)-ROW($B$8)),"NE",IF(AND(INDEX(T_EMP[TERMINATION DATE],ROW($B76)-ROW($B$8))&gt;0,J$8&gt;INDEX(T_EMP[TERMINATION DATE],ROW($B76)-ROW($B$8))),"NE",IF(NOT(ISERROR(MATCH(J$8,L_HOLS,0))),"H",IF(INDEX(L_WKNDVAL,WEEKDAY(J$8,1))=1,"WKND",INDEX(T_LEAVE[LEAVE CODE],SUMPRODUCT(--(T_LEAVE[NAME]=$B76),--(T_LEAVE[DATE]&lt;=J$8),--(T_LEAVE[DATE]&gt;=J$8),ROW(T_LEAVE[LEAVE CODE]))-ROW(T_LEAVE[#Headers]))))))),"")</f>
        <v/>
      </c>
      <c r="K76" s="75" t="str">
        <f>IFERROR(IF(K$8="","NA",IF(K$8&lt;INDEX(T_EMP[START DATE],ROW($B76)-ROW($B$8)),"NE",IF(AND(INDEX(T_EMP[TERMINATION DATE],ROW($B76)-ROW($B$8))&gt;0,K$8&gt;INDEX(T_EMP[TERMINATION DATE],ROW($B76)-ROW($B$8))),"NE",IF(NOT(ISERROR(MATCH(K$8,L_HOLS,0))),"H",IF(INDEX(L_WKNDVAL,WEEKDAY(K$8,1))=1,"WKND",INDEX(T_LEAVE[LEAVE CODE],SUMPRODUCT(--(T_LEAVE[NAME]=$B76),--(T_LEAVE[DATE]&lt;=K$8),--(T_LEAVE[DATE]&gt;=K$8),ROW(T_LEAVE[LEAVE CODE]))-ROW(T_LEAVE[#Headers]))))))),"")</f>
        <v/>
      </c>
      <c r="L76" s="75" t="str">
        <f>IFERROR(IF(L$8="","NA",IF(L$8&lt;INDEX(T_EMP[START DATE],ROW($B76)-ROW($B$8)),"NE",IF(AND(INDEX(T_EMP[TERMINATION DATE],ROW($B76)-ROW($B$8))&gt;0,L$8&gt;INDEX(T_EMP[TERMINATION DATE],ROW($B76)-ROW($B$8))),"NE",IF(NOT(ISERROR(MATCH(L$8,L_HOLS,0))),"H",IF(INDEX(L_WKNDVAL,WEEKDAY(L$8,1))=1,"WKND",INDEX(T_LEAVE[LEAVE CODE],SUMPRODUCT(--(T_LEAVE[NAME]=$B76),--(T_LEAVE[DATE]&lt;=L$8),--(T_LEAVE[DATE]&gt;=L$8),ROW(T_LEAVE[LEAVE CODE]))-ROW(T_LEAVE[#Headers]))))))),"")</f>
        <v/>
      </c>
      <c r="M76" s="75" t="str">
        <f>IFERROR(IF(M$8="","NA",IF(M$8&lt;INDEX(T_EMP[START DATE],ROW($B76)-ROW($B$8)),"NE",IF(AND(INDEX(T_EMP[TERMINATION DATE],ROW($B76)-ROW($B$8))&gt;0,M$8&gt;INDEX(T_EMP[TERMINATION DATE],ROW($B76)-ROW($B$8))),"NE",IF(NOT(ISERROR(MATCH(M$8,L_HOLS,0))),"H",IF(INDEX(L_WKNDVAL,WEEKDAY(M$8,1))=1,"WKND",INDEX(T_LEAVE[LEAVE CODE],SUMPRODUCT(--(T_LEAVE[NAME]=$B76),--(T_LEAVE[DATE]&lt;=M$8),--(T_LEAVE[DATE]&gt;=M$8),ROW(T_LEAVE[LEAVE CODE]))-ROW(T_LEAVE[#Headers]))))))),"")</f>
        <v/>
      </c>
      <c r="N76" s="75" t="str">
        <f>IFERROR(IF(N$8="","NA",IF(N$8&lt;INDEX(T_EMP[START DATE],ROW($B76)-ROW($B$8)),"NE",IF(AND(INDEX(T_EMP[TERMINATION DATE],ROW($B76)-ROW($B$8))&gt;0,N$8&gt;INDEX(T_EMP[TERMINATION DATE],ROW($B76)-ROW($B$8))),"NE",IF(NOT(ISERROR(MATCH(N$8,L_HOLS,0))),"H",IF(INDEX(L_WKNDVAL,WEEKDAY(N$8,1))=1,"WKND",INDEX(T_LEAVE[LEAVE CODE],SUMPRODUCT(--(T_LEAVE[NAME]=$B76),--(T_LEAVE[DATE]&lt;=N$8),--(T_LEAVE[DATE]&gt;=N$8),ROW(T_LEAVE[LEAVE CODE]))-ROW(T_LEAVE[#Headers]))))))),"")</f>
        <v/>
      </c>
      <c r="O76" s="75" t="str">
        <f>IFERROR(IF(O$8="","NA",IF(O$8&lt;INDEX(T_EMP[START DATE],ROW($B76)-ROW($B$8)),"NE",IF(AND(INDEX(T_EMP[TERMINATION DATE],ROW($B76)-ROW($B$8))&gt;0,O$8&gt;INDEX(T_EMP[TERMINATION DATE],ROW($B76)-ROW($B$8))),"NE",IF(NOT(ISERROR(MATCH(O$8,L_HOLS,0))),"H",IF(INDEX(L_WKNDVAL,WEEKDAY(O$8,1))=1,"WKND",INDEX(T_LEAVE[LEAVE CODE],SUMPRODUCT(--(T_LEAVE[NAME]=$B76),--(T_LEAVE[DATE]&lt;=O$8),--(T_LEAVE[DATE]&gt;=O$8),ROW(T_LEAVE[LEAVE CODE]))-ROW(T_LEAVE[#Headers]))))))),"")</f>
        <v/>
      </c>
      <c r="P76" s="75" t="str">
        <f>IFERROR(IF(P$8="","NA",IF(P$8&lt;INDEX(T_EMP[START DATE],ROW($B76)-ROW($B$8)),"NE",IF(AND(INDEX(T_EMP[TERMINATION DATE],ROW($B76)-ROW($B$8))&gt;0,P$8&gt;INDEX(T_EMP[TERMINATION DATE],ROW($B76)-ROW($B$8))),"NE",IF(NOT(ISERROR(MATCH(P$8,L_HOLS,0))),"H",IF(INDEX(L_WKNDVAL,WEEKDAY(P$8,1))=1,"WKND",INDEX(T_LEAVE[LEAVE CODE],SUMPRODUCT(--(T_LEAVE[NAME]=$B76),--(T_LEAVE[DATE]&lt;=P$8),--(T_LEAVE[DATE]&gt;=P$8),ROW(T_LEAVE[LEAVE CODE]))-ROW(T_LEAVE[#Headers]))))))),"")</f>
        <v>H</v>
      </c>
      <c r="Q76" s="75" t="str">
        <f>IFERROR(IF(Q$8="","NA",IF(Q$8&lt;INDEX(T_EMP[START DATE],ROW($B76)-ROW($B$8)),"NE",IF(AND(INDEX(T_EMP[TERMINATION DATE],ROW($B76)-ROW($B$8))&gt;0,Q$8&gt;INDEX(T_EMP[TERMINATION DATE],ROW($B76)-ROW($B$8))),"NE",IF(NOT(ISERROR(MATCH(Q$8,L_HOLS,0))),"H",IF(INDEX(L_WKNDVAL,WEEKDAY(Q$8,1))=1,"WKND",INDEX(T_LEAVE[LEAVE CODE],SUMPRODUCT(--(T_LEAVE[NAME]=$B76),--(T_LEAVE[DATE]&lt;=Q$8),--(T_LEAVE[DATE]&gt;=Q$8),ROW(T_LEAVE[LEAVE CODE]))-ROW(T_LEAVE[#Headers]))))))),"")</f>
        <v/>
      </c>
      <c r="R76" s="75" t="str">
        <f>IFERROR(IF(R$8="","NA",IF(R$8&lt;INDEX(T_EMP[START DATE],ROW($B76)-ROW($B$8)),"NE",IF(AND(INDEX(T_EMP[TERMINATION DATE],ROW($B76)-ROW($B$8))&gt;0,R$8&gt;INDEX(T_EMP[TERMINATION DATE],ROW($B76)-ROW($B$8))),"NE",IF(NOT(ISERROR(MATCH(R$8,L_HOLS,0))),"H",IF(INDEX(L_WKNDVAL,WEEKDAY(R$8,1))=1,"WKND",INDEX(T_LEAVE[LEAVE CODE],SUMPRODUCT(--(T_LEAVE[NAME]=$B76),--(T_LEAVE[DATE]&lt;=R$8),--(T_LEAVE[DATE]&gt;=R$8),ROW(T_LEAVE[LEAVE CODE]))-ROW(T_LEAVE[#Headers]))))))),"")</f>
        <v/>
      </c>
      <c r="S76" s="75" t="str">
        <f>IFERROR(IF(S$8="","NA",IF(S$8&lt;INDEX(T_EMP[START DATE],ROW($B76)-ROW($B$8)),"NE",IF(AND(INDEX(T_EMP[TERMINATION DATE],ROW($B76)-ROW($B$8))&gt;0,S$8&gt;INDEX(T_EMP[TERMINATION DATE],ROW($B76)-ROW($B$8))),"NE",IF(NOT(ISERROR(MATCH(S$8,L_HOLS,0))),"H",IF(INDEX(L_WKNDVAL,WEEKDAY(S$8,1))=1,"WKND",INDEX(T_LEAVE[LEAVE CODE],SUMPRODUCT(--(T_LEAVE[NAME]=$B76),--(T_LEAVE[DATE]&lt;=S$8),--(T_LEAVE[DATE]&gt;=S$8),ROW(T_LEAVE[LEAVE CODE]))-ROW(T_LEAVE[#Headers]))))))),"")</f>
        <v/>
      </c>
      <c r="T76" s="75" t="str">
        <f>IFERROR(IF(T$8="","NA",IF(T$8&lt;INDEX(T_EMP[START DATE],ROW($B76)-ROW($B$8)),"NE",IF(AND(INDEX(T_EMP[TERMINATION DATE],ROW($B76)-ROW($B$8))&gt;0,T$8&gt;INDEX(T_EMP[TERMINATION DATE],ROW($B76)-ROW($B$8))),"NE",IF(NOT(ISERROR(MATCH(T$8,L_HOLS,0))),"H",IF(INDEX(L_WKNDVAL,WEEKDAY(T$8,1))=1,"WKND",INDEX(T_LEAVE[LEAVE CODE],SUMPRODUCT(--(T_LEAVE[NAME]=$B76),--(T_LEAVE[DATE]&lt;=T$8),--(T_LEAVE[DATE]&gt;=T$8),ROW(T_LEAVE[LEAVE CODE]))-ROW(T_LEAVE[#Headers]))))))),"")</f>
        <v/>
      </c>
      <c r="U76" s="75" t="str">
        <f>IFERROR(IF(U$8="","NA",IF(U$8&lt;INDEX(T_EMP[START DATE],ROW($B76)-ROW($B$8)),"NE",IF(AND(INDEX(T_EMP[TERMINATION DATE],ROW($B76)-ROW($B$8))&gt;0,U$8&gt;INDEX(T_EMP[TERMINATION DATE],ROW($B76)-ROW($B$8))),"NE",IF(NOT(ISERROR(MATCH(U$8,L_HOLS,0))),"H",IF(INDEX(L_WKNDVAL,WEEKDAY(U$8,1))=1,"WKND",INDEX(T_LEAVE[LEAVE CODE],SUMPRODUCT(--(T_LEAVE[NAME]=$B76),--(T_LEAVE[DATE]&lt;=U$8),--(T_LEAVE[DATE]&gt;=U$8),ROW(T_LEAVE[LEAVE CODE]))-ROW(T_LEAVE[#Headers]))))))),"")</f>
        <v/>
      </c>
      <c r="V76" s="75" t="str">
        <f>IFERROR(IF(V$8="","NA",IF(V$8&lt;INDEX(T_EMP[START DATE],ROW($B76)-ROW($B$8)),"NE",IF(AND(INDEX(T_EMP[TERMINATION DATE],ROW($B76)-ROW($B$8))&gt;0,V$8&gt;INDEX(T_EMP[TERMINATION DATE],ROW($B76)-ROW($B$8))),"NE",IF(NOT(ISERROR(MATCH(V$8,L_HOLS,0))),"H",IF(INDEX(L_WKNDVAL,WEEKDAY(V$8,1))=1,"WKND",INDEX(T_LEAVE[LEAVE CODE],SUMPRODUCT(--(T_LEAVE[NAME]=$B76),--(T_LEAVE[DATE]&lt;=V$8),--(T_LEAVE[DATE]&gt;=V$8),ROW(T_LEAVE[LEAVE CODE]))-ROW(T_LEAVE[#Headers]))))))),"")</f>
        <v/>
      </c>
      <c r="W76" s="75" t="str">
        <f>IFERROR(IF(W$8="","NA",IF(W$8&lt;INDEX(T_EMP[START DATE],ROW($B76)-ROW($B$8)),"NE",IF(AND(INDEX(T_EMP[TERMINATION DATE],ROW($B76)-ROW($B$8))&gt;0,W$8&gt;INDEX(T_EMP[TERMINATION DATE],ROW($B76)-ROW($B$8))),"NE",IF(NOT(ISERROR(MATCH(W$8,L_HOLS,0))),"H",IF(INDEX(L_WKNDVAL,WEEKDAY(W$8,1))=1,"WKND",INDEX(T_LEAVE[LEAVE CODE],SUMPRODUCT(--(T_LEAVE[NAME]=$B76),--(T_LEAVE[DATE]&lt;=W$8),--(T_LEAVE[DATE]&gt;=W$8),ROW(T_LEAVE[LEAVE CODE]))-ROW(T_LEAVE[#Headers]))))))),"")</f>
        <v/>
      </c>
      <c r="X76" s="75" t="str">
        <f>IFERROR(IF(X$8="","NA",IF(X$8&lt;INDEX(T_EMP[START DATE],ROW($B76)-ROW($B$8)),"NE",IF(AND(INDEX(T_EMP[TERMINATION DATE],ROW($B76)-ROW($B$8))&gt;0,X$8&gt;INDEX(T_EMP[TERMINATION DATE],ROW($B76)-ROW($B$8))),"NE",IF(NOT(ISERROR(MATCH(X$8,L_HOLS,0))),"H",IF(INDEX(L_WKNDVAL,WEEKDAY(X$8,1))=1,"WKND",INDEX(T_LEAVE[LEAVE CODE],SUMPRODUCT(--(T_LEAVE[NAME]=$B76),--(T_LEAVE[DATE]&lt;=X$8),--(T_LEAVE[DATE]&gt;=X$8),ROW(T_LEAVE[LEAVE CODE]))-ROW(T_LEAVE[#Headers]))))))),"")</f>
        <v/>
      </c>
      <c r="Y76" s="75" t="str">
        <f>IFERROR(IF(Y$8="","NA",IF(Y$8&lt;INDEX(T_EMP[START DATE],ROW($B76)-ROW($B$8)),"NE",IF(AND(INDEX(T_EMP[TERMINATION DATE],ROW($B76)-ROW($B$8))&gt;0,Y$8&gt;INDEX(T_EMP[TERMINATION DATE],ROW($B76)-ROW($B$8))),"NE",IF(NOT(ISERROR(MATCH(Y$8,L_HOLS,0))),"H",IF(INDEX(L_WKNDVAL,WEEKDAY(Y$8,1))=1,"WKND",INDEX(T_LEAVE[LEAVE CODE],SUMPRODUCT(--(T_LEAVE[NAME]=$B76),--(T_LEAVE[DATE]&lt;=Y$8),--(T_LEAVE[DATE]&gt;=Y$8),ROW(T_LEAVE[LEAVE CODE]))-ROW(T_LEAVE[#Headers]))))))),"")</f>
        <v/>
      </c>
      <c r="Z76" s="75" t="str">
        <f>IFERROR(IF(Z$8="","NA",IF(Z$8&lt;INDEX(T_EMP[START DATE],ROW($B76)-ROW($B$8)),"NE",IF(AND(INDEX(T_EMP[TERMINATION DATE],ROW($B76)-ROW($B$8))&gt;0,Z$8&gt;INDEX(T_EMP[TERMINATION DATE],ROW($B76)-ROW($B$8))),"NE",IF(NOT(ISERROR(MATCH(Z$8,L_HOLS,0))),"H",IF(INDEX(L_WKNDVAL,WEEKDAY(Z$8,1))=1,"WKND",INDEX(T_LEAVE[LEAVE CODE],SUMPRODUCT(--(T_LEAVE[NAME]=$B76),--(T_LEAVE[DATE]&lt;=Z$8),--(T_LEAVE[DATE]&gt;=Z$8),ROW(T_LEAVE[LEAVE CODE]))-ROW(T_LEAVE[#Headers]))))))),"")</f>
        <v/>
      </c>
      <c r="AA76" s="75" t="str">
        <f>IFERROR(IF(AA$8="","NA",IF(AA$8&lt;INDEX(T_EMP[START DATE],ROW($B76)-ROW($B$8)),"NE",IF(AND(INDEX(T_EMP[TERMINATION DATE],ROW($B76)-ROW($B$8))&gt;0,AA$8&gt;INDEX(T_EMP[TERMINATION DATE],ROW($B76)-ROW($B$8))),"NE",IF(NOT(ISERROR(MATCH(AA$8,L_HOLS,0))),"H",IF(INDEX(L_WKNDVAL,WEEKDAY(AA$8,1))=1,"WKND",INDEX(T_LEAVE[LEAVE CODE],SUMPRODUCT(--(T_LEAVE[NAME]=$B76),--(T_LEAVE[DATE]&lt;=AA$8),--(T_LEAVE[DATE]&gt;=AA$8),ROW(T_LEAVE[LEAVE CODE]))-ROW(T_LEAVE[#Headers]))))))),"")</f>
        <v/>
      </c>
      <c r="AB76" s="75" t="str">
        <f>IFERROR(IF(AB$8="","NA",IF(AB$8&lt;INDEX(T_EMP[START DATE],ROW($B76)-ROW($B$8)),"NE",IF(AND(INDEX(T_EMP[TERMINATION DATE],ROW($B76)-ROW($B$8))&gt;0,AB$8&gt;INDEX(T_EMP[TERMINATION DATE],ROW($B76)-ROW($B$8))),"NE",IF(NOT(ISERROR(MATCH(AB$8,L_HOLS,0))),"H",IF(INDEX(L_WKNDVAL,WEEKDAY(AB$8,1))=1,"WKND",INDEX(T_LEAVE[LEAVE CODE],SUMPRODUCT(--(T_LEAVE[NAME]=$B76),--(T_LEAVE[DATE]&lt;=AB$8),--(T_LEAVE[DATE]&gt;=AB$8),ROW(T_LEAVE[LEAVE CODE]))-ROW(T_LEAVE[#Headers]))))))),"")</f>
        <v/>
      </c>
      <c r="AC76" s="75" t="str">
        <f>IFERROR(IF(AC$8="","NA",IF(AC$8&lt;INDEX(T_EMP[START DATE],ROW($B76)-ROW($B$8)),"NE",IF(AND(INDEX(T_EMP[TERMINATION DATE],ROW($B76)-ROW($B$8))&gt;0,AC$8&gt;INDEX(T_EMP[TERMINATION DATE],ROW($B76)-ROW($B$8))),"NE",IF(NOT(ISERROR(MATCH(AC$8,L_HOLS,0))),"H",IF(INDEX(L_WKNDVAL,WEEKDAY(AC$8,1))=1,"WKND",INDEX(T_LEAVE[LEAVE CODE],SUMPRODUCT(--(T_LEAVE[NAME]=$B76),--(T_LEAVE[DATE]&lt;=AC$8),--(T_LEAVE[DATE]&gt;=AC$8),ROW(T_LEAVE[LEAVE CODE]))-ROW(T_LEAVE[#Headers]))))))),"")</f>
        <v/>
      </c>
      <c r="AD76" s="75" t="str">
        <f>IFERROR(IF(AD$8="","NA",IF(AD$8&lt;INDEX(T_EMP[START DATE],ROW($B76)-ROW($B$8)),"NE",IF(AND(INDEX(T_EMP[TERMINATION DATE],ROW($B76)-ROW($B$8))&gt;0,AD$8&gt;INDEX(T_EMP[TERMINATION DATE],ROW($B76)-ROW($B$8))),"NE",IF(NOT(ISERROR(MATCH(AD$8,L_HOLS,0))),"H",IF(INDEX(L_WKNDVAL,WEEKDAY(AD$8,1))=1,"WKND",INDEX(T_LEAVE[LEAVE CODE],SUMPRODUCT(--(T_LEAVE[NAME]=$B76),--(T_LEAVE[DATE]&lt;=AD$8),--(T_LEAVE[DATE]&gt;=AD$8),ROW(T_LEAVE[LEAVE CODE]))-ROW(T_LEAVE[#Headers]))))))),"")</f>
        <v/>
      </c>
      <c r="AE76" s="75" t="str">
        <f>IFERROR(IF(AE$8="","NA",IF(AE$8&lt;INDEX(T_EMP[START DATE],ROW($B76)-ROW($B$8)),"NE",IF(AND(INDEX(T_EMP[TERMINATION DATE],ROW($B76)-ROW($B$8))&gt;0,AE$8&gt;INDEX(T_EMP[TERMINATION DATE],ROW($B76)-ROW($B$8))),"NE",IF(NOT(ISERROR(MATCH(AE$8,L_HOLS,0))),"H",IF(INDEX(L_WKNDVAL,WEEKDAY(AE$8,1))=1,"WKND",INDEX(T_LEAVE[LEAVE CODE],SUMPRODUCT(--(T_LEAVE[NAME]=$B76),--(T_LEAVE[DATE]&lt;=AE$8),--(T_LEAVE[DATE]&gt;=AE$8),ROW(T_LEAVE[LEAVE CODE]))-ROW(T_LEAVE[#Headers]))))))),"")</f>
        <v/>
      </c>
      <c r="AF76" s="75" t="str">
        <f>IFERROR(IF(AF$8="","NA",IF(AF$8&lt;INDEX(T_EMP[START DATE],ROW($B76)-ROW($B$8)),"NE",IF(AND(INDEX(T_EMP[TERMINATION DATE],ROW($B76)-ROW($B$8))&gt;0,AF$8&gt;INDEX(T_EMP[TERMINATION DATE],ROW($B76)-ROW($B$8))),"NE",IF(NOT(ISERROR(MATCH(AF$8,L_HOLS,0))),"H",IF(INDEX(L_WKNDVAL,WEEKDAY(AF$8,1))=1,"WKND",INDEX(T_LEAVE[LEAVE CODE],SUMPRODUCT(--(T_LEAVE[NAME]=$B76),--(T_LEAVE[DATE]&lt;=AF$8),--(T_LEAVE[DATE]&gt;=AF$8),ROW(T_LEAVE[LEAVE CODE]))-ROW(T_LEAVE[#Headers]))))))),"")</f>
        <v/>
      </c>
      <c r="AG76" s="75" t="str">
        <f>IFERROR(IF(AG$8="","NA",IF(AG$8&lt;INDEX(T_EMP[START DATE],ROW($B76)-ROW($B$8)),"NE",IF(AND(INDEX(T_EMP[TERMINATION DATE],ROW($B76)-ROW($B$8))&gt;0,AG$8&gt;INDEX(T_EMP[TERMINATION DATE],ROW($B76)-ROW($B$8))),"NE",IF(NOT(ISERROR(MATCH(AG$8,L_HOLS,0))),"H",IF(INDEX(L_WKNDVAL,WEEKDAY(AG$8,1))=1,"WKND",INDEX(T_LEAVE[LEAVE CODE],SUMPRODUCT(--(T_LEAVE[NAME]=$B76),--(T_LEAVE[DATE]&lt;=AG$8),--(T_LEAVE[DATE]&gt;=AG$8),ROW(T_LEAVE[LEAVE CODE]))-ROW(T_LEAVE[#Headers]))))))),"")</f>
        <v/>
      </c>
      <c r="AH76" s="75" t="str">
        <f>IFERROR(IF(AH$8="","NA",IF(AH$8&lt;INDEX(T_EMP[START DATE],ROW($B76)-ROW($B$8)),"NE",IF(AND(INDEX(T_EMP[TERMINATION DATE],ROW($B76)-ROW($B$8))&gt;0,AH$8&gt;INDEX(T_EMP[TERMINATION DATE],ROW($B76)-ROW($B$8))),"NE",IF(NOT(ISERROR(MATCH(AH$8,L_HOLS,0))),"H",IF(INDEX(L_WKNDVAL,WEEKDAY(AH$8,1))=1,"WKND",INDEX(T_LEAVE[LEAVE CODE],SUMPRODUCT(--(T_LEAVE[NAME]=$B76),--(T_LEAVE[DATE]&lt;=AH$8),--(T_LEAVE[DATE]&gt;=AH$8),ROW(T_LEAVE[LEAVE CODE]))-ROW(T_LEAVE[#Headers]))))))),"")</f>
        <v/>
      </c>
      <c r="AJ76" s="88">
        <f>IF(OR($B76="",AJ$8=""),"",COUNTIFS($D76:$AH76,AJ$8)*INDEX(T_LEAVETYPE[DAY VALUE],1))</f>
        <v>0</v>
      </c>
      <c r="AK76" s="88">
        <f>IF(OR($B76="",AK$8=""),"",COUNTIFS($D76:$AH76,AK$8)*INDEX(T_LEAVETYPE[DAY VALUE],1))</f>
        <v>0</v>
      </c>
      <c r="AL76" s="88">
        <f>IF(OR($B76="",AL$8=""),"",COUNTIFS($D76:$AH76,AL$8)*INDEX(T_LEAVETYPE[DAY VALUE],1))</f>
        <v>0</v>
      </c>
      <c r="AM76" s="88">
        <f>IF(OR($B76="",AM$8=""),"",COUNTIFS($D76:$AH76,AM$8)*INDEX(T_LEAVETYPE[DAY VALUE],1))</f>
        <v>0</v>
      </c>
      <c r="AN76" s="88">
        <f>IF(OR($B76="",AN$8=""),"",COUNTIFS($D76:$AH76,AN$8)*INDEX(T_LEAVETYPE[DAY VALUE],1))</f>
        <v>0</v>
      </c>
      <c r="AO76" s="88">
        <f>IF(OR($B76="",AO$8=""),"",COUNTIFS($D76:$AH76,AO$8)*INDEX(T_LEAVETYPE[DAY VALUE],6))</f>
        <v>0</v>
      </c>
      <c r="AP76" s="88">
        <f>IF(OR($B76="",AP$8=""),"",COUNTIFS($D76:$AH76,AP$8)*INDEX(T_LEAVETYPE[DAY VALUE],7))</f>
        <v>0</v>
      </c>
      <c r="AQ76" s="88">
        <f>IF(OR($B76="",AQ$8=""),"",COUNTIFS($D76:$AH76,AQ$8)*INDEX(T_LEAVETYPE[DAY VALUE],8))</f>
        <v>0</v>
      </c>
      <c r="AR76" s="89">
        <f t="shared" si="5"/>
        <v>0</v>
      </c>
    </row>
    <row r="77" spans="1:44" x14ac:dyDescent="0.25">
      <c r="A77" s="90">
        <f t="shared" si="4"/>
        <v>69</v>
      </c>
      <c r="B77" s="74" t="str">
        <f>IFERROR(INDEX(T_EMP[NAME],ROW(B77)-ROW($B$8)),"")</f>
        <v>PELAEZ, JAMES RANDOLPH</v>
      </c>
      <c r="C77" s="91" t="str">
        <f>IFERROR(INDEX(T_EMP[DEPARTMENT],ROW(B77)-ROW($C$8)),"")</f>
        <v>PHARMTECH</v>
      </c>
      <c r="D77" s="75" t="str">
        <f>IFERROR(IF(D$8="","NA",IF(D$8&lt;INDEX(T_EMP[START DATE],ROW($B77)-ROW($B$8)),"NE",IF(AND(INDEX(T_EMP[TERMINATION DATE],ROW($B77)-ROW($B$8))&gt;0,D$8&gt;INDEX(T_EMP[TERMINATION DATE],ROW($B77)-ROW($B$8))),"NE",IF(NOT(ISERROR(MATCH(D$8,L_HOLS,0))),"H",IF(INDEX(L_WKNDVAL,WEEKDAY(D$8,1))=1,"WKND",INDEX(T_LEAVE[LEAVE CODE],SUMPRODUCT(--(T_LEAVE[NAME]=$B77),--(T_LEAVE[DATE]&lt;=D$8),--(T_LEAVE[DATE]&gt;=D$8),ROW(T_LEAVE[LEAVE CODE]))-ROW(T_LEAVE[#Headers]))))))),"")</f>
        <v>H</v>
      </c>
      <c r="E77" s="75" t="str">
        <f>IFERROR(IF(E$8="","NA",IF(E$8&lt;INDEX(T_EMP[START DATE],ROW($B77)-ROW($B$8)),"NE",IF(AND(INDEX(T_EMP[TERMINATION DATE],ROW($B77)-ROW($B$8))&gt;0,E$8&gt;INDEX(T_EMP[TERMINATION DATE],ROW($B77)-ROW($B$8))),"NE",IF(NOT(ISERROR(MATCH(E$8,L_HOLS,0))),"H",IF(INDEX(L_WKNDVAL,WEEKDAY(E$8,1))=1,"WKND",INDEX(T_LEAVE[LEAVE CODE],SUMPRODUCT(--(T_LEAVE[NAME]=$B77),--(T_LEAVE[DATE]&lt;=E$8),--(T_LEAVE[DATE]&gt;=E$8),ROW(T_LEAVE[LEAVE CODE]))-ROW(T_LEAVE[#Headers]))))))),"")</f>
        <v/>
      </c>
      <c r="F77" s="75" t="str">
        <f>IFERROR(IF(F$8="","NA",IF(F$8&lt;INDEX(T_EMP[START DATE],ROW($B77)-ROW($B$8)),"NE",IF(AND(INDEX(T_EMP[TERMINATION DATE],ROW($B77)-ROW($B$8))&gt;0,F$8&gt;INDEX(T_EMP[TERMINATION DATE],ROW($B77)-ROW($B$8))),"NE",IF(NOT(ISERROR(MATCH(F$8,L_HOLS,0))),"H",IF(INDEX(L_WKNDVAL,WEEKDAY(F$8,1))=1,"WKND",INDEX(T_LEAVE[LEAVE CODE],SUMPRODUCT(--(T_LEAVE[NAME]=$B77),--(T_LEAVE[DATE]&lt;=F$8),--(T_LEAVE[DATE]&gt;=F$8),ROW(T_LEAVE[LEAVE CODE]))-ROW(T_LEAVE[#Headers]))))))),"")</f>
        <v/>
      </c>
      <c r="G77" s="75" t="str">
        <f>IFERROR(IF(G$8="","NA",IF(G$8&lt;INDEX(T_EMP[START DATE],ROW($B77)-ROW($B$8)),"NE",IF(AND(INDEX(T_EMP[TERMINATION DATE],ROW($B77)-ROW($B$8))&gt;0,G$8&gt;INDEX(T_EMP[TERMINATION DATE],ROW($B77)-ROW($B$8))),"NE",IF(NOT(ISERROR(MATCH(G$8,L_HOLS,0))),"H",IF(INDEX(L_WKNDVAL,WEEKDAY(G$8,1))=1,"WKND",INDEX(T_LEAVE[LEAVE CODE],SUMPRODUCT(--(T_LEAVE[NAME]=$B77),--(T_LEAVE[DATE]&lt;=G$8),--(T_LEAVE[DATE]&gt;=G$8),ROW(T_LEAVE[LEAVE CODE]))-ROW(T_LEAVE[#Headers]))))))),"")</f>
        <v/>
      </c>
      <c r="H77" s="75" t="str">
        <f>IFERROR(IF(H$8="","NA",IF(H$8&lt;INDEX(T_EMP[START DATE],ROW($B77)-ROW($B$8)),"NE",IF(AND(INDEX(T_EMP[TERMINATION DATE],ROW($B77)-ROW($B$8))&gt;0,H$8&gt;INDEX(T_EMP[TERMINATION DATE],ROW($B77)-ROW($B$8))),"NE",IF(NOT(ISERROR(MATCH(H$8,L_HOLS,0))),"H",IF(INDEX(L_WKNDVAL,WEEKDAY(H$8,1))=1,"WKND",INDEX(T_LEAVE[LEAVE CODE],SUMPRODUCT(--(T_LEAVE[NAME]=$B77),--(T_LEAVE[DATE]&lt;=H$8),--(T_LEAVE[DATE]&gt;=H$8),ROW(T_LEAVE[LEAVE CODE]))-ROW(T_LEAVE[#Headers]))))))),"")</f>
        <v/>
      </c>
      <c r="I77" s="75" t="str">
        <f>IFERROR(IF(I$8="","NA",IF(I$8&lt;INDEX(T_EMP[START DATE],ROW($B77)-ROW($B$8)),"NE",IF(AND(INDEX(T_EMP[TERMINATION DATE],ROW($B77)-ROW($B$8))&gt;0,I$8&gt;INDEX(T_EMP[TERMINATION DATE],ROW($B77)-ROW($B$8))),"NE",IF(NOT(ISERROR(MATCH(I$8,L_HOLS,0))),"H",IF(INDEX(L_WKNDVAL,WEEKDAY(I$8,1))=1,"WKND",INDEX(T_LEAVE[LEAVE CODE],SUMPRODUCT(--(T_LEAVE[NAME]=$B77),--(T_LEAVE[DATE]&lt;=I$8),--(T_LEAVE[DATE]&gt;=I$8),ROW(T_LEAVE[LEAVE CODE]))-ROW(T_LEAVE[#Headers]))))))),"")</f>
        <v/>
      </c>
      <c r="J77" s="75" t="str">
        <f>IFERROR(IF(J$8="","NA",IF(J$8&lt;INDEX(T_EMP[START DATE],ROW($B77)-ROW($B$8)),"NE",IF(AND(INDEX(T_EMP[TERMINATION DATE],ROW($B77)-ROW($B$8))&gt;0,J$8&gt;INDEX(T_EMP[TERMINATION DATE],ROW($B77)-ROW($B$8))),"NE",IF(NOT(ISERROR(MATCH(J$8,L_HOLS,0))),"H",IF(INDEX(L_WKNDVAL,WEEKDAY(J$8,1))=1,"WKND",INDEX(T_LEAVE[LEAVE CODE],SUMPRODUCT(--(T_LEAVE[NAME]=$B77),--(T_LEAVE[DATE]&lt;=J$8),--(T_LEAVE[DATE]&gt;=J$8),ROW(T_LEAVE[LEAVE CODE]))-ROW(T_LEAVE[#Headers]))))))),"")</f>
        <v/>
      </c>
      <c r="K77" s="75" t="str">
        <f>IFERROR(IF(K$8="","NA",IF(K$8&lt;INDEX(T_EMP[START DATE],ROW($B77)-ROW($B$8)),"NE",IF(AND(INDEX(T_EMP[TERMINATION DATE],ROW($B77)-ROW($B$8))&gt;0,K$8&gt;INDEX(T_EMP[TERMINATION DATE],ROW($B77)-ROW($B$8))),"NE",IF(NOT(ISERROR(MATCH(K$8,L_HOLS,0))),"H",IF(INDEX(L_WKNDVAL,WEEKDAY(K$8,1))=1,"WKND",INDEX(T_LEAVE[LEAVE CODE],SUMPRODUCT(--(T_LEAVE[NAME]=$B77),--(T_LEAVE[DATE]&lt;=K$8),--(T_LEAVE[DATE]&gt;=K$8),ROW(T_LEAVE[LEAVE CODE]))-ROW(T_LEAVE[#Headers]))))))),"")</f>
        <v/>
      </c>
      <c r="L77" s="75" t="str">
        <f>IFERROR(IF(L$8="","NA",IF(L$8&lt;INDEX(T_EMP[START DATE],ROW($B77)-ROW($B$8)),"NE",IF(AND(INDEX(T_EMP[TERMINATION DATE],ROW($B77)-ROW($B$8))&gt;0,L$8&gt;INDEX(T_EMP[TERMINATION DATE],ROW($B77)-ROW($B$8))),"NE",IF(NOT(ISERROR(MATCH(L$8,L_HOLS,0))),"H",IF(INDEX(L_WKNDVAL,WEEKDAY(L$8,1))=1,"WKND",INDEX(T_LEAVE[LEAVE CODE],SUMPRODUCT(--(T_LEAVE[NAME]=$B77),--(T_LEAVE[DATE]&lt;=L$8),--(T_LEAVE[DATE]&gt;=L$8),ROW(T_LEAVE[LEAVE CODE]))-ROW(T_LEAVE[#Headers]))))))),"")</f>
        <v/>
      </c>
      <c r="M77" s="75" t="str">
        <f>IFERROR(IF(M$8="","NA",IF(M$8&lt;INDEX(T_EMP[START DATE],ROW($B77)-ROW($B$8)),"NE",IF(AND(INDEX(T_EMP[TERMINATION DATE],ROW($B77)-ROW($B$8))&gt;0,M$8&gt;INDEX(T_EMP[TERMINATION DATE],ROW($B77)-ROW($B$8))),"NE",IF(NOT(ISERROR(MATCH(M$8,L_HOLS,0))),"H",IF(INDEX(L_WKNDVAL,WEEKDAY(M$8,1))=1,"WKND",INDEX(T_LEAVE[LEAVE CODE],SUMPRODUCT(--(T_LEAVE[NAME]=$B77),--(T_LEAVE[DATE]&lt;=M$8),--(T_LEAVE[DATE]&gt;=M$8),ROW(T_LEAVE[LEAVE CODE]))-ROW(T_LEAVE[#Headers]))))))),"")</f>
        <v/>
      </c>
      <c r="N77" s="75" t="str">
        <f>IFERROR(IF(N$8="","NA",IF(N$8&lt;INDEX(T_EMP[START DATE],ROW($B77)-ROW($B$8)),"NE",IF(AND(INDEX(T_EMP[TERMINATION DATE],ROW($B77)-ROW($B$8))&gt;0,N$8&gt;INDEX(T_EMP[TERMINATION DATE],ROW($B77)-ROW($B$8))),"NE",IF(NOT(ISERROR(MATCH(N$8,L_HOLS,0))),"H",IF(INDEX(L_WKNDVAL,WEEKDAY(N$8,1))=1,"WKND",INDEX(T_LEAVE[LEAVE CODE],SUMPRODUCT(--(T_LEAVE[NAME]=$B77),--(T_LEAVE[DATE]&lt;=N$8),--(T_LEAVE[DATE]&gt;=N$8),ROW(T_LEAVE[LEAVE CODE]))-ROW(T_LEAVE[#Headers]))))))),"")</f>
        <v/>
      </c>
      <c r="O77" s="75" t="str">
        <f>IFERROR(IF(O$8="","NA",IF(O$8&lt;INDEX(T_EMP[START DATE],ROW($B77)-ROW($B$8)),"NE",IF(AND(INDEX(T_EMP[TERMINATION DATE],ROW($B77)-ROW($B$8))&gt;0,O$8&gt;INDEX(T_EMP[TERMINATION DATE],ROW($B77)-ROW($B$8))),"NE",IF(NOT(ISERROR(MATCH(O$8,L_HOLS,0))),"H",IF(INDEX(L_WKNDVAL,WEEKDAY(O$8,1))=1,"WKND",INDEX(T_LEAVE[LEAVE CODE],SUMPRODUCT(--(T_LEAVE[NAME]=$B77),--(T_LEAVE[DATE]&lt;=O$8),--(T_LEAVE[DATE]&gt;=O$8),ROW(T_LEAVE[LEAVE CODE]))-ROW(T_LEAVE[#Headers]))))))),"")</f>
        <v/>
      </c>
      <c r="P77" s="75" t="str">
        <f>IFERROR(IF(P$8="","NA",IF(P$8&lt;INDEX(T_EMP[START DATE],ROW($B77)-ROW($B$8)),"NE",IF(AND(INDEX(T_EMP[TERMINATION DATE],ROW($B77)-ROW($B$8))&gt;0,P$8&gt;INDEX(T_EMP[TERMINATION DATE],ROW($B77)-ROW($B$8))),"NE",IF(NOT(ISERROR(MATCH(P$8,L_HOLS,0))),"H",IF(INDEX(L_WKNDVAL,WEEKDAY(P$8,1))=1,"WKND",INDEX(T_LEAVE[LEAVE CODE],SUMPRODUCT(--(T_LEAVE[NAME]=$B77),--(T_LEAVE[DATE]&lt;=P$8),--(T_LEAVE[DATE]&gt;=P$8),ROW(T_LEAVE[LEAVE CODE]))-ROW(T_LEAVE[#Headers]))))))),"")</f>
        <v>H</v>
      </c>
      <c r="Q77" s="75" t="str">
        <f>IFERROR(IF(Q$8="","NA",IF(Q$8&lt;INDEX(T_EMP[START DATE],ROW($B77)-ROW($B$8)),"NE",IF(AND(INDEX(T_EMP[TERMINATION DATE],ROW($B77)-ROW($B$8))&gt;0,Q$8&gt;INDEX(T_EMP[TERMINATION DATE],ROW($B77)-ROW($B$8))),"NE",IF(NOT(ISERROR(MATCH(Q$8,L_HOLS,0))),"H",IF(INDEX(L_WKNDVAL,WEEKDAY(Q$8,1))=1,"WKND",INDEX(T_LEAVE[LEAVE CODE],SUMPRODUCT(--(T_LEAVE[NAME]=$B77),--(T_LEAVE[DATE]&lt;=Q$8),--(T_LEAVE[DATE]&gt;=Q$8),ROW(T_LEAVE[LEAVE CODE]))-ROW(T_LEAVE[#Headers]))))))),"")</f>
        <v/>
      </c>
      <c r="R77" s="75" t="str">
        <f>IFERROR(IF(R$8="","NA",IF(R$8&lt;INDEX(T_EMP[START DATE],ROW($B77)-ROW($B$8)),"NE",IF(AND(INDEX(T_EMP[TERMINATION DATE],ROW($B77)-ROW($B$8))&gt;0,R$8&gt;INDEX(T_EMP[TERMINATION DATE],ROW($B77)-ROW($B$8))),"NE",IF(NOT(ISERROR(MATCH(R$8,L_HOLS,0))),"H",IF(INDEX(L_WKNDVAL,WEEKDAY(R$8,1))=1,"WKND",INDEX(T_LEAVE[LEAVE CODE],SUMPRODUCT(--(T_LEAVE[NAME]=$B77),--(T_LEAVE[DATE]&lt;=R$8),--(T_LEAVE[DATE]&gt;=R$8),ROW(T_LEAVE[LEAVE CODE]))-ROW(T_LEAVE[#Headers]))))))),"")</f>
        <v/>
      </c>
      <c r="S77" s="75" t="str">
        <f>IFERROR(IF(S$8="","NA",IF(S$8&lt;INDEX(T_EMP[START DATE],ROW($B77)-ROW($B$8)),"NE",IF(AND(INDEX(T_EMP[TERMINATION DATE],ROW($B77)-ROW($B$8))&gt;0,S$8&gt;INDEX(T_EMP[TERMINATION DATE],ROW($B77)-ROW($B$8))),"NE",IF(NOT(ISERROR(MATCH(S$8,L_HOLS,0))),"H",IF(INDEX(L_WKNDVAL,WEEKDAY(S$8,1))=1,"WKND",INDEX(T_LEAVE[LEAVE CODE],SUMPRODUCT(--(T_LEAVE[NAME]=$B77),--(T_LEAVE[DATE]&lt;=S$8),--(T_LEAVE[DATE]&gt;=S$8),ROW(T_LEAVE[LEAVE CODE]))-ROW(T_LEAVE[#Headers]))))))),"")</f>
        <v/>
      </c>
      <c r="T77" s="75" t="str">
        <f>IFERROR(IF(T$8="","NA",IF(T$8&lt;INDEX(T_EMP[START DATE],ROW($B77)-ROW($B$8)),"NE",IF(AND(INDEX(T_EMP[TERMINATION DATE],ROW($B77)-ROW($B$8))&gt;0,T$8&gt;INDEX(T_EMP[TERMINATION DATE],ROW($B77)-ROW($B$8))),"NE",IF(NOT(ISERROR(MATCH(T$8,L_HOLS,0))),"H",IF(INDEX(L_WKNDVAL,WEEKDAY(T$8,1))=1,"WKND",INDEX(T_LEAVE[LEAVE CODE],SUMPRODUCT(--(T_LEAVE[NAME]=$B77),--(T_LEAVE[DATE]&lt;=T$8),--(T_LEAVE[DATE]&gt;=T$8),ROW(T_LEAVE[LEAVE CODE]))-ROW(T_LEAVE[#Headers]))))))),"")</f>
        <v/>
      </c>
      <c r="U77" s="75" t="str">
        <f>IFERROR(IF(U$8="","NA",IF(U$8&lt;INDEX(T_EMP[START DATE],ROW($B77)-ROW($B$8)),"NE",IF(AND(INDEX(T_EMP[TERMINATION DATE],ROW($B77)-ROW($B$8))&gt;0,U$8&gt;INDEX(T_EMP[TERMINATION DATE],ROW($B77)-ROW($B$8))),"NE",IF(NOT(ISERROR(MATCH(U$8,L_HOLS,0))),"H",IF(INDEX(L_WKNDVAL,WEEKDAY(U$8,1))=1,"WKND",INDEX(T_LEAVE[LEAVE CODE],SUMPRODUCT(--(T_LEAVE[NAME]=$B77),--(T_LEAVE[DATE]&lt;=U$8),--(T_LEAVE[DATE]&gt;=U$8),ROW(T_LEAVE[LEAVE CODE]))-ROW(T_LEAVE[#Headers]))))))),"")</f>
        <v/>
      </c>
      <c r="V77" s="75" t="str">
        <f>IFERROR(IF(V$8="","NA",IF(V$8&lt;INDEX(T_EMP[START DATE],ROW($B77)-ROW($B$8)),"NE",IF(AND(INDEX(T_EMP[TERMINATION DATE],ROW($B77)-ROW($B$8))&gt;0,V$8&gt;INDEX(T_EMP[TERMINATION DATE],ROW($B77)-ROW($B$8))),"NE",IF(NOT(ISERROR(MATCH(V$8,L_HOLS,0))),"H",IF(INDEX(L_WKNDVAL,WEEKDAY(V$8,1))=1,"WKND",INDEX(T_LEAVE[LEAVE CODE],SUMPRODUCT(--(T_LEAVE[NAME]=$B77),--(T_LEAVE[DATE]&lt;=V$8),--(T_LEAVE[DATE]&gt;=V$8),ROW(T_LEAVE[LEAVE CODE]))-ROW(T_LEAVE[#Headers]))))))),"")</f>
        <v/>
      </c>
      <c r="W77" s="75" t="str">
        <f>IFERROR(IF(W$8="","NA",IF(W$8&lt;INDEX(T_EMP[START DATE],ROW($B77)-ROW($B$8)),"NE",IF(AND(INDEX(T_EMP[TERMINATION DATE],ROW($B77)-ROW($B$8))&gt;0,W$8&gt;INDEX(T_EMP[TERMINATION DATE],ROW($B77)-ROW($B$8))),"NE",IF(NOT(ISERROR(MATCH(W$8,L_HOLS,0))),"H",IF(INDEX(L_WKNDVAL,WEEKDAY(W$8,1))=1,"WKND",INDEX(T_LEAVE[LEAVE CODE],SUMPRODUCT(--(T_LEAVE[NAME]=$B77),--(T_LEAVE[DATE]&lt;=W$8),--(T_LEAVE[DATE]&gt;=W$8),ROW(T_LEAVE[LEAVE CODE]))-ROW(T_LEAVE[#Headers]))))))),"")</f>
        <v/>
      </c>
      <c r="X77" s="75" t="str">
        <f>IFERROR(IF(X$8="","NA",IF(X$8&lt;INDEX(T_EMP[START DATE],ROW($B77)-ROW($B$8)),"NE",IF(AND(INDEX(T_EMP[TERMINATION DATE],ROW($B77)-ROW($B$8))&gt;0,X$8&gt;INDEX(T_EMP[TERMINATION DATE],ROW($B77)-ROW($B$8))),"NE",IF(NOT(ISERROR(MATCH(X$8,L_HOLS,0))),"H",IF(INDEX(L_WKNDVAL,WEEKDAY(X$8,1))=1,"WKND",INDEX(T_LEAVE[LEAVE CODE],SUMPRODUCT(--(T_LEAVE[NAME]=$B77),--(T_LEAVE[DATE]&lt;=X$8),--(T_LEAVE[DATE]&gt;=X$8),ROW(T_LEAVE[LEAVE CODE]))-ROW(T_LEAVE[#Headers]))))))),"")</f>
        <v/>
      </c>
      <c r="Y77" s="75" t="str">
        <f>IFERROR(IF(Y$8="","NA",IF(Y$8&lt;INDEX(T_EMP[START DATE],ROW($B77)-ROW($B$8)),"NE",IF(AND(INDEX(T_EMP[TERMINATION DATE],ROW($B77)-ROW($B$8))&gt;0,Y$8&gt;INDEX(T_EMP[TERMINATION DATE],ROW($B77)-ROW($B$8))),"NE",IF(NOT(ISERROR(MATCH(Y$8,L_HOLS,0))),"H",IF(INDEX(L_WKNDVAL,WEEKDAY(Y$8,1))=1,"WKND",INDEX(T_LEAVE[LEAVE CODE],SUMPRODUCT(--(T_LEAVE[NAME]=$B77),--(T_LEAVE[DATE]&lt;=Y$8),--(T_LEAVE[DATE]&gt;=Y$8),ROW(T_LEAVE[LEAVE CODE]))-ROW(T_LEAVE[#Headers]))))))),"")</f>
        <v/>
      </c>
      <c r="Z77" s="75" t="str">
        <f>IFERROR(IF(Z$8="","NA",IF(Z$8&lt;INDEX(T_EMP[START DATE],ROW($B77)-ROW($B$8)),"NE",IF(AND(INDEX(T_EMP[TERMINATION DATE],ROW($B77)-ROW($B$8))&gt;0,Z$8&gt;INDEX(T_EMP[TERMINATION DATE],ROW($B77)-ROW($B$8))),"NE",IF(NOT(ISERROR(MATCH(Z$8,L_HOLS,0))),"H",IF(INDEX(L_WKNDVAL,WEEKDAY(Z$8,1))=1,"WKND",INDEX(T_LEAVE[LEAVE CODE],SUMPRODUCT(--(T_LEAVE[NAME]=$B77),--(T_LEAVE[DATE]&lt;=Z$8),--(T_LEAVE[DATE]&gt;=Z$8),ROW(T_LEAVE[LEAVE CODE]))-ROW(T_LEAVE[#Headers]))))))),"")</f>
        <v/>
      </c>
      <c r="AA77" s="75" t="str">
        <f>IFERROR(IF(AA$8="","NA",IF(AA$8&lt;INDEX(T_EMP[START DATE],ROW($B77)-ROW($B$8)),"NE",IF(AND(INDEX(T_EMP[TERMINATION DATE],ROW($B77)-ROW($B$8))&gt;0,AA$8&gt;INDEX(T_EMP[TERMINATION DATE],ROW($B77)-ROW($B$8))),"NE",IF(NOT(ISERROR(MATCH(AA$8,L_HOLS,0))),"H",IF(INDEX(L_WKNDVAL,WEEKDAY(AA$8,1))=1,"WKND",INDEX(T_LEAVE[LEAVE CODE],SUMPRODUCT(--(T_LEAVE[NAME]=$B77),--(T_LEAVE[DATE]&lt;=AA$8),--(T_LEAVE[DATE]&gt;=AA$8),ROW(T_LEAVE[LEAVE CODE]))-ROW(T_LEAVE[#Headers]))))))),"")</f>
        <v/>
      </c>
      <c r="AB77" s="75" t="str">
        <f>IFERROR(IF(AB$8="","NA",IF(AB$8&lt;INDEX(T_EMP[START DATE],ROW($B77)-ROW($B$8)),"NE",IF(AND(INDEX(T_EMP[TERMINATION DATE],ROW($B77)-ROW($B$8))&gt;0,AB$8&gt;INDEX(T_EMP[TERMINATION DATE],ROW($B77)-ROW($B$8))),"NE",IF(NOT(ISERROR(MATCH(AB$8,L_HOLS,0))),"H",IF(INDEX(L_WKNDVAL,WEEKDAY(AB$8,1))=1,"WKND",INDEX(T_LEAVE[LEAVE CODE],SUMPRODUCT(--(T_LEAVE[NAME]=$B77),--(T_LEAVE[DATE]&lt;=AB$8),--(T_LEAVE[DATE]&gt;=AB$8),ROW(T_LEAVE[LEAVE CODE]))-ROW(T_LEAVE[#Headers]))))))),"")</f>
        <v/>
      </c>
      <c r="AC77" s="75" t="str">
        <f>IFERROR(IF(AC$8="","NA",IF(AC$8&lt;INDEX(T_EMP[START DATE],ROW($B77)-ROW($B$8)),"NE",IF(AND(INDEX(T_EMP[TERMINATION DATE],ROW($B77)-ROW($B$8))&gt;0,AC$8&gt;INDEX(T_EMP[TERMINATION DATE],ROW($B77)-ROW($B$8))),"NE",IF(NOT(ISERROR(MATCH(AC$8,L_HOLS,0))),"H",IF(INDEX(L_WKNDVAL,WEEKDAY(AC$8,1))=1,"WKND",INDEX(T_LEAVE[LEAVE CODE],SUMPRODUCT(--(T_LEAVE[NAME]=$B77),--(T_LEAVE[DATE]&lt;=AC$8),--(T_LEAVE[DATE]&gt;=AC$8),ROW(T_LEAVE[LEAVE CODE]))-ROW(T_LEAVE[#Headers]))))))),"")</f>
        <v/>
      </c>
      <c r="AD77" s="75" t="str">
        <f>IFERROR(IF(AD$8="","NA",IF(AD$8&lt;INDEX(T_EMP[START DATE],ROW($B77)-ROW($B$8)),"NE",IF(AND(INDEX(T_EMP[TERMINATION DATE],ROW($B77)-ROW($B$8))&gt;0,AD$8&gt;INDEX(T_EMP[TERMINATION DATE],ROW($B77)-ROW($B$8))),"NE",IF(NOT(ISERROR(MATCH(AD$8,L_HOLS,0))),"H",IF(INDEX(L_WKNDVAL,WEEKDAY(AD$8,1))=1,"WKND",INDEX(T_LEAVE[LEAVE CODE],SUMPRODUCT(--(T_LEAVE[NAME]=$B77),--(T_LEAVE[DATE]&lt;=AD$8),--(T_LEAVE[DATE]&gt;=AD$8),ROW(T_LEAVE[LEAVE CODE]))-ROW(T_LEAVE[#Headers]))))))),"")</f>
        <v/>
      </c>
      <c r="AE77" s="75" t="str">
        <f>IFERROR(IF(AE$8="","NA",IF(AE$8&lt;INDEX(T_EMP[START DATE],ROW($B77)-ROW($B$8)),"NE",IF(AND(INDEX(T_EMP[TERMINATION DATE],ROW($B77)-ROW($B$8))&gt;0,AE$8&gt;INDEX(T_EMP[TERMINATION DATE],ROW($B77)-ROW($B$8))),"NE",IF(NOT(ISERROR(MATCH(AE$8,L_HOLS,0))),"H",IF(INDEX(L_WKNDVAL,WEEKDAY(AE$8,1))=1,"WKND",INDEX(T_LEAVE[LEAVE CODE],SUMPRODUCT(--(T_LEAVE[NAME]=$B77),--(T_LEAVE[DATE]&lt;=AE$8),--(T_LEAVE[DATE]&gt;=AE$8),ROW(T_LEAVE[LEAVE CODE]))-ROW(T_LEAVE[#Headers]))))))),"")</f>
        <v/>
      </c>
      <c r="AF77" s="75" t="str">
        <f>IFERROR(IF(AF$8="","NA",IF(AF$8&lt;INDEX(T_EMP[START DATE],ROW($B77)-ROW($B$8)),"NE",IF(AND(INDEX(T_EMP[TERMINATION DATE],ROW($B77)-ROW($B$8))&gt;0,AF$8&gt;INDEX(T_EMP[TERMINATION DATE],ROW($B77)-ROW($B$8))),"NE",IF(NOT(ISERROR(MATCH(AF$8,L_HOLS,0))),"H",IF(INDEX(L_WKNDVAL,WEEKDAY(AF$8,1))=1,"WKND",INDEX(T_LEAVE[LEAVE CODE],SUMPRODUCT(--(T_LEAVE[NAME]=$B77),--(T_LEAVE[DATE]&lt;=AF$8),--(T_LEAVE[DATE]&gt;=AF$8),ROW(T_LEAVE[LEAVE CODE]))-ROW(T_LEAVE[#Headers]))))))),"")</f>
        <v/>
      </c>
      <c r="AG77" s="75" t="str">
        <f>IFERROR(IF(AG$8="","NA",IF(AG$8&lt;INDEX(T_EMP[START DATE],ROW($B77)-ROW($B$8)),"NE",IF(AND(INDEX(T_EMP[TERMINATION DATE],ROW($B77)-ROW($B$8))&gt;0,AG$8&gt;INDEX(T_EMP[TERMINATION DATE],ROW($B77)-ROW($B$8))),"NE",IF(NOT(ISERROR(MATCH(AG$8,L_HOLS,0))),"H",IF(INDEX(L_WKNDVAL,WEEKDAY(AG$8,1))=1,"WKND",INDEX(T_LEAVE[LEAVE CODE],SUMPRODUCT(--(T_LEAVE[NAME]=$B77),--(T_LEAVE[DATE]&lt;=AG$8),--(T_LEAVE[DATE]&gt;=AG$8),ROW(T_LEAVE[LEAVE CODE]))-ROW(T_LEAVE[#Headers]))))))),"")</f>
        <v/>
      </c>
      <c r="AH77" s="75" t="str">
        <f>IFERROR(IF(AH$8="","NA",IF(AH$8&lt;INDEX(T_EMP[START DATE],ROW($B77)-ROW($B$8)),"NE",IF(AND(INDEX(T_EMP[TERMINATION DATE],ROW($B77)-ROW($B$8))&gt;0,AH$8&gt;INDEX(T_EMP[TERMINATION DATE],ROW($B77)-ROW($B$8))),"NE",IF(NOT(ISERROR(MATCH(AH$8,L_HOLS,0))),"H",IF(INDEX(L_WKNDVAL,WEEKDAY(AH$8,1))=1,"WKND",INDEX(T_LEAVE[LEAVE CODE],SUMPRODUCT(--(T_LEAVE[NAME]=$B77),--(T_LEAVE[DATE]&lt;=AH$8),--(T_LEAVE[DATE]&gt;=AH$8),ROW(T_LEAVE[LEAVE CODE]))-ROW(T_LEAVE[#Headers]))))))),"")</f>
        <v/>
      </c>
      <c r="AJ77" s="88">
        <f>IF(OR($B77="",AJ$8=""),"",COUNTIFS($D77:$AH77,AJ$8)*INDEX(T_LEAVETYPE[DAY VALUE],1))</f>
        <v>0</v>
      </c>
      <c r="AK77" s="88">
        <f>IF(OR($B77="",AK$8=""),"",COUNTIFS($D77:$AH77,AK$8)*INDEX(T_LEAVETYPE[DAY VALUE],1))</f>
        <v>0</v>
      </c>
      <c r="AL77" s="88">
        <f>IF(OR($B77="",AL$8=""),"",COUNTIFS($D77:$AH77,AL$8)*INDEX(T_LEAVETYPE[DAY VALUE],1))</f>
        <v>0</v>
      </c>
      <c r="AM77" s="88">
        <f>IF(OR($B77="",AM$8=""),"",COUNTIFS($D77:$AH77,AM$8)*INDEX(T_LEAVETYPE[DAY VALUE],1))</f>
        <v>0</v>
      </c>
      <c r="AN77" s="88">
        <f>IF(OR($B77="",AN$8=""),"",COUNTIFS($D77:$AH77,AN$8)*INDEX(T_LEAVETYPE[DAY VALUE],1))</f>
        <v>0</v>
      </c>
      <c r="AO77" s="88">
        <f>IF(OR($B77="",AO$8=""),"",COUNTIFS($D77:$AH77,AO$8)*INDEX(T_LEAVETYPE[DAY VALUE],6))</f>
        <v>0</v>
      </c>
      <c r="AP77" s="88">
        <f>IF(OR($B77="",AP$8=""),"",COUNTIFS($D77:$AH77,AP$8)*INDEX(T_LEAVETYPE[DAY VALUE],7))</f>
        <v>0</v>
      </c>
      <c r="AQ77" s="88">
        <f>IF(OR($B77="",AQ$8=""),"",COUNTIFS($D77:$AH77,AQ$8)*INDEX(T_LEAVETYPE[DAY VALUE],8))</f>
        <v>0</v>
      </c>
      <c r="AR77" s="89">
        <f t="shared" si="5"/>
        <v>0</v>
      </c>
    </row>
    <row r="78" spans="1:44" x14ac:dyDescent="0.25">
      <c r="A78" s="90">
        <f t="shared" si="4"/>
        <v>70</v>
      </c>
      <c r="B78" s="74" t="str">
        <f>IFERROR(INDEX(T_EMP[NAME],ROW(B78)-ROW($B$8)),"")</f>
        <v>VERTUCIO, MARION JOY</v>
      </c>
      <c r="C78" s="91" t="str">
        <f>IFERROR(INDEX(T_EMP[DEPARTMENT],ROW(B78)-ROW($C$8)),"")</f>
        <v>PHARMTECH</v>
      </c>
      <c r="D78" s="75" t="str">
        <f>IFERROR(IF(D$8="","NA",IF(D$8&lt;INDEX(T_EMP[START DATE],ROW($B78)-ROW($B$8)),"NE",IF(AND(INDEX(T_EMP[TERMINATION DATE],ROW($B78)-ROW($B$8))&gt;0,D$8&gt;INDEX(T_EMP[TERMINATION DATE],ROW($B78)-ROW($B$8))),"NE",IF(NOT(ISERROR(MATCH(D$8,L_HOLS,0))),"H",IF(INDEX(L_WKNDVAL,WEEKDAY(D$8,1))=1,"WKND",INDEX(T_LEAVE[LEAVE CODE],SUMPRODUCT(--(T_LEAVE[NAME]=$B78),--(T_LEAVE[DATE]&lt;=D$8),--(T_LEAVE[DATE]&gt;=D$8),ROW(T_LEAVE[LEAVE CODE]))-ROW(T_LEAVE[#Headers]))))))),"")</f>
        <v>H</v>
      </c>
      <c r="E78" s="75" t="str">
        <f>IFERROR(IF(E$8="","NA",IF(E$8&lt;INDEX(T_EMP[START DATE],ROW($B78)-ROW($B$8)),"NE",IF(AND(INDEX(T_EMP[TERMINATION DATE],ROW($B78)-ROW($B$8))&gt;0,E$8&gt;INDEX(T_EMP[TERMINATION DATE],ROW($B78)-ROW($B$8))),"NE",IF(NOT(ISERROR(MATCH(E$8,L_HOLS,0))),"H",IF(INDEX(L_WKNDVAL,WEEKDAY(E$8,1))=1,"WKND",INDEX(T_LEAVE[LEAVE CODE],SUMPRODUCT(--(T_LEAVE[NAME]=$B78),--(T_LEAVE[DATE]&lt;=E$8),--(T_LEAVE[DATE]&gt;=E$8),ROW(T_LEAVE[LEAVE CODE]))-ROW(T_LEAVE[#Headers]))))))),"")</f>
        <v/>
      </c>
      <c r="F78" s="75" t="str">
        <f>IFERROR(IF(F$8="","NA",IF(F$8&lt;INDEX(T_EMP[START DATE],ROW($B78)-ROW($B$8)),"NE",IF(AND(INDEX(T_EMP[TERMINATION DATE],ROW($B78)-ROW($B$8))&gt;0,F$8&gt;INDEX(T_EMP[TERMINATION DATE],ROW($B78)-ROW($B$8))),"NE",IF(NOT(ISERROR(MATCH(F$8,L_HOLS,0))),"H",IF(INDEX(L_WKNDVAL,WEEKDAY(F$8,1))=1,"WKND",INDEX(T_LEAVE[LEAVE CODE],SUMPRODUCT(--(T_LEAVE[NAME]=$B78),--(T_LEAVE[DATE]&lt;=F$8),--(T_LEAVE[DATE]&gt;=F$8),ROW(T_LEAVE[LEAVE CODE]))-ROW(T_LEAVE[#Headers]))))))),"")</f>
        <v/>
      </c>
      <c r="G78" s="75" t="str">
        <f>IFERROR(IF(G$8="","NA",IF(G$8&lt;INDEX(T_EMP[START DATE],ROW($B78)-ROW($B$8)),"NE",IF(AND(INDEX(T_EMP[TERMINATION DATE],ROW($B78)-ROW($B$8))&gt;0,G$8&gt;INDEX(T_EMP[TERMINATION DATE],ROW($B78)-ROW($B$8))),"NE",IF(NOT(ISERROR(MATCH(G$8,L_HOLS,0))),"H",IF(INDEX(L_WKNDVAL,WEEKDAY(G$8,1))=1,"WKND",INDEX(T_LEAVE[LEAVE CODE],SUMPRODUCT(--(T_LEAVE[NAME]=$B78),--(T_LEAVE[DATE]&lt;=G$8),--(T_LEAVE[DATE]&gt;=G$8),ROW(T_LEAVE[LEAVE CODE]))-ROW(T_LEAVE[#Headers]))))))),"")</f>
        <v/>
      </c>
      <c r="H78" s="75" t="str">
        <f>IFERROR(IF(H$8="","NA",IF(H$8&lt;INDEX(T_EMP[START DATE],ROW($B78)-ROW($B$8)),"NE",IF(AND(INDEX(T_EMP[TERMINATION DATE],ROW($B78)-ROW($B$8))&gt;0,H$8&gt;INDEX(T_EMP[TERMINATION DATE],ROW($B78)-ROW($B$8))),"NE",IF(NOT(ISERROR(MATCH(H$8,L_HOLS,0))),"H",IF(INDEX(L_WKNDVAL,WEEKDAY(H$8,1))=1,"WKND",INDEX(T_LEAVE[LEAVE CODE],SUMPRODUCT(--(T_LEAVE[NAME]=$B78),--(T_LEAVE[DATE]&lt;=H$8),--(T_LEAVE[DATE]&gt;=H$8),ROW(T_LEAVE[LEAVE CODE]))-ROW(T_LEAVE[#Headers]))))))),"")</f>
        <v/>
      </c>
      <c r="I78" s="75" t="str">
        <f>IFERROR(IF(I$8="","NA",IF(I$8&lt;INDEX(T_EMP[START DATE],ROW($B78)-ROW($B$8)),"NE",IF(AND(INDEX(T_EMP[TERMINATION DATE],ROW($B78)-ROW($B$8))&gt;0,I$8&gt;INDEX(T_EMP[TERMINATION DATE],ROW($B78)-ROW($B$8))),"NE",IF(NOT(ISERROR(MATCH(I$8,L_HOLS,0))),"H",IF(INDEX(L_WKNDVAL,WEEKDAY(I$8,1))=1,"WKND",INDEX(T_LEAVE[LEAVE CODE],SUMPRODUCT(--(T_LEAVE[NAME]=$B78),--(T_LEAVE[DATE]&lt;=I$8),--(T_LEAVE[DATE]&gt;=I$8),ROW(T_LEAVE[LEAVE CODE]))-ROW(T_LEAVE[#Headers]))))))),"")</f>
        <v/>
      </c>
      <c r="J78" s="75" t="str">
        <f>IFERROR(IF(J$8="","NA",IF(J$8&lt;INDEX(T_EMP[START DATE],ROW($B78)-ROW($B$8)),"NE",IF(AND(INDEX(T_EMP[TERMINATION DATE],ROW($B78)-ROW($B$8))&gt;0,J$8&gt;INDEX(T_EMP[TERMINATION DATE],ROW($B78)-ROW($B$8))),"NE",IF(NOT(ISERROR(MATCH(J$8,L_HOLS,0))),"H",IF(INDEX(L_WKNDVAL,WEEKDAY(J$8,1))=1,"WKND",INDEX(T_LEAVE[LEAVE CODE],SUMPRODUCT(--(T_LEAVE[NAME]=$B78),--(T_LEAVE[DATE]&lt;=J$8),--(T_LEAVE[DATE]&gt;=J$8),ROW(T_LEAVE[LEAVE CODE]))-ROW(T_LEAVE[#Headers]))))))),"")</f>
        <v/>
      </c>
      <c r="K78" s="75" t="str">
        <f>IFERROR(IF(K$8="","NA",IF(K$8&lt;INDEX(T_EMP[START DATE],ROW($B78)-ROW($B$8)),"NE",IF(AND(INDEX(T_EMP[TERMINATION DATE],ROW($B78)-ROW($B$8))&gt;0,K$8&gt;INDEX(T_EMP[TERMINATION DATE],ROW($B78)-ROW($B$8))),"NE",IF(NOT(ISERROR(MATCH(K$8,L_HOLS,0))),"H",IF(INDEX(L_WKNDVAL,WEEKDAY(K$8,1))=1,"WKND",INDEX(T_LEAVE[LEAVE CODE],SUMPRODUCT(--(T_LEAVE[NAME]=$B78),--(T_LEAVE[DATE]&lt;=K$8),--(T_LEAVE[DATE]&gt;=K$8),ROW(T_LEAVE[LEAVE CODE]))-ROW(T_LEAVE[#Headers]))))))),"")</f>
        <v/>
      </c>
      <c r="L78" s="75" t="str">
        <f>IFERROR(IF(L$8="","NA",IF(L$8&lt;INDEX(T_EMP[START DATE],ROW($B78)-ROW($B$8)),"NE",IF(AND(INDEX(T_EMP[TERMINATION DATE],ROW($B78)-ROW($B$8))&gt;0,L$8&gt;INDEX(T_EMP[TERMINATION DATE],ROW($B78)-ROW($B$8))),"NE",IF(NOT(ISERROR(MATCH(L$8,L_HOLS,0))),"H",IF(INDEX(L_WKNDVAL,WEEKDAY(L$8,1))=1,"WKND",INDEX(T_LEAVE[LEAVE CODE],SUMPRODUCT(--(T_LEAVE[NAME]=$B78),--(T_LEAVE[DATE]&lt;=L$8),--(T_LEAVE[DATE]&gt;=L$8),ROW(T_LEAVE[LEAVE CODE]))-ROW(T_LEAVE[#Headers]))))))),"")</f>
        <v/>
      </c>
      <c r="M78" s="75" t="str">
        <f>IFERROR(IF(M$8="","NA",IF(M$8&lt;INDEX(T_EMP[START DATE],ROW($B78)-ROW($B$8)),"NE",IF(AND(INDEX(T_EMP[TERMINATION DATE],ROW($B78)-ROW($B$8))&gt;0,M$8&gt;INDEX(T_EMP[TERMINATION DATE],ROW($B78)-ROW($B$8))),"NE",IF(NOT(ISERROR(MATCH(M$8,L_HOLS,0))),"H",IF(INDEX(L_WKNDVAL,WEEKDAY(M$8,1))=1,"WKND",INDEX(T_LEAVE[LEAVE CODE],SUMPRODUCT(--(T_LEAVE[NAME]=$B78),--(T_LEAVE[DATE]&lt;=M$8),--(T_LEAVE[DATE]&gt;=M$8),ROW(T_LEAVE[LEAVE CODE]))-ROW(T_LEAVE[#Headers]))))))),"")</f>
        <v/>
      </c>
      <c r="N78" s="75" t="str">
        <f>IFERROR(IF(N$8="","NA",IF(N$8&lt;INDEX(T_EMP[START DATE],ROW($B78)-ROW($B$8)),"NE",IF(AND(INDEX(T_EMP[TERMINATION DATE],ROW($B78)-ROW($B$8))&gt;0,N$8&gt;INDEX(T_EMP[TERMINATION DATE],ROW($B78)-ROW($B$8))),"NE",IF(NOT(ISERROR(MATCH(N$8,L_HOLS,0))),"H",IF(INDEX(L_WKNDVAL,WEEKDAY(N$8,1))=1,"WKND",INDEX(T_LEAVE[LEAVE CODE],SUMPRODUCT(--(T_LEAVE[NAME]=$B78),--(T_LEAVE[DATE]&lt;=N$8),--(T_LEAVE[DATE]&gt;=N$8),ROW(T_LEAVE[LEAVE CODE]))-ROW(T_LEAVE[#Headers]))))))),"")</f>
        <v/>
      </c>
      <c r="O78" s="75" t="str">
        <f>IFERROR(IF(O$8="","NA",IF(O$8&lt;INDEX(T_EMP[START DATE],ROW($B78)-ROW($B$8)),"NE",IF(AND(INDEX(T_EMP[TERMINATION DATE],ROW($B78)-ROW($B$8))&gt;0,O$8&gt;INDEX(T_EMP[TERMINATION DATE],ROW($B78)-ROW($B$8))),"NE",IF(NOT(ISERROR(MATCH(O$8,L_HOLS,0))),"H",IF(INDEX(L_WKNDVAL,WEEKDAY(O$8,1))=1,"WKND",INDEX(T_LEAVE[LEAVE CODE],SUMPRODUCT(--(T_LEAVE[NAME]=$B78),--(T_LEAVE[DATE]&lt;=O$8),--(T_LEAVE[DATE]&gt;=O$8),ROW(T_LEAVE[LEAVE CODE]))-ROW(T_LEAVE[#Headers]))))))),"")</f>
        <v/>
      </c>
      <c r="P78" s="75" t="str">
        <f>IFERROR(IF(P$8="","NA",IF(P$8&lt;INDEX(T_EMP[START DATE],ROW($B78)-ROW($B$8)),"NE",IF(AND(INDEX(T_EMP[TERMINATION DATE],ROW($B78)-ROW($B$8))&gt;0,P$8&gt;INDEX(T_EMP[TERMINATION DATE],ROW($B78)-ROW($B$8))),"NE",IF(NOT(ISERROR(MATCH(P$8,L_HOLS,0))),"H",IF(INDEX(L_WKNDVAL,WEEKDAY(P$8,1))=1,"WKND",INDEX(T_LEAVE[LEAVE CODE],SUMPRODUCT(--(T_LEAVE[NAME]=$B78),--(T_LEAVE[DATE]&lt;=P$8),--(T_LEAVE[DATE]&gt;=P$8),ROW(T_LEAVE[LEAVE CODE]))-ROW(T_LEAVE[#Headers]))))))),"")</f>
        <v>H</v>
      </c>
      <c r="Q78" s="75" t="str">
        <f>IFERROR(IF(Q$8="","NA",IF(Q$8&lt;INDEX(T_EMP[START DATE],ROW($B78)-ROW($B$8)),"NE",IF(AND(INDEX(T_EMP[TERMINATION DATE],ROW($B78)-ROW($B$8))&gt;0,Q$8&gt;INDEX(T_EMP[TERMINATION DATE],ROW($B78)-ROW($B$8))),"NE",IF(NOT(ISERROR(MATCH(Q$8,L_HOLS,0))),"H",IF(INDEX(L_WKNDVAL,WEEKDAY(Q$8,1))=1,"WKND",INDEX(T_LEAVE[LEAVE CODE],SUMPRODUCT(--(T_LEAVE[NAME]=$B78),--(T_LEAVE[DATE]&lt;=Q$8),--(T_LEAVE[DATE]&gt;=Q$8),ROW(T_LEAVE[LEAVE CODE]))-ROW(T_LEAVE[#Headers]))))))),"")</f>
        <v/>
      </c>
      <c r="R78" s="75" t="str">
        <f>IFERROR(IF(R$8="","NA",IF(R$8&lt;INDEX(T_EMP[START DATE],ROW($B78)-ROW($B$8)),"NE",IF(AND(INDEX(T_EMP[TERMINATION DATE],ROW($B78)-ROW($B$8))&gt;0,R$8&gt;INDEX(T_EMP[TERMINATION DATE],ROW($B78)-ROW($B$8))),"NE",IF(NOT(ISERROR(MATCH(R$8,L_HOLS,0))),"H",IF(INDEX(L_WKNDVAL,WEEKDAY(R$8,1))=1,"WKND",INDEX(T_LEAVE[LEAVE CODE],SUMPRODUCT(--(T_LEAVE[NAME]=$B78),--(T_LEAVE[DATE]&lt;=R$8),--(T_LEAVE[DATE]&gt;=R$8),ROW(T_LEAVE[LEAVE CODE]))-ROW(T_LEAVE[#Headers]))))))),"")</f>
        <v/>
      </c>
      <c r="S78" s="75" t="str">
        <f>IFERROR(IF(S$8="","NA",IF(S$8&lt;INDEX(T_EMP[START DATE],ROW($B78)-ROW($B$8)),"NE",IF(AND(INDEX(T_EMP[TERMINATION DATE],ROW($B78)-ROW($B$8))&gt;0,S$8&gt;INDEX(T_EMP[TERMINATION DATE],ROW($B78)-ROW($B$8))),"NE",IF(NOT(ISERROR(MATCH(S$8,L_HOLS,0))),"H",IF(INDEX(L_WKNDVAL,WEEKDAY(S$8,1))=1,"WKND",INDEX(T_LEAVE[LEAVE CODE],SUMPRODUCT(--(T_LEAVE[NAME]=$B78),--(T_LEAVE[DATE]&lt;=S$8),--(T_LEAVE[DATE]&gt;=S$8),ROW(T_LEAVE[LEAVE CODE]))-ROW(T_LEAVE[#Headers]))))))),"")</f>
        <v/>
      </c>
      <c r="T78" s="75" t="str">
        <f>IFERROR(IF(T$8="","NA",IF(T$8&lt;INDEX(T_EMP[START DATE],ROW($B78)-ROW($B$8)),"NE",IF(AND(INDEX(T_EMP[TERMINATION DATE],ROW($B78)-ROW($B$8))&gt;0,T$8&gt;INDEX(T_EMP[TERMINATION DATE],ROW($B78)-ROW($B$8))),"NE",IF(NOT(ISERROR(MATCH(T$8,L_HOLS,0))),"H",IF(INDEX(L_WKNDVAL,WEEKDAY(T$8,1))=1,"WKND",INDEX(T_LEAVE[LEAVE CODE],SUMPRODUCT(--(T_LEAVE[NAME]=$B78),--(T_LEAVE[DATE]&lt;=T$8),--(T_LEAVE[DATE]&gt;=T$8),ROW(T_LEAVE[LEAVE CODE]))-ROW(T_LEAVE[#Headers]))))))),"")</f>
        <v/>
      </c>
      <c r="U78" s="75" t="str">
        <f>IFERROR(IF(U$8="","NA",IF(U$8&lt;INDEX(T_EMP[START DATE],ROW($B78)-ROW($B$8)),"NE",IF(AND(INDEX(T_EMP[TERMINATION DATE],ROW($B78)-ROW($B$8))&gt;0,U$8&gt;INDEX(T_EMP[TERMINATION DATE],ROW($B78)-ROW($B$8))),"NE",IF(NOT(ISERROR(MATCH(U$8,L_HOLS,0))),"H",IF(INDEX(L_WKNDVAL,WEEKDAY(U$8,1))=1,"WKND",INDEX(T_LEAVE[LEAVE CODE],SUMPRODUCT(--(T_LEAVE[NAME]=$B78),--(T_LEAVE[DATE]&lt;=U$8),--(T_LEAVE[DATE]&gt;=U$8),ROW(T_LEAVE[LEAVE CODE]))-ROW(T_LEAVE[#Headers]))))))),"")</f>
        <v/>
      </c>
      <c r="V78" s="75" t="str">
        <f>IFERROR(IF(V$8="","NA",IF(V$8&lt;INDEX(T_EMP[START DATE],ROW($B78)-ROW($B$8)),"NE",IF(AND(INDEX(T_EMP[TERMINATION DATE],ROW($B78)-ROW($B$8))&gt;0,V$8&gt;INDEX(T_EMP[TERMINATION DATE],ROW($B78)-ROW($B$8))),"NE",IF(NOT(ISERROR(MATCH(V$8,L_HOLS,0))),"H",IF(INDEX(L_WKNDVAL,WEEKDAY(V$8,1))=1,"WKND",INDEX(T_LEAVE[LEAVE CODE],SUMPRODUCT(--(T_LEAVE[NAME]=$B78),--(T_LEAVE[DATE]&lt;=V$8),--(T_LEAVE[DATE]&gt;=V$8),ROW(T_LEAVE[LEAVE CODE]))-ROW(T_LEAVE[#Headers]))))))),"")</f>
        <v/>
      </c>
      <c r="W78" s="75" t="str">
        <f>IFERROR(IF(W$8="","NA",IF(W$8&lt;INDEX(T_EMP[START DATE],ROW($B78)-ROW($B$8)),"NE",IF(AND(INDEX(T_EMP[TERMINATION DATE],ROW($B78)-ROW($B$8))&gt;0,W$8&gt;INDEX(T_EMP[TERMINATION DATE],ROW($B78)-ROW($B$8))),"NE",IF(NOT(ISERROR(MATCH(W$8,L_HOLS,0))),"H",IF(INDEX(L_WKNDVAL,WEEKDAY(W$8,1))=1,"WKND",INDEX(T_LEAVE[LEAVE CODE],SUMPRODUCT(--(T_LEAVE[NAME]=$B78),--(T_LEAVE[DATE]&lt;=W$8),--(T_LEAVE[DATE]&gt;=W$8),ROW(T_LEAVE[LEAVE CODE]))-ROW(T_LEAVE[#Headers]))))))),"")</f>
        <v/>
      </c>
      <c r="X78" s="75" t="str">
        <f>IFERROR(IF(X$8="","NA",IF(X$8&lt;INDEX(T_EMP[START DATE],ROW($B78)-ROW($B$8)),"NE",IF(AND(INDEX(T_EMP[TERMINATION DATE],ROW($B78)-ROW($B$8))&gt;0,X$8&gt;INDEX(T_EMP[TERMINATION DATE],ROW($B78)-ROW($B$8))),"NE",IF(NOT(ISERROR(MATCH(X$8,L_HOLS,0))),"H",IF(INDEX(L_WKNDVAL,WEEKDAY(X$8,1))=1,"WKND",INDEX(T_LEAVE[LEAVE CODE],SUMPRODUCT(--(T_LEAVE[NAME]=$B78),--(T_LEAVE[DATE]&lt;=X$8),--(T_LEAVE[DATE]&gt;=X$8),ROW(T_LEAVE[LEAVE CODE]))-ROW(T_LEAVE[#Headers]))))))),"")</f>
        <v/>
      </c>
      <c r="Y78" s="75" t="str">
        <f>IFERROR(IF(Y$8="","NA",IF(Y$8&lt;INDEX(T_EMP[START DATE],ROW($B78)-ROW($B$8)),"NE",IF(AND(INDEX(T_EMP[TERMINATION DATE],ROW($B78)-ROW($B$8))&gt;0,Y$8&gt;INDEX(T_EMP[TERMINATION DATE],ROW($B78)-ROW($B$8))),"NE",IF(NOT(ISERROR(MATCH(Y$8,L_HOLS,0))),"H",IF(INDEX(L_WKNDVAL,WEEKDAY(Y$8,1))=1,"WKND",INDEX(T_LEAVE[LEAVE CODE],SUMPRODUCT(--(T_LEAVE[NAME]=$B78),--(T_LEAVE[DATE]&lt;=Y$8),--(T_LEAVE[DATE]&gt;=Y$8),ROW(T_LEAVE[LEAVE CODE]))-ROW(T_LEAVE[#Headers]))))))),"")</f>
        <v/>
      </c>
      <c r="Z78" s="75" t="str">
        <f>IFERROR(IF(Z$8="","NA",IF(Z$8&lt;INDEX(T_EMP[START DATE],ROW($B78)-ROW($B$8)),"NE",IF(AND(INDEX(T_EMP[TERMINATION DATE],ROW($B78)-ROW($B$8))&gt;0,Z$8&gt;INDEX(T_EMP[TERMINATION DATE],ROW($B78)-ROW($B$8))),"NE",IF(NOT(ISERROR(MATCH(Z$8,L_HOLS,0))),"H",IF(INDEX(L_WKNDVAL,WEEKDAY(Z$8,1))=1,"WKND",INDEX(T_LEAVE[LEAVE CODE],SUMPRODUCT(--(T_LEAVE[NAME]=$B78),--(T_LEAVE[DATE]&lt;=Z$8),--(T_LEAVE[DATE]&gt;=Z$8),ROW(T_LEAVE[LEAVE CODE]))-ROW(T_LEAVE[#Headers]))))))),"")</f>
        <v/>
      </c>
      <c r="AA78" s="75" t="str">
        <f>IFERROR(IF(AA$8="","NA",IF(AA$8&lt;INDEX(T_EMP[START DATE],ROW($B78)-ROW($B$8)),"NE",IF(AND(INDEX(T_EMP[TERMINATION DATE],ROW($B78)-ROW($B$8))&gt;0,AA$8&gt;INDEX(T_EMP[TERMINATION DATE],ROW($B78)-ROW($B$8))),"NE",IF(NOT(ISERROR(MATCH(AA$8,L_HOLS,0))),"H",IF(INDEX(L_WKNDVAL,WEEKDAY(AA$8,1))=1,"WKND",INDEX(T_LEAVE[LEAVE CODE],SUMPRODUCT(--(T_LEAVE[NAME]=$B78),--(T_LEAVE[DATE]&lt;=AA$8),--(T_LEAVE[DATE]&gt;=AA$8),ROW(T_LEAVE[LEAVE CODE]))-ROW(T_LEAVE[#Headers]))))))),"")</f>
        <v/>
      </c>
      <c r="AB78" s="75" t="str">
        <f>IFERROR(IF(AB$8="","NA",IF(AB$8&lt;INDEX(T_EMP[START DATE],ROW($B78)-ROW($B$8)),"NE",IF(AND(INDEX(T_EMP[TERMINATION DATE],ROW($B78)-ROW($B$8))&gt;0,AB$8&gt;INDEX(T_EMP[TERMINATION DATE],ROW($B78)-ROW($B$8))),"NE",IF(NOT(ISERROR(MATCH(AB$8,L_HOLS,0))),"H",IF(INDEX(L_WKNDVAL,WEEKDAY(AB$8,1))=1,"WKND",INDEX(T_LEAVE[LEAVE CODE],SUMPRODUCT(--(T_LEAVE[NAME]=$B78),--(T_LEAVE[DATE]&lt;=AB$8),--(T_LEAVE[DATE]&gt;=AB$8),ROW(T_LEAVE[LEAVE CODE]))-ROW(T_LEAVE[#Headers]))))))),"")</f>
        <v/>
      </c>
      <c r="AC78" s="75" t="str">
        <f>IFERROR(IF(AC$8="","NA",IF(AC$8&lt;INDEX(T_EMP[START DATE],ROW($B78)-ROW($B$8)),"NE",IF(AND(INDEX(T_EMP[TERMINATION DATE],ROW($B78)-ROW($B$8))&gt;0,AC$8&gt;INDEX(T_EMP[TERMINATION DATE],ROW($B78)-ROW($B$8))),"NE",IF(NOT(ISERROR(MATCH(AC$8,L_HOLS,0))),"H",IF(INDEX(L_WKNDVAL,WEEKDAY(AC$8,1))=1,"WKND",INDEX(T_LEAVE[LEAVE CODE],SUMPRODUCT(--(T_LEAVE[NAME]=$B78),--(T_LEAVE[DATE]&lt;=AC$8),--(T_LEAVE[DATE]&gt;=AC$8),ROW(T_LEAVE[LEAVE CODE]))-ROW(T_LEAVE[#Headers]))))))),"")</f>
        <v/>
      </c>
      <c r="AD78" s="75" t="str">
        <f>IFERROR(IF(AD$8="","NA",IF(AD$8&lt;INDEX(T_EMP[START DATE],ROW($B78)-ROW($B$8)),"NE",IF(AND(INDEX(T_EMP[TERMINATION DATE],ROW($B78)-ROW($B$8))&gt;0,AD$8&gt;INDEX(T_EMP[TERMINATION DATE],ROW($B78)-ROW($B$8))),"NE",IF(NOT(ISERROR(MATCH(AD$8,L_HOLS,0))),"H",IF(INDEX(L_WKNDVAL,WEEKDAY(AD$8,1))=1,"WKND",INDEX(T_LEAVE[LEAVE CODE],SUMPRODUCT(--(T_LEAVE[NAME]=$B78),--(T_LEAVE[DATE]&lt;=AD$8),--(T_LEAVE[DATE]&gt;=AD$8),ROW(T_LEAVE[LEAVE CODE]))-ROW(T_LEAVE[#Headers]))))))),"")</f>
        <v/>
      </c>
      <c r="AE78" s="75" t="str">
        <f>IFERROR(IF(AE$8="","NA",IF(AE$8&lt;INDEX(T_EMP[START DATE],ROW($B78)-ROW($B$8)),"NE",IF(AND(INDEX(T_EMP[TERMINATION DATE],ROW($B78)-ROW($B$8))&gt;0,AE$8&gt;INDEX(T_EMP[TERMINATION DATE],ROW($B78)-ROW($B$8))),"NE",IF(NOT(ISERROR(MATCH(AE$8,L_HOLS,0))),"H",IF(INDEX(L_WKNDVAL,WEEKDAY(AE$8,1))=1,"WKND",INDEX(T_LEAVE[LEAVE CODE],SUMPRODUCT(--(T_LEAVE[NAME]=$B78),--(T_LEAVE[DATE]&lt;=AE$8),--(T_LEAVE[DATE]&gt;=AE$8),ROW(T_LEAVE[LEAVE CODE]))-ROW(T_LEAVE[#Headers]))))))),"")</f>
        <v/>
      </c>
      <c r="AF78" s="75" t="str">
        <f>IFERROR(IF(AF$8="","NA",IF(AF$8&lt;INDEX(T_EMP[START DATE],ROW($B78)-ROW($B$8)),"NE",IF(AND(INDEX(T_EMP[TERMINATION DATE],ROW($B78)-ROW($B$8))&gt;0,AF$8&gt;INDEX(T_EMP[TERMINATION DATE],ROW($B78)-ROW($B$8))),"NE",IF(NOT(ISERROR(MATCH(AF$8,L_HOLS,0))),"H",IF(INDEX(L_WKNDVAL,WEEKDAY(AF$8,1))=1,"WKND",INDEX(T_LEAVE[LEAVE CODE],SUMPRODUCT(--(T_LEAVE[NAME]=$B78),--(T_LEAVE[DATE]&lt;=AF$8),--(T_LEAVE[DATE]&gt;=AF$8),ROW(T_LEAVE[LEAVE CODE]))-ROW(T_LEAVE[#Headers]))))))),"")</f>
        <v/>
      </c>
      <c r="AG78" s="75" t="str">
        <f>IFERROR(IF(AG$8="","NA",IF(AG$8&lt;INDEX(T_EMP[START DATE],ROW($B78)-ROW($B$8)),"NE",IF(AND(INDEX(T_EMP[TERMINATION DATE],ROW($B78)-ROW($B$8))&gt;0,AG$8&gt;INDEX(T_EMP[TERMINATION DATE],ROW($B78)-ROW($B$8))),"NE",IF(NOT(ISERROR(MATCH(AG$8,L_HOLS,0))),"H",IF(INDEX(L_WKNDVAL,WEEKDAY(AG$8,1))=1,"WKND",INDEX(T_LEAVE[LEAVE CODE],SUMPRODUCT(--(T_LEAVE[NAME]=$B78),--(T_LEAVE[DATE]&lt;=AG$8),--(T_LEAVE[DATE]&gt;=AG$8),ROW(T_LEAVE[LEAVE CODE]))-ROW(T_LEAVE[#Headers]))))))),"")</f>
        <v/>
      </c>
      <c r="AH78" s="75" t="str">
        <f>IFERROR(IF(AH$8="","NA",IF(AH$8&lt;INDEX(T_EMP[START DATE],ROW($B78)-ROW($B$8)),"NE",IF(AND(INDEX(T_EMP[TERMINATION DATE],ROW($B78)-ROW($B$8))&gt;0,AH$8&gt;INDEX(T_EMP[TERMINATION DATE],ROW($B78)-ROW($B$8))),"NE",IF(NOT(ISERROR(MATCH(AH$8,L_HOLS,0))),"H",IF(INDEX(L_WKNDVAL,WEEKDAY(AH$8,1))=1,"WKND",INDEX(T_LEAVE[LEAVE CODE],SUMPRODUCT(--(T_LEAVE[NAME]=$B78),--(T_LEAVE[DATE]&lt;=AH$8),--(T_LEAVE[DATE]&gt;=AH$8),ROW(T_LEAVE[LEAVE CODE]))-ROW(T_LEAVE[#Headers]))))))),"")</f>
        <v/>
      </c>
      <c r="AJ78" s="88">
        <f>IF(OR($B78="",AJ$8=""),"",COUNTIFS($D78:$AH78,AJ$8)*INDEX(T_LEAVETYPE[DAY VALUE],1))</f>
        <v>0</v>
      </c>
      <c r="AK78" s="88">
        <f>IF(OR($B78="",AK$8=""),"",COUNTIFS($D78:$AH78,AK$8)*INDEX(T_LEAVETYPE[DAY VALUE],1))</f>
        <v>0</v>
      </c>
      <c r="AL78" s="88">
        <f>IF(OR($B78="",AL$8=""),"",COUNTIFS($D78:$AH78,AL$8)*INDEX(T_LEAVETYPE[DAY VALUE],1))</f>
        <v>0</v>
      </c>
      <c r="AM78" s="88">
        <f>IF(OR($B78="",AM$8=""),"",COUNTIFS($D78:$AH78,AM$8)*INDEX(T_LEAVETYPE[DAY VALUE],1))</f>
        <v>0</v>
      </c>
      <c r="AN78" s="88">
        <f>IF(OR($B78="",AN$8=""),"",COUNTIFS($D78:$AH78,AN$8)*INDEX(T_LEAVETYPE[DAY VALUE],1))</f>
        <v>0</v>
      </c>
      <c r="AO78" s="88">
        <f>IF(OR($B78="",AO$8=""),"",COUNTIFS($D78:$AH78,AO$8)*INDEX(T_LEAVETYPE[DAY VALUE],6))</f>
        <v>0</v>
      </c>
      <c r="AP78" s="88">
        <f>IF(OR($B78="",AP$8=""),"",COUNTIFS($D78:$AH78,AP$8)*INDEX(T_LEAVETYPE[DAY VALUE],7))</f>
        <v>0</v>
      </c>
      <c r="AQ78" s="88">
        <f>IF(OR($B78="",AQ$8=""),"",COUNTIFS($D78:$AH78,AQ$8)*INDEX(T_LEAVETYPE[DAY VALUE],8))</f>
        <v>0</v>
      </c>
      <c r="AR78" s="89">
        <f t="shared" si="5"/>
        <v>0</v>
      </c>
    </row>
    <row r="79" spans="1:44" x14ac:dyDescent="0.25">
      <c r="A79" s="90">
        <f t="shared" si="4"/>
        <v>71</v>
      </c>
      <c r="B79" s="74" t="str">
        <f>IFERROR(INDEX(T_EMP[NAME],ROW(B79)-ROW($B$8)),"")</f>
        <v>TRINIDAD, JOYCE ANNE</v>
      </c>
      <c r="C79" s="91" t="str">
        <f>IFERROR(INDEX(T_EMP[DEPARTMENT],ROW(B79)-ROW($C$8)),"")</f>
        <v>LND + RTS</v>
      </c>
      <c r="D79" s="75" t="str">
        <f>IFERROR(IF(D$8="","NA",IF(D$8&lt;INDEX(T_EMP[START DATE],ROW($B79)-ROW($B$8)),"NE",IF(AND(INDEX(T_EMP[TERMINATION DATE],ROW($B79)-ROW($B$8))&gt;0,D$8&gt;INDEX(T_EMP[TERMINATION DATE],ROW($B79)-ROW($B$8))),"NE",IF(NOT(ISERROR(MATCH(D$8,L_HOLS,0))),"H",IF(INDEX(L_WKNDVAL,WEEKDAY(D$8,1))=1,"WKND",INDEX(T_LEAVE[LEAVE CODE],SUMPRODUCT(--(T_LEAVE[NAME]=$B79),--(T_LEAVE[DATE]&lt;=D$8),--(T_LEAVE[DATE]&gt;=D$8),ROW(T_LEAVE[LEAVE CODE]))-ROW(T_LEAVE[#Headers]))))))),"")</f>
        <v>H</v>
      </c>
      <c r="E79" s="75" t="str">
        <f>IFERROR(IF(E$8="","NA",IF(E$8&lt;INDEX(T_EMP[START DATE],ROW($B79)-ROW($B$8)),"NE",IF(AND(INDEX(T_EMP[TERMINATION DATE],ROW($B79)-ROW($B$8))&gt;0,E$8&gt;INDEX(T_EMP[TERMINATION DATE],ROW($B79)-ROW($B$8))),"NE",IF(NOT(ISERROR(MATCH(E$8,L_HOLS,0))),"H",IF(INDEX(L_WKNDVAL,WEEKDAY(E$8,1))=1,"WKND",INDEX(T_LEAVE[LEAVE CODE],SUMPRODUCT(--(T_LEAVE[NAME]=$B79),--(T_LEAVE[DATE]&lt;=E$8),--(T_LEAVE[DATE]&gt;=E$8),ROW(T_LEAVE[LEAVE CODE]))-ROW(T_LEAVE[#Headers]))))))),"")</f>
        <v/>
      </c>
      <c r="F79" s="75" t="str">
        <f>IFERROR(IF(F$8="","NA",IF(F$8&lt;INDEX(T_EMP[START DATE],ROW($B79)-ROW($B$8)),"NE",IF(AND(INDEX(T_EMP[TERMINATION DATE],ROW($B79)-ROW($B$8))&gt;0,F$8&gt;INDEX(T_EMP[TERMINATION DATE],ROW($B79)-ROW($B$8))),"NE",IF(NOT(ISERROR(MATCH(F$8,L_HOLS,0))),"H",IF(INDEX(L_WKNDVAL,WEEKDAY(F$8,1))=1,"WKND",INDEX(T_LEAVE[LEAVE CODE],SUMPRODUCT(--(T_LEAVE[NAME]=$B79),--(T_LEAVE[DATE]&lt;=F$8),--(T_LEAVE[DATE]&gt;=F$8),ROW(T_LEAVE[LEAVE CODE]))-ROW(T_LEAVE[#Headers]))))))),"")</f>
        <v/>
      </c>
      <c r="G79" s="75" t="str">
        <f>IFERROR(IF(G$8="","NA",IF(G$8&lt;INDEX(T_EMP[START DATE],ROW($B79)-ROW($B$8)),"NE",IF(AND(INDEX(T_EMP[TERMINATION DATE],ROW($B79)-ROW($B$8))&gt;0,G$8&gt;INDEX(T_EMP[TERMINATION DATE],ROW($B79)-ROW($B$8))),"NE",IF(NOT(ISERROR(MATCH(G$8,L_HOLS,0))),"H",IF(INDEX(L_WKNDVAL,WEEKDAY(G$8,1))=1,"WKND",INDEX(T_LEAVE[LEAVE CODE],SUMPRODUCT(--(T_LEAVE[NAME]=$B79),--(T_LEAVE[DATE]&lt;=G$8),--(T_LEAVE[DATE]&gt;=G$8),ROW(T_LEAVE[LEAVE CODE]))-ROW(T_LEAVE[#Headers]))))))),"")</f>
        <v/>
      </c>
      <c r="H79" s="75" t="str">
        <f>IFERROR(IF(H$8="","NA",IF(H$8&lt;INDEX(T_EMP[START DATE],ROW($B79)-ROW($B$8)),"NE",IF(AND(INDEX(T_EMP[TERMINATION DATE],ROW($B79)-ROW($B$8))&gt;0,H$8&gt;INDEX(T_EMP[TERMINATION DATE],ROW($B79)-ROW($B$8))),"NE",IF(NOT(ISERROR(MATCH(H$8,L_HOLS,0))),"H",IF(INDEX(L_WKNDVAL,WEEKDAY(H$8,1))=1,"WKND",INDEX(T_LEAVE[LEAVE CODE],SUMPRODUCT(--(T_LEAVE[NAME]=$B79),--(T_LEAVE[DATE]&lt;=H$8),--(T_LEAVE[DATE]&gt;=H$8),ROW(T_LEAVE[LEAVE CODE]))-ROW(T_LEAVE[#Headers]))))))),"")</f>
        <v/>
      </c>
      <c r="I79" s="75" t="str">
        <f>IFERROR(IF(I$8="","NA",IF(I$8&lt;INDEX(T_EMP[START DATE],ROW($B79)-ROW($B$8)),"NE",IF(AND(INDEX(T_EMP[TERMINATION DATE],ROW($B79)-ROW($B$8))&gt;0,I$8&gt;INDEX(T_EMP[TERMINATION DATE],ROW($B79)-ROW($B$8))),"NE",IF(NOT(ISERROR(MATCH(I$8,L_HOLS,0))),"H",IF(INDEX(L_WKNDVAL,WEEKDAY(I$8,1))=1,"WKND",INDEX(T_LEAVE[LEAVE CODE],SUMPRODUCT(--(T_LEAVE[NAME]=$B79),--(T_LEAVE[DATE]&lt;=I$8),--(T_LEAVE[DATE]&gt;=I$8),ROW(T_LEAVE[LEAVE CODE]))-ROW(T_LEAVE[#Headers]))))))),"")</f>
        <v/>
      </c>
      <c r="J79" s="75" t="str">
        <f>IFERROR(IF(J$8="","NA",IF(J$8&lt;INDEX(T_EMP[START DATE],ROW($B79)-ROW($B$8)),"NE",IF(AND(INDEX(T_EMP[TERMINATION DATE],ROW($B79)-ROW($B$8))&gt;0,J$8&gt;INDEX(T_EMP[TERMINATION DATE],ROW($B79)-ROW($B$8))),"NE",IF(NOT(ISERROR(MATCH(J$8,L_HOLS,0))),"H",IF(INDEX(L_WKNDVAL,WEEKDAY(J$8,1))=1,"WKND",INDEX(T_LEAVE[LEAVE CODE],SUMPRODUCT(--(T_LEAVE[NAME]=$B79),--(T_LEAVE[DATE]&lt;=J$8),--(T_LEAVE[DATE]&gt;=J$8),ROW(T_LEAVE[LEAVE CODE]))-ROW(T_LEAVE[#Headers]))))))),"")</f>
        <v/>
      </c>
      <c r="K79" s="75" t="str">
        <f>IFERROR(IF(K$8="","NA",IF(K$8&lt;INDEX(T_EMP[START DATE],ROW($B79)-ROW($B$8)),"NE",IF(AND(INDEX(T_EMP[TERMINATION DATE],ROW($B79)-ROW($B$8))&gt;0,K$8&gt;INDEX(T_EMP[TERMINATION DATE],ROW($B79)-ROW($B$8))),"NE",IF(NOT(ISERROR(MATCH(K$8,L_HOLS,0))),"H",IF(INDEX(L_WKNDVAL,WEEKDAY(K$8,1))=1,"WKND",INDEX(T_LEAVE[LEAVE CODE],SUMPRODUCT(--(T_LEAVE[NAME]=$B79),--(T_LEAVE[DATE]&lt;=K$8),--(T_LEAVE[DATE]&gt;=K$8),ROW(T_LEAVE[LEAVE CODE]))-ROW(T_LEAVE[#Headers]))))))),"")</f>
        <v/>
      </c>
      <c r="L79" s="75" t="str">
        <f>IFERROR(IF(L$8="","NA",IF(L$8&lt;INDEX(T_EMP[START DATE],ROW($B79)-ROW($B$8)),"NE",IF(AND(INDEX(T_EMP[TERMINATION DATE],ROW($B79)-ROW($B$8))&gt;0,L$8&gt;INDEX(T_EMP[TERMINATION DATE],ROW($B79)-ROW($B$8))),"NE",IF(NOT(ISERROR(MATCH(L$8,L_HOLS,0))),"H",IF(INDEX(L_WKNDVAL,WEEKDAY(L$8,1))=1,"WKND",INDEX(T_LEAVE[LEAVE CODE],SUMPRODUCT(--(T_LEAVE[NAME]=$B79),--(T_LEAVE[DATE]&lt;=L$8),--(T_LEAVE[DATE]&gt;=L$8),ROW(T_LEAVE[LEAVE CODE]))-ROW(T_LEAVE[#Headers]))))))),"")</f>
        <v/>
      </c>
      <c r="M79" s="75" t="str">
        <f>IFERROR(IF(M$8="","NA",IF(M$8&lt;INDEX(T_EMP[START DATE],ROW($B79)-ROW($B$8)),"NE",IF(AND(INDEX(T_EMP[TERMINATION DATE],ROW($B79)-ROW($B$8))&gt;0,M$8&gt;INDEX(T_EMP[TERMINATION DATE],ROW($B79)-ROW($B$8))),"NE",IF(NOT(ISERROR(MATCH(M$8,L_HOLS,0))),"H",IF(INDEX(L_WKNDVAL,WEEKDAY(M$8,1))=1,"WKND",INDEX(T_LEAVE[LEAVE CODE],SUMPRODUCT(--(T_LEAVE[NAME]=$B79),--(T_LEAVE[DATE]&lt;=M$8),--(T_LEAVE[DATE]&gt;=M$8),ROW(T_LEAVE[LEAVE CODE]))-ROW(T_LEAVE[#Headers]))))))),"")</f>
        <v/>
      </c>
      <c r="N79" s="75" t="str">
        <f>IFERROR(IF(N$8="","NA",IF(N$8&lt;INDEX(T_EMP[START DATE],ROW($B79)-ROW($B$8)),"NE",IF(AND(INDEX(T_EMP[TERMINATION DATE],ROW($B79)-ROW($B$8))&gt;0,N$8&gt;INDEX(T_EMP[TERMINATION DATE],ROW($B79)-ROW($B$8))),"NE",IF(NOT(ISERROR(MATCH(N$8,L_HOLS,0))),"H",IF(INDEX(L_WKNDVAL,WEEKDAY(N$8,1))=1,"WKND",INDEX(T_LEAVE[LEAVE CODE],SUMPRODUCT(--(T_LEAVE[NAME]=$B79),--(T_LEAVE[DATE]&lt;=N$8),--(T_LEAVE[DATE]&gt;=N$8),ROW(T_LEAVE[LEAVE CODE]))-ROW(T_LEAVE[#Headers]))))))),"")</f>
        <v/>
      </c>
      <c r="O79" s="75" t="str">
        <f>IFERROR(IF(O$8="","NA",IF(O$8&lt;INDEX(T_EMP[START DATE],ROW($B79)-ROW($B$8)),"NE",IF(AND(INDEX(T_EMP[TERMINATION DATE],ROW($B79)-ROW($B$8))&gt;0,O$8&gt;INDEX(T_EMP[TERMINATION DATE],ROW($B79)-ROW($B$8))),"NE",IF(NOT(ISERROR(MATCH(O$8,L_HOLS,0))),"H",IF(INDEX(L_WKNDVAL,WEEKDAY(O$8,1))=1,"WKND",INDEX(T_LEAVE[LEAVE CODE],SUMPRODUCT(--(T_LEAVE[NAME]=$B79),--(T_LEAVE[DATE]&lt;=O$8),--(T_LEAVE[DATE]&gt;=O$8),ROW(T_LEAVE[LEAVE CODE]))-ROW(T_LEAVE[#Headers]))))))),"")</f>
        <v/>
      </c>
      <c r="P79" s="75" t="str">
        <f>IFERROR(IF(P$8="","NA",IF(P$8&lt;INDEX(T_EMP[START DATE],ROW($B79)-ROW($B$8)),"NE",IF(AND(INDEX(T_EMP[TERMINATION DATE],ROW($B79)-ROW($B$8))&gt;0,P$8&gt;INDEX(T_EMP[TERMINATION DATE],ROW($B79)-ROW($B$8))),"NE",IF(NOT(ISERROR(MATCH(P$8,L_HOLS,0))),"H",IF(INDEX(L_WKNDVAL,WEEKDAY(P$8,1))=1,"WKND",INDEX(T_LEAVE[LEAVE CODE],SUMPRODUCT(--(T_LEAVE[NAME]=$B79),--(T_LEAVE[DATE]&lt;=P$8),--(T_LEAVE[DATE]&gt;=P$8),ROW(T_LEAVE[LEAVE CODE]))-ROW(T_LEAVE[#Headers]))))))),"")</f>
        <v>H</v>
      </c>
      <c r="Q79" s="75" t="str">
        <f>IFERROR(IF(Q$8="","NA",IF(Q$8&lt;INDEX(T_EMP[START DATE],ROW($B79)-ROW($B$8)),"NE",IF(AND(INDEX(T_EMP[TERMINATION DATE],ROW($B79)-ROW($B$8))&gt;0,Q$8&gt;INDEX(T_EMP[TERMINATION DATE],ROW($B79)-ROW($B$8))),"NE",IF(NOT(ISERROR(MATCH(Q$8,L_HOLS,0))),"H",IF(INDEX(L_WKNDVAL,WEEKDAY(Q$8,1))=1,"WKND",INDEX(T_LEAVE[LEAVE CODE],SUMPRODUCT(--(T_LEAVE[NAME]=$B79),--(T_LEAVE[DATE]&lt;=Q$8),--(T_LEAVE[DATE]&gt;=Q$8),ROW(T_LEAVE[LEAVE CODE]))-ROW(T_LEAVE[#Headers]))))))),"")</f>
        <v/>
      </c>
      <c r="R79" s="75" t="str">
        <f>IFERROR(IF(R$8="","NA",IF(R$8&lt;INDEX(T_EMP[START DATE],ROW($B79)-ROW($B$8)),"NE",IF(AND(INDEX(T_EMP[TERMINATION DATE],ROW($B79)-ROW($B$8))&gt;0,R$8&gt;INDEX(T_EMP[TERMINATION DATE],ROW($B79)-ROW($B$8))),"NE",IF(NOT(ISERROR(MATCH(R$8,L_HOLS,0))),"H",IF(INDEX(L_WKNDVAL,WEEKDAY(R$8,1))=1,"WKND",INDEX(T_LEAVE[LEAVE CODE],SUMPRODUCT(--(T_LEAVE[NAME]=$B79),--(T_LEAVE[DATE]&lt;=R$8),--(T_LEAVE[DATE]&gt;=R$8),ROW(T_LEAVE[LEAVE CODE]))-ROW(T_LEAVE[#Headers]))))))),"")</f>
        <v/>
      </c>
      <c r="S79" s="75" t="str">
        <f>IFERROR(IF(S$8="","NA",IF(S$8&lt;INDEX(T_EMP[START DATE],ROW($B79)-ROW($B$8)),"NE",IF(AND(INDEX(T_EMP[TERMINATION DATE],ROW($B79)-ROW($B$8))&gt;0,S$8&gt;INDEX(T_EMP[TERMINATION DATE],ROW($B79)-ROW($B$8))),"NE",IF(NOT(ISERROR(MATCH(S$8,L_HOLS,0))),"H",IF(INDEX(L_WKNDVAL,WEEKDAY(S$8,1))=1,"WKND",INDEX(T_LEAVE[LEAVE CODE],SUMPRODUCT(--(T_LEAVE[NAME]=$B79),--(T_LEAVE[DATE]&lt;=S$8),--(T_LEAVE[DATE]&gt;=S$8),ROW(T_LEAVE[LEAVE CODE]))-ROW(T_LEAVE[#Headers]))))))),"")</f>
        <v/>
      </c>
      <c r="T79" s="75" t="str">
        <f>IFERROR(IF(T$8="","NA",IF(T$8&lt;INDEX(T_EMP[START DATE],ROW($B79)-ROW($B$8)),"NE",IF(AND(INDEX(T_EMP[TERMINATION DATE],ROW($B79)-ROW($B$8))&gt;0,T$8&gt;INDEX(T_EMP[TERMINATION DATE],ROW($B79)-ROW($B$8))),"NE",IF(NOT(ISERROR(MATCH(T$8,L_HOLS,0))),"H",IF(INDEX(L_WKNDVAL,WEEKDAY(T$8,1))=1,"WKND",INDEX(T_LEAVE[LEAVE CODE],SUMPRODUCT(--(T_LEAVE[NAME]=$B79),--(T_LEAVE[DATE]&lt;=T$8),--(T_LEAVE[DATE]&gt;=T$8),ROW(T_LEAVE[LEAVE CODE]))-ROW(T_LEAVE[#Headers]))))))),"")</f>
        <v/>
      </c>
      <c r="U79" s="75" t="str">
        <f>IFERROR(IF(U$8="","NA",IF(U$8&lt;INDEX(T_EMP[START DATE],ROW($B79)-ROW($B$8)),"NE",IF(AND(INDEX(T_EMP[TERMINATION DATE],ROW($B79)-ROW($B$8))&gt;0,U$8&gt;INDEX(T_EMP[TERMINATION DATE],ROW($B79)-ROW($B$8))),"NE",IF(NOT(ISERROR(MATCH(U$8,L_HOLS,0))),"H",IF(INDEX(L_WKNDVAL,WEEKDAY(U$8,1))=1,"WKND",INDEX(T_LEAVE[LEAVE CODE],SUMPRODUCT(--(T_LEAVE[NAME]=$B79),--(T_LEAVE[DATE]&lt;=U$8),--(T_LEAVE[DATE]&gt;=U$8),ROW(T_LEAVE[LEAVE CODE]))-ROW(T_LEAVE[#Headers]))))))),"")</f>
        <v/>
      </c>
      <c r="V79" s="75" t="str">
        <f>IFERROR(IF(V$8="","NA",IF(V$8&lt;INDEX(T_EMP[START DATE],ROW($B79)-ROW($B$8)),"NE",IF(AND(INDEX(T_EMP[TERMINATION DATE],ROW($B79)-ROW($B$8))&gt;0,V$8&gt;INDEX(T_EMP[TERMINATION DATE],ROW($B79)-ROW($B$8))),"NE",IF(NOT(ISERROR(MATCH(V$8,L_HOLS,0))),"H",IF(INDEX(L_WKNDVAL,WEEKDAY(V$8,1))=1,"WKND",INDEX(T_LEAVE[LEAVE CODE],SUMPRODUCT(--(T_LEAVE[NAME]=$B79),--(T_LEAVE[DATE]&lt;=V$8),--(T_LEAVE[DATE]&gt;=V$8),ROW(T_LEAVE[LEAVE CODE]))-ROW(T_LEAVE[#Headers]))))))),"")</f>
        <v/>
      </c>
      <c r="W79" s="75" t="str">
        <f>IFERROR(IF(W$8="","NA",IF(W$8&lt;INDEX(T_EMP[START DATE],ROW($B79)-ROW($B$8)),"NE",IF(AND(INDEX(T_EMP[TERMINATION DATE],ROW($B79)-ROW($B$8))&gt;0,W$8&gt;INDEX(T_EMP[TERMINATION DATE],ROW($B79)-ROW($B$8))),"NE",IF(NOT(ISERROR(MATCH(W$8,L_HOLS,0))),"H",IF(INDEX(L_WKNDVAL,WEEKDAY(W$8,1))=1,"WKND",INDEX(T_LEAVE[LEAVE CODE],SUMPRODUCT(--(T_LEAVE[NAME]=$B79),--(T_LEAVE[DATE]&lt;=W$8),--(T_LEAVE[DATE]&gt;=W$8),ROW(T_LEAVE[LEAVE CODE]))-ROW(T_LEAVE[#Headers]))))))),"")</f>
        <v/>
      </c>
      <c r="X79" s="75" t="str">
        <f>IFERROR(IF(X$8="","NA",IF(X$8&lt;INDEX(T_EMP[START DATE],ROW($B79)-ROW($B$8)),"NE",IF(AND(INDEX(T_EMP[TERMINATION DATE],ROW($B79)-ROW($B$8))&gt;0,X$8&gt;INDEX(T_EMP[TERMINATION DATE],ROW($B79)-ROW($B$8))),"NE",IF(NOT(ISERROR(MATCH(X$8,L_HOLS,0))),"H",IF(INDEX(L_WKNDVAL,WEEKDAY(X$8,1))=1,"WKND",INDEX(T_LEAVE[LEAVE CODE],SUMPRODUCT(--(T_LEAVE[NAME]=$B79),--(T_LEAVE[DATE]&lt;=X$8),--(T_LEAVE[DATE]&gt;=X$8),ROW(T_LEAVE[LEAVE CODE]))-ROW(T_LEAVE[#Headers]))))))),"")</f>
        <v/>
      </c>
      <c r="Y79" s="75" t="str">
        <f>IFERROR(IF(Y$8="","NA",IF(Y$8&lt;INDEX(T_EMP[START DATE],ROW($B79)-ROW($B$8)),"NE",IF(AND(INDEX(T_EMP[TERMINATION DATE],ROW($B79)-ROW($B$8))&gt;0,Y$8&gt;INDEX(T_EMP[TERMINATION DATE],ROW($B79)-ROW($B$8))),"NE",IF(NOT(ISERROR(MATCH(Y$8,L_HOLS,0))),"H",IF(INDEX(L_WKNDVAL,WEEKDAY(Y$8,1))=1,"WKND",INDEX(T_LEAVE[LEAVE CODE],SUMPRODUCT(--(T_LEAVE[NAME]=$B79),--(T_LEAVE[DATE]&lt;=Y$8),--(T_LEAVE[DATE]&gt;=Y$8),ROW(T_LEAVE[LEAVE CODE]))-ROW(T_LEAVE[#Headers]))))))),"")</f>
        <v/>
      </c>
      <c r="Z79" s="75" t="str">
        <f>IFERROR(IF(Z$8="","NA",IF(Z$8&lt;INDEX(T_EMP[START DATE],ROW($B79)-ROW($B$8)),"NE",IF(AND(INDEX(T_EMP[TERMINATION DATE],ROW($B79)-ROW($B$8))&gt;0,Z$8&gt;INDEX(T_EMP[TERMINATION DATE],ROW($B79)-ROW($B$8))),"NE",IF(NOT(ISERROR(MATCH(Z$8,L_HOLS,0))),"H",IF(INDEX(L_WKNDVAL,WEEKDAY(Z$8,1))=1,"WKND",INDEX(T_LEAVE[LEAVE CODE],SUMPRODUCT(--(T_LEAVE[NAME]=$B79),--(T_LEAVE[DATE]&lt;=Z$8),--(T_LEAVE[DATE]&gt;=Z$8),ROW(T_LEAVE[LEAVE CODE]))-ROW(T_LEAVE[#Headers]))))))),"")</f>
        <v/>
      </c>
      <c r="AA79" s="75" t="str">
        <f>IFERROR(IF(AA$8="","NA",IF(AA$8&lt;INDEX(T_EMP[START DATE],ROW($B79)-ROW($B$8)),"NE",IF(AND(INDEX(T_EMP[TERMINATION DATE],ROW($B79)-ROW($B$8))&gt;0,AA$8&gt;INDEX(T_EMP[TERMINATION DATE],ROW($B79)-ROW($B$8))),"NE",IF(NOT(ISERROR(MATCH(AA$8,L_HOLS,0))),"H",IF(INDEX(L_WKNDVAL,WEEKDAY(AA$8,1))=1,"WKND",INDEX(T_LEAVE[LEAVE CODE],SUMPRODUCT(--(T_LEAVE[NAME]=$B79),--(T_LEAVE[DATE]&lt;=AA$8),--(T_LEAVE[DATE]&gt;=AA$8),ROW(T_LEAVE[LEAVE CODE]))-ROW(T_LEAVE[#Headers]))))))),"")</f>
        <v/>
      </c>
      <c r="AB79" s="75" t="str">
        <f>IFERROR(IF(AB$8="","NA",IF(AB$8&lt;INDEX(T_EMP[START DATE],ROW($B79)-ROW($B$8)),"NE",IF(AND(INDEX(T_EMP[TERMINATION DATE],ROW($B79)-ROW($B$8))&gt;0,AB$8&gt;INDEX(T_EMP[TERMINATION DATE],ROW($B79)-ROW($B$8))),"NE",IF(NOT(ISERROR(MATCH(AB$8,L_HOLS,0))),"H",IF(INDEX(L_WKNDVAL,WEEKDAY(AB$8,1))=1,"WKND",INDEX(T_LEAVE[LEAVE CODE],SUMPRODUCT(--(T_LEAVE[NAME]=$B79),--(T_LEAVE[DATE]&lt;=AB$8),--(T_LEAVE[DATE]&gt;=AB$8),ROW(T_LEAVE[LEAVE CODE]))-ROW(T_LEAVE[#Headers]))))))),"")</f>
        <v/>
      </c>
      <c r="AC79" s="75" t="str">
        <f>IFERROR(IF(AC$8="","NA",IF(AC$8&lt;INDEX(T_EMP[START DATE],ROW($B79)-ROW($B$8)),"NE",IF(AND(INDEX(T_EMP[TERMINATION DATE],ROW($B79)-ROW($B$8))&gt;0,AC$8&gt;INDEX(T_EMP[TERMINATION DATE],ROW($B79)-ROW($B$8))),"NE",IF(NOT(ISERROR(MATCH(AC$8,L_HOLS,0))),"H",IF(INDEX(L_WKNDVAL,WEEKDAY(AC$8,1))=1,"WKND",INDEX(T_LEAVE[LEAVE CODE],SUMPRODUCT(--(T_LEAVE[NAME]=$B79),--(T_LEAVE[DATE]&lt;=AC$8),--(T_LEAVE[DATE]&gt;=AC$8),ROW(T_LEAVE[LEAVE CODE]))-ROW(T_LEAVE[#Headers]))))))),"")</f>
        <v/>
      </c>
      <c r="AD79" s="75" t="str">
        <f>IFERROR(IF(AD$8="","NA",IF(AD$8&lt;INDEX(T_EMP[START DATE],ROW($B79)-ROW($B$8)),"NE",IF(AND(INDEX(T_EMP[TERMINATION DATE],ROW($B79)-ROW($B$8))&gt;0,AD$8&gt;INDEX(T_EMP[TERMINATION DATE],ROW($B79)-ROW($B$8))),"NE",IF(NOT(ISERROR(MATCH(AD$8,L_HOLS,0))),"H",IF(INDEX(L_WKNDVAL,WEEKDAY(AD$8,1))=1,"WKND",INDEX(T_LEAVE[LEAVE CODE],SUMPRODUCT(--(T_LEAVE[NAME]=$B79),--(T_LEAVE[DATE]&lt;=AD$8),--(T_LEAVE[DATE]&gt;=AD$8),ROW(T_LEAVE[LEAVE CODE]))-ROW(T_LEAVE[#Headers]))))))),"")</f>
        <v/>
      </c>
      <c r="AE79" s="75" t="str">
        <f>IFERROR(IF(AE$8="","NA",IF(AE$8&lt;INDEX(T_EMP[START DATE],ROW($B79)-ROW($B$8)),"NE",IF(AND(INDEX(T_EMP[TERMINATION DATE],ROW($B79)-ROW($B$8))&gt;0,AE$8&gt;INDEX(T_EMP[TERMINATION DATE],ROW($B79)-ROW($B$8))),"NE",IF(NOT(ISERROR(MATCH(AE$8,L_HOLS,0))),"H",IF(INDEX(L_WKNDVAL,WEEKDAY(AE$8,1))=1,"WKND",INDEX(T_LEAVE[LEAVE CODE],SUMPRODUCT(--(T_LEAVE[NAME]=$B79),--(T_LEAVE[DATE]&lt;=AE$8),--(T_LEAVE[DATE]&gt;=AE$8),ROW(T_LEAVE[LEAVE CODE]))-ROW(T_LEAVE[#Headers]))))))),"")</f>
        <v/>
      </c>
      <c r="AF79" s="75" t="str">
        <f>IFERROR(IF(AF$8="","NA",IF(AF$8&lt;INDEX(T_EMP[START DATE],ROW($B79)-ROW($B$8)),"NE",IF(AND(INDEX(T_EMP[TERMINATION DATE],ROW($B79)-ROW($B$8))&gt;0,AF$8&gt;INDEX(T_EMP[TERMINATION DATE],ROW($B79)-ROW($B$8))),"NE",IF(NOT(ISERROR(MATCH(AF$8,L_HOLS,0))),"H",IF(INDEX(L_WKNDVAL,WEEKDAY(AF$8,1))=1,"WKND",INDEX(T_LEAVE[LEAVE CODE],SUMPRODUCT(--(T_LEAVE[NAME]=$B79),--(T_LEAVE[DATE]&lt;=AF$8),--(T_LEAVE[DATE]&gt;=AF$8),ROW(T_LEAVE[LEAVE CODE]))-ROW(T_LEAVE[#Headers]))))))),"")</f>
        <v/>
      </c>
      <c r="AG79" s="75" t="str">
        <f>IFERROR(IF(AG$8="","NA",IF(AG$8&lt;INDEX(T_EMP[START DATE],ROW($B79)-ROW($B$8)),"NE",IF(AND(INDEX(T_EMP[TERMINATION DATE],ROW($B79)-ROW($B$8))&gt;0,AG$8&gt;INDEX(T_EMP[TERMINATION DATE],ROW($B79)-ROW($B$8))),"NE",IF(NOT(ISERROR(MATCH(AG$8,L_HOLS,0))),"H",IF(INDEX(L_WKNDVAL,WEEKDAY(AG$8,1))=1,"WKND",INDEX(T_LEAVE[LEAVE CODE],SUMPRODUCT(--(T_LEAVE[NAME]=$B79),--(T_LEAVE[DATE]&lt;=AG$8),--(T_LEAVE[DATE]&gt;=AG$8),ROW(T_LEAVE[LEAVE CODE]))-ROW(T_LEAVE[#Headers]))))))),"")</f>
        <v/>
      </c>
      <c r="AH79" s="75" t="str">
        <f>IFERROR(IF(AH$8="","NA",IF(AH$8&lt;INDEX(T_EMP[START DATE],ROW($B79)-ROW($B$8)),"NE",IF(AND(INDEX(T_EMP[TERMINATION DATE],ROW($B79)-ROW($B$8))&gt;0,AH$8&gt;INDEX(T_EMP[TERMINATION DATE],ROW($B79)-ROW($B$8))),"NE",IF(NOT(ISERROR(MATCH(AH$8,L_HOLS,0))),"H",IF(INDEX(L_WKNDVAL,WEEKDAY(AH$8,1))=1,"WKND",INDEX(T_LEAVE[LEAVE CODE],SUMPRODUCT(--(T_LEAVE[NAME]=$B79),--(T_LEAVE[DATE]&lt;=AH$8),--(T_LEAVE[DATE]&gt;=AH$8),ROW(T_LEAVE[LEAVE CODE]))-ROW(T_LEAVE[#Headers]))))))),"")</f>
        <v/>
      </c>
      <c r="AJ79" s="88">
        <f>IF(OR($B79="",AJ$8=""),"",COUNTIFS($D79:$AH79,AJ$8)*INDEX(T_LEAVETYPE[DAY VALUE],1))</f>
        <v>0</v>
      </c>
      <c r="AK79" s="88">
        <f>IF(OR($B79="",AK$8=""),"",COUNTIFS($D79:$AH79,AK$8)*INDEX(T_LEAVETYPE[DAY VALUE],1))</f>
        <v>0</v>
      </c>
      <c r="AL79" s="88">
        <f>IF(OR($B79="",AL$8=""),"",COUNTIFS($D79:$AH79,AL$8)*INDEX(T_LEAVETYPE[DAY VALUE],1))</f>
        <v>0</v>
      </c>
      <c r="AM79" s="88">
        <f>IF(OR($B79="",AM$8=""),"",COUNTIFS($D79:$AH79,AM$8)*INDEX(T_LEAVETYPE[DAY VALUE],1))</f>
        <v>0</v>
      </c>
      <c r="AN79" s="88">
        <f>IF(OR($B79="",AN$8=""),"",COUNTIFS($D79:$AH79,AN$8)*INDEX(T_LEAVETYPE[DAY VALUE],1))</f>
        <v>0</v>
      </c>
      <c r="AO79" s="88">
        <f>IF(OR($B79="",AO$8=""),"",COUNTIFS($D79:$AH79,AO$8)*INDEX(T_LEAVETYPE[DAY VALUE],6))</f>
        <v>0</v>
      </c>
      <c r="AP79" s="88">
        <f>IF(OR($B79="",AP$8=""),"",COUNTIFS($D79:$AH79,AP$8)*INDEX(T_LEAVETYPE[DAY VALUE],7))</f>
        <v>0</v>
      </c>
      <c r="AQ79" s="88">
        <f>IF(OR($B79="",AQ$8=""),"",COUNTIFS($D79:$AH79,AQ$8)*INDEX(T_LEAVETYPE[DAY VALUE],8))</f>
        <v>0</v>
      </c>
      <c r="AR79" s="89">
        <f t="shared" si="5"/>
        <v>0</v>
      </c>
    </row>
    <row r="80" spans="1:44" x14ac:dyDescent="0.25">
      <c r="A80" s="90">
        <f t="shared" si="4"/>
        <v>72</v>
      </c>
      <c r="B80" s="74" t="str">
        <f>IFERROR(INDEX(T_EMP[NAME],ROW(B80)-ROW($B$8)),"")</f>
        <v>PUNZALAN, JANICE</v>
      </c>
      <c r="C80" s="91" t="str">
        <f>IFERROR(INDEX(T_EMP[DEPARTMENT],ROW(B80)-ROW($C$8)),"")</f>
        <v>LND + RTS</v>
      </c>
      <c r="D80" s="75" t="str">
        <f>IFERROR(IF(D$8="","NA",IF(D$8&lt;INDEX(T_EMP[START DATE],ROW($B80)-ROW($B$8)),"NE",IF(AND(INDEX(T_EMP[TERMINATION DATE],ROW($B80)-ROW($B$8))&gt;0,D$8&gt;INDEX(T_EMP[TERMINATION DATE],ROW($B80)-ROW($B$8))),"NE",IF(NOT(ISERROR(MATCH(D$8,L_HOLS,0))),"H",IF(INDEX(L_WKNDVAL,WEEKDAY(D$8,1))=1,"WKND",INDEX(T_LEAVE[LEAVE CODE],SUMPRODUCT(--(T_LEAVE[NAME]=$B80),--(T_LEAVE[DATE]&lt;=D$8),--(T_LEAVE[DATE]&gt;=D$8),ROW(T_LEAVE[LEAVE CODE]))-ROW(T_LEAVE[#Headers]))))))),"")</f>
        <v>H</v>
      </c>
      <c r="E80" s="75" t="str">
        <f>IFERROR(IF(E$8="","NA",IF(E$8&lt;INDEX(T_EMP[START DATE],ROW($B80)-ROW($B$8)),"NE",IF(AND(INDEX(T_EMP[TERMINATION DATE],ROW($B80)-ROW($B$8))&gt;0,E$8&gt;INDEX(T_EMP[TERMINATION DATE],ROW($B80)-ROW($B$8))),"NE",IF(NOT(ISERROR(MATCH(E$8,L_HOLS,0))),"H",IF(INDEX(L_WKNDVAL,WEEKDAY(E$8,1))=1,"WKND",INDEX(T_LEAVE[LEAVE CODE],SUMPRODUCT(--(T_LEAVE[NAME]=$B80),--(T_LEAVE[DATE]&lt;=E$8),--(T_LEAVE[DATE]&gt;=E$8),ROW(T_LEAVE[LEAVE CODE]))-ROW(T_LEAVE[#Headers]))))))),"")</f>
        <v/>
      </c>
      <c r="F80" s="75" t="str">
        <f>IFERROR(IF(F$8="","NA",IF(F$8&lt;INDEX(T_EMP[START DATE],ROW($B80)-ROW($B$8)),"NE",IF(AND(INDEX(T_EMP[TERMINATION DATE],ROW($B80)-ROW($B$8))&gt;0,F$8&gt;INDEX(T_EMP[TERMINATION DATE],ROW($B80)-ROW($B$8))),"NE",IF(NOT(ISERROR(MATCH(F$8,L_HOLS,0))),"H",IF(INDEX(L_WKNDVAL,WEEKDAY(F$8,1))=1,"WKND",INDEX(T_LEAVE[LEAVE CODE],SUMPRODUCT(--(T_LEAVE[NAME]=$B80),--(T_LEAVE[DATE]&lt;=F$8),--(T_LEAVE[DATE]&gt;=F$8),ROW(T_LEAVE[LEAVE CODE]))-ROW(T_LEAVE[#Headers]))))))),"")</f>
        <v/>
      </c>
      <c r="G80" s="75" t="str">
        <f>IFERROR(IF(G$8="","NA",IF(G$8&lt;INDEX(T_EMP[START DATE],ROW($B80)-ROW($B$8)),"NE",IF(AND(INDEX(T_EMP[TERMINATION DATE],ROW($B80)-ROW($B$8))&gt;0,G$8&gt;INDEX(T_EMP[TERMINATION DATE],ROW($B80)-ROW($B$8))),"NE",IF(NOT(ISERROR(MATCH(G$8,L_HOLS,0))),"H",IF(INDEX(L_WKNDVAL,WEEKDAY(G$8,1))=1,"WKND",INDEX(T_LEAVE[LEAVE CODE],SUMPRODUCT(--(T_LEAVE[NAME]=$B80),--(T_LEAVE[DATE]&lt;=G$8),--(T_LEAVE[DATE]&gt;=G$8),ROW(T_LEAVE[LEAVE CODE]))-ROW(T_LEAVE[#Headers]))))))),"")</f>
        <v/>
      </c>
      <c r="H80" s="75" t="str">
        <f>IFERROR(IF(H$8="","NA",IF(H$8&lt;INDEX(T_EMP[START DATE],ROW($B80)-ROW($B$8)),"NE",IF(AND(INDEX(T_EMP[TERMINATION DATE],ROW($B80)-ROW($B$8))&gt;0,H$8&gt;INDEX(T_EMP[TERMINATION DATE],ROW($B80)-ROW($B$8))),"NE",IF(NOT(ISERROR(MATCH(H$8,L_HOLS,0))),"H",IF(INDEX(L_WKNDVAL,WEEKDAY(H$8,1))=1,"WKND",INDEX(T_LEAVE[LEAVE CODE],SUMPRODUCT(--(T_LEAVE[NAME]=$B80),--(T_LEAVE[DATE]&lt;=H$8),--(T_LEAVE[DATE]&gt;=H$8),ROW(T_LEAVE[LEAVE CODE]))-ROW(T_LEAVE[#Headers]))))))),"")</f>
        <v/>
      </c>
      <c r="I80" s="75" t="str">
        <f>IFERROR(IF(I$8="","NA",IF(I$8&lt;INDEX(T_EMP[START DATE],ROW($B80)-ROW($B$8)),"NE",IF(AND(INDEX(T_EMP[TERMINATION DATE],ROW($B80)-ROW($B$8))&gt;0,I$8&gt;INDEX(T_EMP[TERMINATION DATE],ROW($B80)-ROW($B$8))),"NE",IF(NOT(ISERROR(MATCH(I$8,L_HOLS,0))),"H",IF(INDEX(L_WKNDVAL,WEEKDAY(I$8,1))=1,"WKND",INDEX(T_LEAVE[LEAVE CODE],SUMPRODUCT(--(T_LEAVE[NAME]=$B80),--(T_LEAVE[DATE]&lt;=I$8),--(T_LEAVE[DATE]&gt;=I$8),ROW(T_LEAVE[LEAVE CODE]))-ROW(T_LEAVE[#Headers]))))))),"")</f>
        <v/>
      </c>
      <c r="J80" s="75" t="str">
        <f>IFERROR(IF(J$8="","NA",IF(J$8&lt;INDEX(T_EMP[START DATE],ROW($B80)-ROW($B$8)),"NE",IF(AND(INDEX(T_EMP[TERMINATION DATE],ROW($B80)-ROW($B$8))&gt;0,J$8&gt;INDEX(T_EMP[TERMINATION DATE],ROW($B80)-ROW($B$8))),"NE",IF(NOT(ISERROR(MATCH(J$8,L_HOLS,0))),"H",IF(INDEX(L_WKNDVAL,WEEKDAY(J$8,1))=1,"WKND",INDEX(T_LEAVE[LEAVE CODE],SUMPRODUCT(--(T_LEAVE[NAME]=$B80),--(T_LEAVE[DATE]&lt;=J$8),--(T_LEAVE[DATE]&gt;=J$8),ROW(T_LEAVE[LEAVE CODE]))-ROW(T_LEAVE[#Headers]))))))),"")</f>
        <v/>
      </c>
      <c r="K80" s="75" t="str">
        <f>IFERROR(IF(K$8="","NA",IF(K$8&lt;INDEX(T_EMP[START DATE],ROW($B80)-ROW($B$8)),"NE",IF(AND(INDEX(T_EMP[TERMINATION DATE],ROW($B80)-ROW($B$8))&gt;0,K$8&gt;INDEX(T_EMP[TERMINATION DATE],ROW($B80)-ROW($B$8))),"NE",IF(NOT(ISERROR(MATCH(K$8,L_HOLS,0))),"H",IF(INDEX(L_WKNDVAL,WEEKDAY(K$8,1))=1,"WKND",INDEX(T_LEAVE[LEAVE CODE],SUMPRODUCT(--(T_LEAVE[NAME]=$B80),--(T_LEAVE[DATE]&lt;=K$8),--(T_LEAVE[DATE]&gt;=K$8),ROW(T_LEAVE[LEAVE CODE]))-ROW(T_LEAVE[#Headers]))))))),"")</f>
        <v/>
      </c>
      <c r="L80" s="75" t="str">
        <f>IFERROR(IF(L$8="","NA",IF(L$8&lt;INDEX(T_EMP[START DATE],ROW($B80)-ROW($B$8)),"NE",IF(AND(INDEX(T_EMP[TERMINATION DATE],ROW($B80)-ROW($B$8))&gt;0,L$8&gt;INDEX(T_EMP[TERMINATION DATE],ROW($B80)-ROW($B$8))),"NE",IF(NOT(ISERROR(MATCH(L$8,L_HOLS,0))),"H",IF(INDEX(L_WKNDVAL,WEEKDAY(L$8,1))=1,"WKND",INDEX(T_LEAVE[LEAVE CODE],SUMPRODUCT(--(T_LEAVE[NAME]=$B80),--(T_LEAVE[DATE]&lt;=L$8),--(T_LEAVE[DATE]&gt;=L$8),ROW(T_LEAVE[LEAVE CODE]))-ROW(T_LEAVE[#Headers]))))))),"")</f>
        <v/>
      </c>
      <c r="M80" s="75" t="str">
        <f>IFERROR(IF(M$8="","NA",IF(M$8&lt;INDEX(T_EMP[START DATE],ROW($B80)-ROW($B$8)),"NE",IF(AND(INDEX(T_EMP[TERMINATION DATE],ROW($B80)-ROW($B$8))&gt;0,M$8&gt;INDEX(T_EMP[TERMINATION DATE],ROW($B80)-ROW($B$8))),"NE",IF(NOT(ISERROR(MATCH(M$8,L_HOLS,0))),"H",IF(INDEX(L_WKNDVAL,WEEKDAY(M$8,1))=1,"WKND",INDEX(T_LEAVE[LEAVE CODE],SUMPRODUCT(--(T_LEAVE[NAME]=$B80),--(T_LEAVE[DATE]&lt;=M$8),--(T_LEAVE[DATE]&gt;=M$8),ROW(T_LEAVE[LEAVE CODE]))-ROW(T_LEAVE[#Headers]))))))),"")</f>
        <v/>
      </c>
      <c r="N80" s="75" t="str">
        <f>IFERROR(IF(N$8="","NA",IF(N$8&lt;INDEX(T_EMP[START DATE],ROW($B80)-ROW($B$8)),"NE",IF(AND(INDEX(T_EMP[TERMINATION DATE],ROW($B80)-ROW($B$8))&gt;0,N$8&gt;INDEX(T_EMP[TERMINATION DATE],ROW($B80)-ROW($B$8))),"NE",IF(NOT(ISERROR(MATCH(N$8,L_HOLS,0))),"H",IF(INDEX(L_WKNDVAL,WEEKDAY(N$8,1))=1,"WKND",INDEX(T_LEAVE[LEAVE CODE],SUMPRODUCT(--(T_LEAVE[NAME]=$B80),--(T_LEAVE[DATE]&lt;=N$8),--(T_LEAVE[DATE]&gt;=N$8),ROW(T_LEAVE[LEAVE CODE]))-ROW(T_LEAVE[#Headers]))))))),"")</f>
        <v/>
      </c>
      <c r="O80" s="75" t="str">
        <f>IFERROR(IF(O$8="","NA",IF(O$8&lt;INDEX(T_EMP[START DATE],ROW($B80)-ROW($B$8)),"NE",IF(AND(INDEX(T_EMP[TERMINATION DATE],ROW($B80)-ROW($B$8))&gt;0,O$8&gt;INDEX(T_EMP[TERMINATION DATE],ROW($B80)-ROW($B$8))),"NE",IF(NOT(ISERROR(MATCH(O$8,L_HOLS,0))),"H",IF(INDEX(L_WKNDVAL,WEEKDAY(O$8,1))=1,"WKND",INDEX(T_LEAVE[LEAVE CODE],SUMPRODUCT(--(T_LEAVE[NAME]=$B80),--(T_LEAVE[DATE]&lt;=O$8),--(T_LEAVE[DATE]&gt;=O$8),ROW(T_LEAVE[LEAVE CODE]))-ROW(T_LEAVE[#Headers]))))))),"")</f>
        <v/>
      </c>
      <c r="P80" s="75" t="str">
        <f>IFERROR(IF(P$8="","NA",IF(P$8&lt;INDEX(T_EMP[START DATE],ROW($B80)-ROW($B$8)),"NE",IF(AND(INDEX(T_EMP[TERMINATION DATE],ROW($B80)-ROW($B$8))&gt;0,P$8&gt;INDEX(T_EMP[TERMINATION DATE],ROW($B80)-ROW($B$8))),"NE",IF(NOT(ISERROR(MATCH(P$8,L_HOLS,0))),"H",IF(INDEX(L_WKNDVAL,WEEKDAY(P$8,1))=1,"WKND",INDEX(T_LEAVE[LEAVE CODE],SUMPRODUCT(--(T_LEAVE[NAME]=$B80),--(T_LEAVE[DATE]&lt;=P$8),--(T_LEAVE[DATE]&gt;=P$8),ROW(T_LEAVE[LEAVE CODE]))-ROW(T_LEAVE[#Headers]))))))),"")</f>
        <v>H</v>
      </c>
      <c r="Q80" s="75" t="str">
        <f>IFERROR(IF(Q$8="","NA",IF(Q$8&lt;INDEX(T_EMP[START DATE],ROW($B80)-ROW($B$8)),"NE",IF(AND(INDEX(T_EMP[TERMINATION DATE],ROW($B80)-ROW($B$8))&gt;0,Q$8&gt;INDEX(T_EMP[TERMINATION DATE],ROW($B80)-ROW($B$8))),"NE",IF(NOT(ISERROR(MATCH(Q$8,L_HOLS,0))),"H",IF(INDEX(L_WKNDVAL,WEEKDAY(Q$8,1))=1,"WKND",INDEX(T_LEAVE[LEAVE CODE],SUMPRODUCT(--(T_LEAVE[NAME]=$B80),--(T_LEAVE[DATE]&lt;=Q$8),--(T_LEAVE[DATE]&gt;=Q$8),ROW(T_LEAVE[LEAVE CODE]))-ROW(T_LEAVE[#Headers]))))))),"")</f>
        <v/>
      </c>
      <c r="R80" s="75" t="str">
        <f>IFERROR(IF(R$8="","NA",IF(R$8&lt;INDEX(T_EMP[START DATE],ROW($B80)-ROW($B$8)),"NE",IF(AND(INDEX(T_EMP[TERMINATION DATE],ROW($B80)-ROW($B$8))&gt;0,R$8&gt;INDEX(T_EMP[TERMINATION DATE],ROW($B80)-ROW($B$8))),"NE",IF(NOT(ISERROR(MATCH(R$8,L_HOLS,0))),"H",IF(INDEX(L_WKNDVAL,WEEKDAY(R$8,1))=1,"WKND",INDEX(T_LEAVE[LEAVE CODE],SUMPRODUCT(--(T_LEAVE[NAME]=$B80),--(T_LEAVE[DATE]&lt;=R$8),--(T_LEAVE[DATE]&gt;=R$8),ROW(T_LEAVE[LEAVE CODE]))-ROW(T_LEAVE[#Headers]))))))),"")</f>
        <v/>
      </c>
      <c r="S80" s="75" t="str">
        <f>IFERROR(IF(S$8="","NA",IF(S$8&lt;INDEX(T_EMP[START DATE],ROW($B80)-ROW($B$8)),"NE",IF(AND(INDEX(T_EMP[TERMINATION DATE],ROW($B80)-ROW($B$8))&gt;0,S$8&gt;INDEX(T_EMP[TERMINATION DATE],ROW($B80)-ROW($B$8))),"NE",IF(NOT(ISERROR(MATCH(S$8,L_HOLS,0))),"H",IF(INDEX(L_WKNDVAL,WEEKDAY(S$8,1))=1,"WKND",INDEX(T_LEAVE[LEAVE CODE],SUMPRODUCT(--(T_LEAVE[NAME]=$B80),--(T_LEAVE[DATE]&lt;=S$8),--(T_LEAVE[DATE]&gt;=S$8),ROW(T_LEAVE[LEAVE CODE]))-ROW(T_LEAVE[#Headers]))))))),"")</f>
        <v/>
      </c>
      <c r="T80" s="75" t="str">
        <f>IFERROR(IF(T$8="","NA",IF(T$8&lt;INDEX(T_EMP[START DATE],ROW($B80)-ROW($B$8)),"NE",IF(AND(INDEX(T_EMP[TERMINATION DATE],ROW($B80)-ROW($B$8))&gt;0,T$8&gt;INDEX(T_EMP[TERMINATION DATE],ROW($B80)-ROW($B$8))),"NE",IF(NOT(ISERROR(MATCH(T$8,L_HOLS,0))),"H",IF(INDEX(L_WKNDVAL,WEEKDAY(T$8,1))=1,"WKND",INDEX(T_LEAVE[LEAVE CODE],SUMPRODUCT(--(T_LEAVE[NAME]=$B80),--(T_LEAVE[DATE]&lt;=T$8),--(T_LEAVE[DATE]&gt;=T$8),ROW(T_LEAVE[LEAVE CODE]))-ROW(T_LEAVE[#Headers]))))))),"")</f>
        <v/>
      </c>
      <c r="U80" s="75" t="str">
        <f>IFERROR(IF(U$8="","NA",IF(U$8&lt;INDEX(T_EMP[START DATE],ROW($B80)-ROW($B$8)),"NE",IF(AND(INDEX(T_EMP[TERMINATION DATE],ROW($B80)-ROW($B$8))&gt;0,U$8&gt;INDEX(T_EMP[TERMINATION DATE],ROW($B80)-ROW($B$8))),"NE",IF(NOT(ISERROR(MATCH(U$8,L_HOLS,0))),"H",IF(INDEX(L_WKNDVAL,WEEKDAY(U$8,1))=1,"WKND",INDEX(T_LEAVE[LEAVE CODE],SUMPRODUCT(--(T_LEAVE[NAME]=$B80),--(T_LEAVE[DATE]&lt;=U$8),--(T_LEAVE[DATE]&gt;=U$8),ROW(T_LEAVE[LEAVE CODE]))-ROW(T_LEAVE[#Headers]))))))),"")</f>
        <v/>
      </c>
      <c r="V80" s="75" t="str">
        <f>IFERROR(IF(V$8="","NA",IF(V$8&lt;INDEX(T_EMP[START DATE],ROW($B80)-ROW($B$8)),"NE",IF(AND(INDEX(T_EMP[TERMINATION DATE],ROW($B80)-ROW($B$8))&gt;0,V$8&gt;INDEX(T_EMP[TERMINATION DATE],ROW($B80)-ROW($B$8))),"NE",IF(NOT(ISERROR(MATCH(V$8,L_HOLS,0))),"H",IF(INDEX(L_WKNDVAL,WEEKDAY(V$8,1))=1,"WKND",INDEX(T_LEAVE[LEAVE CODE],SUMPRODUCT(--(T_LEAVE[NAME]=$B80),--(T_LEAVE[DATE]&lt;=V$8),--(T_LEAVE[DATE]&gt;=V$8),ROW(T_LEAVE[LEAVE CODE]))-ROW(T_LEAVE[#Headers]))))))),"")</f>
        <v/>
      </c>
      <c r="W80" s="75" t="str">
        <f>IFERROR(IF(W$8="","NA",IF(W$8&lt;INDEX(T_EMP[START DATE],ROW($B80)-ROW($B$8)),"NE",IF(AND(INDEX(T_EMP[TERMINATION DATE],ROW($B80)-ROW($B$8))&gt;0,W$8&gt;INDEX(T_EMP[TERMINATION DATE],ROW($B80)-ROW($B$8))),"NE",IF(NOT(ISERROR(MATCH(W$8,L_HOLS,0))),"H",IF(INDEX(L_WKNDVAL,WEEKDAY(W$8,1))=1,"WKND",INDEX(T_LEAVE[LEAVE CODE],SUMPRODUCT(--(T_LEAVE[NAME]=$B80),--(T_LEAVE[DATE]&lt;=W$8),--(T_LEAVE[DATE]&gt;=W$8),ROW(T_LEAVE[LEAVE CODE]))-ROW(T_LEAVE[#Headers]))))))),"")</f>
        <v/>
      </c>
      <c r="X80" s="75" t="str">
        <f>IFERROR(IF(X$8="","NA",IF(X$8&lt;INDEX(T_EMP[START DATE],ROW($B80)-ROW($B$8)),"NE",IF(AND(INDEX(T_EMP[TERMINATION DATE],ROW($B80)-ROW($B$8))&gt;0,X$8&gt;INDEX(T_EMP[TERMINATION DATE],ROW($B80)-ROW($B$8))),"NE",IF(NOT(ISERROR(MATCH(X$8,L_HOLS,0))),"H",IF(INDEX(L_WKNDVAL,WEEKDAY(X$8,1))=1,"WKND",INDEX(T_LEAVE[LEAVE CODE],SUMPRODUCT(--(T_LEAVE[NAME]=$B80),--(T_LEAVE[DATE]&lt;=X$8),--(T_LEAVE[DATE]&gt;=X$8),ROW(T_LEAVE[LEAVE CODE]))-ROW(T_LEAVE[#Headers]))))))),"")</f>
        <v/>
      </c>
      <c r="Y80" s="75" t="str">
        <f>IFERROR(IF(Y$8="","NA",IF(Y$8&lt;INDEX(T_EMP[START DATE],ROW($B80)-ROW($B$8)),"NE",IF(AND(INDEX(T_EMP[TERMINATION DATE],ROW($B80)-ROW($B$8))&gt;0,Y$8&gt;INDEX(T_EMP[TERMINATION DATE],ROW($B80)-ROW($B$8))),"NE",IF(NOT(ISERROR(MATCH(Y$8,L_HOLS,0))),"H",IF(INDEX(L_WKNDVAL,WEEKDAY(Y$8,1))=1,"WKND",INDEX(T_LEAVE[LEAVE CODE],SUMPRODUCT(--(T_LEAVE[NAME]=$B80),--(T_LEAVE[DATE]&lt;=Y$8),--(T_LEAVE[DATE]&gt;=Y$8),ROW(T_LEAVE[LEAVE CODE]))-ROW(T_LEAVE[#Headers]))))))),"")</f>
        <v/>
      </c>
      <c r="Z80" s="75" t="str">
        <f>IFERROR(IF(Z$8="","NA",IF(Z$8&lt;INDEX(T_EMP[START DATE],ROW($B80)-ROW($B$8)),"NE",IF(AND(INDEX(T_EMP[TERMINATION DATE],ROW($B80)-ROW($B$8))&gt;0,Z$8&gt;INDEX(T_EMP[TERMINATION DATE],ROW($B80)-ROW($B$8))),"NE",IF(NOT(ISERROR(MATCH(Z$8,L_HOLS,0))),"H",IF(INDEX(L_WKNDVAL,WEEKDAY(Z$8,1))=1,"WKND",INDEX(T_LEAVE[LEAVE CODE],SUMPRODUCT(--(T_LEAVE[NAME]=$B80),--(T_LEAVE[DATE]&lt;=Z$8),--(T_LEAVE[DATE]&gt;=Z$8),ROW(T_LEAVE[LEAVE CODE]))-ROW(T_LEAVE[#Headers]))))))),"")</f>
        <v/>
      </c>
      <c r="AA80" s="75" t="str">
        <f>IFERROR(IF(AA$8="","NA",IF(AA$8&lt;INDEX(T_EMP[START DATE],ROW($B80)-ROW($B$8)),"NE",IF(AND(INDEX(T_EMP[TERMINATION DATE],ROW($B80)-ROW($B$8))&gt;0,AA$8&gt;INDEX(T_EMP[TERMINATION DATE],ROW($B80)-ROW($B$8))),"NE",IF(NOT(ISERROR(MATCH(AA$8,L_HOLS,0))),"H",IF(INDEX(L_WKNDVAL,WEEKDAY(AA$8,1))=1,"WKND",INDEX(T_LEAVE[LEAVE CODE],SUMPRODUCT(--(T_LEAVE[NAME]=$B80),--(T_LEAVE[DATE]&lt;=AA$8),--(T_LEAVE[DATE]&gt;=AA$8),ROW(T_LEAVE[LEAVE CODE]))-ROW(T_LEAVE[#Headers]))))))),"")</f>
        <v/>
      </c>
      <c r="AB80" s="75" t="str">
        <f>IFERROR(IF(AB$8="","NA",IF(AB$8&lt;INDEX(T_EMP[START DATE],ROW($B80)-ROW($B$8)),"NE",IF(AND(INDEX(T_EMP[TERMINATION DATE],ROW($B80)-ROW($B$8))&gt;0,AB$8&gt;INDEX(T_EMP[TERMINATION DATE],ROW($B80)-ROW($B$8))),"NE",IF(NOT(ISERROR(MATCH(AB$8,L_HOLS,0))),"H",IF(INDEX(L_WKNDVAL,WEEKDAY(AB$8,1))=1,"WKND",INDEX(T_LEAVE[LEAVE CODE],SUMPRODUCT(--(T_LEAVE[NAME]=$B80),--(T_LEAVE[DATE]&lt;=AB$8),--(T_LEAVE[DATE]&gt;=AB$8),ROW(T_LEAVE[LEAVE CODE]))-ROW(T_LEAVE[#Headers]))))))),"")</f>
        <v/>
      </c>
      <c r="AC80" s="75" t="str">
        <f>IFERROR(IF(AC$8="","NA",IF(AC$8&lt;INDEX(T_EMP[START DATE],ROW($B80)-ROW($B$8)),"NE",IF(AND(INDEX(T_EMP[TERMINATION DATE],ROW($B80)-ROW($B$8))&gt;0,AC$8&gt;INDEX(T_EMP[TERMINATION DATE],ROW($B80)-ROW($B$8))),"NE",IF(NOT(ISERROR(MATCH(AC$8,L_HOLS,0))),"H",IF(INDEX(L_WKNDVAL,WEEKDAY(AC$8,1))=1,"WKND",INDEX(T_LEAVE[LEAVE CODE],SUMPRODUCT(--(T_LEAVE[NAME]=$B80),--(T_LEAVE[DATE]&lt;=AC$8),--(T_LEAVE[DATE]&gt;=AC$8),ROW(T_LEAVE[LEAVE CODE]))-ROW(T_LEAVE[#Headers]))))))),"")</f>
        <v/>
      </c>
      <c r="AD80" s="75" t="str">
        <f>IFERROR(IF(AD$8="","NA",IF(AD$8&lt;INDEX(T_EMP[START DATE],ROW($B80)-ROW($B$8)),"NE",IF(AND(INDEX(T_EMP[TERMINATION DATE],ROW($B80)-ROW($B$8))&gt;0,AD$8&gt;INDEX(T_EMP[TERMINATION DATE],ROW($B80)-ROW($B$8))),"NE",IF(NOT(ISERROR(MATCH(AD$8,L_HOLS,0))),"H",IF(INDEX(L_WKNDVAL,WEEKDAY(AD$8,1))=1,"WKND",INDEX(T_LEAVE[LEAVE CODE],SUMPRODUCT(--(T_LEAVE[NAME]=$B80),--(T_LEAVE[DATE]&lt;=AD$8),--(T_LEAVE[DATE]&gt;=AD$8),ROW(T_LEAVE[LEAVE CODE]))-ROW(T_LEAVE[#Headers]))))))),"")</f>
        <v/>
      </c>
      <c r="AE80" s="75" t="str">
        <f>IFERROR(IF(AE$8="","NA",IF(AE$8&lt;INDEX(T_EMP[START DATE],ROW($B80)-ROW($B$8)),"NE",IF(AND(INDEX(T_EMP[TERMINATION DATE],ROW($B80)-ROW($B$8))&gt;0,AE$8&gt;INDEX(T_EMP[TERMINATION DATE],ROW($B80)-ROW($B$8))),"NE",IF(NOT(ISERROR(MATCH(AE$8,L_HOLS,0))),"H",IF(INDEX(L_WKNDVAL,WEEKDAY(AE$8,1))=1,"WKND",INDEX(T_LEAVE[LEAVE CODE],SUMPRODUCT(--(T_LEAVE[NAME]=$B80),--(T_LEAVE[DATE]&lt;=AE$8),--(T_LEAVE[DATE]&gt;=AE$8),ROW(T_LEAVE[LEAVE CODE]))-ROW(T_LEAVE[#Headers]))))))),"")</f>
        <v/>
      </c>
      <c r="AF80" s="75" t="str">
        <f>IFERROR(IF(AF$8="","NA",IF(AF$8&lt;INDEX(T_EMP[START DATE],ROW($B80)-ROW($B$8)),"NE",IF(AND(INDEX(T_EMP[TERMINATION DATE],ROW($B80)-ROW($B$8))&gt;0,AF$8&gt;INDEX(T_EMP[TERMINATION DATE],ROW($B80)-ROW($B$8))),"NE",IF(NOT(ISERROR(MATCH(AF$8,L_HOLS,0))),"H",IF(INDEX(L_WKNDVAL,WEEKDAY(AF$8,1))=1,"WKND",INDEX(T_LEAVE[LEAVE CODE],SUMPRODUCT(--(T_LEAVE[NAME]=$B80),--(T_LEAVE[DATE]&lt;=AF$8),--(T_LEAVE[DATE]&gt;=AF$8),ROW(T_LEAVE[LEAVE CODE]))-ROW(T_LEAVE[#Headers]))))))),"")</f>
        <v/>
      </c>
      <c r="AG80" s="75" t="str">
        <f>IFERROR(IF(AG$8="","NA",IF(AG$8&lt;INDEX(T_EMP[START DATE],ROW($B80)-ROW($B$8)),"NE",IF(AND(INDEX(T_EMP[TERMINATION DATE],ROW($B80)-ROW($B$8))&gt;0,AG$8&gt;INDEX(T_EMP[TERMINATION DATE],ROW($B80)-ROW($B$8))),"NE",IF(NOT(ISERROR(MATCH(AG$8,L_HOLS,0))),"H",IF(INDEX(L_WKNDVAL,WEEKDAY(AG$8,1))=1,"WKND",INDEX(T_LEAVE[LEAVE CODE],SUMPRODUCT(--(T_LEAVE[NAME]=$B80),--(T_LEAVE[DATE]&lt;=AG$8),--(T_LEAVE[DATE]&gt;=AG$8),ROW(T_LEAVE[LEAVE CODE]))-ROW(T_LEAVE[#Headers]))))))),"")</f>
        <v/>
      </c>
      <c r="AH80" s="75" t="str">
        <f>IFERROR(IF(AH$8="","NA",IF(AH$8&lt;INDEX(T_EMP[START DATE],ROW($B80)-ROW($B$8)),"NE",IF(AND(INDEX(T_EMP[TERMINATION DATE],ROW($B80)-ROW($B$8))&gt;0,AH$8&gt;INDEX(T_EMP[TERMINATION DATE],ROW($B80)-ROW($B$8))),"NE",IF(NOT(ISERROR(MATCH(AH$8,L_HOLS,0))),"H",IF(INDEX(L_WKNDVAL,WEEKDAY(AH$8,1))=1,"WKND",INDEX(T_LEAVE[LEAVE CODE],SUMPRODUCT(--(T_LEAVE[NAME]=$B80),--(T_LEAVE[DATE]&lt;=AH$8),--(T_LEAVE[DATE]&gt;=AH$8),ROW(T_LEAVE[LEAVE CODE]))-ROW(T_LEAVE[#Headers]))))))),"")</f>
        <v/>
      </c>
      <c r="AJ80" s="88">
        <f>IF(OR($B80="",AJ$8=""),"",COUNTIFS($D80:$AH80,AJ$8)*INDEX(T_LEAVETYPE[DAY VALUE],1))</f>
        <v>0</v>
      </c>
      <c r="AK80" s="88">
        <f>IF(OR($B80="",AK$8=""),"",COUNTIFS($D80:$AH80,AK$8)*INDEX(T_LEAVETYPE[DAY VALUE],1))</f>
        <v>0</v>
      </c>
      <c r="AL80" s="88">
        <f>IF(OR($B80="",AL$8=""),"",COUNTIFS($D80:$AH80,AL$8)*INDEX(T_LEAVETYPE[DAY VALUE],1))</f>
        <v>0</v>
      </c>
      <c r="AM80" s="88">
        <f>IF(OR($B80="",AM$8=""),"",COUNTIFS($D80:$AH80,AM$8)*INDEX(T_LEAVETYPE[DAY VALUE],1))</f>
        <v>0</v>
      </c>
      <c r="AN80" s="88">
        <f>IF(OR($B80="",AN$8=""),"",COUNTIFS($D80:$AH80,AN$8)*INDEX(T_LEAVETYPE[DAY VALUE],1))</f>
        <v>0</v>
      </c>
      <c r="AO80" s="88">
        <f>IF(OR($B80="",AO$8=""),"",COUNTIFS($D80:$AH80,AO$8)*INDEX(T_LEAVETYPE[DAY VALUE],6))</f>
        <v>0</v>
      </c>
      <c r="AP80" s="88">
        <f>IF(OR($B80="",AP$8=""),"",COUNTIFS($D80:$AH80,AP$8)*INDEX(T_LEAVETYPE[DAY VALUE],7))</f>
        <v>0</v>
      </c>
      <c r="AQ80" s="88">
        <f>IF(OR($B80="",AQ$8=""),"",COUNTIFS($D80:$AH80,AQ$8)*INDEX(T_LEAVETYPE[DAY VALUE],8))</f>
        <v>0</v>
      </c>
      <c r="AR80" s="89">
        <f t="shared" si="5"/>
        <v>0</v>
      </c>
    </row>
    <row r="81" spans="1:44" x14ac:dyDescent="0.25">
      <c r="A81" s="90">
        <f t="shared" si="4"/>
        <v>73</v>
      </c>
      <c r="B81" s="74" t="str">
        <f>IFERROR(INDEX(T_EMP[NAME],ROW(B81)-ROW($B$8)),"")</f>
        <v>MADAMBA, ERICA</v>
      </c>
      <c r="C81" s="91" t="str">
        <f>IFERROR(INDEX(T_EMP[DEPARTMENT],ROW(B81)-ROW($C$8)),"")</f>
        <v>LND + RTS</v>
      </c>
      <c r="D81" s="75" t="str">
        <f>IFERROR(IF(D$8="","NA",IF(D$8&lt;INDEX(T_EMP[START DATE],ROW($B81)-ROW($B$8)),"NE",IF(AND(INDEX(T_EMP[TERMINATION DATE],ROW($B81)-ROW($B$8))&gt;0,D$8&gt;INDEX(T_EMP[TERMINATION DATE],ROW($B81)-ROW($B$8))),"NE",IF(NOT(ISERROR(MATCH(D$8,L_HOLS,0))),"H",IF(INDEX(L_WKNDVAL,WEEKDAY(D$8,1))=1,"WKND",INDEX(T_LEAVE[LEAVE CODE],SUMPRODUCT(--(T_LEAVE[NAME]=$B81),--(T_LEAVE[DATE]&lt;=D$8),--(T_LEAVE[DATE]&gt;=D$8),ROW(T_LEAVE[LEAVE CODE]))-ROW(T_LEAVE[#Headers]))))))),"")</f>
        <v>H</v>
      </c>
      <c r="E81" s="75" t="str">
        <f>IFERROR(IF(E$8="","NA",IF(E$8&lt;INDEX(T_EMP[START DATE],ROW($B81)-ROW($B$8)),"NE",IF(AND(INDEX(T_EMP[TERMINATION DATE],ROW($B81)-ROW($B$8))&gt;0,E$8&gt;INDEX(T_EMP[TERMINATION DATE],ROW($B81)-ROW($B$8))),"NE",IF(NOT(ISERROR(MATCH(E$8,L_HOLS,0))),"H",IF(INDEX(L_WKNDVAL,WEEKDAY(E$8,1))=1,"WKND",INDEX(T_LEAVE[LEAVE CODE],SUMPRODUCT(--(T_LEAVE[NAME]=$B81),--(T_LEAVE[DATE]&lt;=E$8),--(T_LEAVE[DATE]&gt;=E$8),ROW(T_LEAVE[LEAVE CODE]))-ROW(T_LEAVE[#Headers]))))))),"")</f>
        <v/>
      </c>
      <c r="F81" s="75" t="str">
        <f>IFERROR(IF(F$8="","NA",IF(F$8&lt;INDEX(T_EMP[START DATE],ROW($B81)-ROW($B$8)),"NE",IF(AND(INDEX(T_EMP[TERMINATION DATE],ROW($B81)-ROW($B$8))&gt;0,F$8&gt;INDEX(T_EMP[TERMINATION DATE],ROW($B81)-ROW($B$8))),"NE",IF(NOT(ISERROR(MATCH(F$8,L_HOLS,0))),"H",IF(INDEX(L_WKNDVAL,WEEKDAY(F$8,1))=1,"WKND",INDEX(T_LEAVE[LEAVE CODE],SUMPRODUCT(--(T_LEAVE[NAME]=$B81),--(T_LEAVE[DATE]&lt;=F$8),--(T_LEAVE[DATE]&gt;=F$8),ROW(T_LEAVE[LEAVE CODE]))-ROW(T_LEAVE[#Headers]))))))),"")</f>
        <v/>
      </c>
      <c r="G81" s="75" t="str">
        <f>IFERROR(IF(G$8="","NA",IF(G$8&lt;INDEX(T_EMP[START DATE],ROW($B81)-ROW($B$8)),"NE",IF(AND(INDEX(T_EMP[TERMINATION DATE],ROW($B81)-ROW($B$8))&gt;0,G$8&gt;INDEX(T_EMP[TERMINATION DATE],ROW($B81)-ROW($B$8))),"NE",IF(NOT(ISERROR(MATCH(G$8,L_HOLS,0))),"H",IF(INDEX(L_WKNDVAL,WEEKDAY(G$8,1))=1,"WKND",INDEX(T_LEAVE[LEAVE CODE],SUMPRODUCT(--(T_LEAVE[NAME]=$B81),--(T_LEAVE[DATE]&lt;=G$8),--(T_LEAVE[DATE]&gt;=G$8),ROW(T_LEAVE[LEAVE CODE]))-ROW(T_LEAVE[#Headers]))))))),"")</f>
        <v/>
      </c>
      <c r="H81" s="75" t="str">
        <f>IFERROR(IF(H$8="","NA",IF(H$8&lt;INDEX(T_EMP[START DATE],ROW($B81)-ROW($B$8)),"NE",IF(AND(INDEX(T_EMP[TERMINATION DATE],ROW($B81)-ROW($B$8))&gt;0,H$8&gt;INDEX(T_EMP[TERMINATION DATE],ROW($B81)-ROW($B$8))),"NE",IF(NOT(ISERROR(MATCH(H$8,L_HOLS,0))),"H",IF(INDEX(L_WKNDVAL,WEEKDAY(H$8,1))=1,"WKND",INDEX(T_LEAVE[LEAVE CODE],SUMPRODUCT(--(T_LEAVE[NAME]=$B81),--(T_LEAVE[DATE]&lt;=H$8),--(T_LEAVE[DATE]&gt;=H$8),ROW(T_LEAVE[LEAVE CODE]))-ROW(T_LEAVE[#Headers]))))))),"")</f>
        <v/>
      </c>
      <c r="I81" s="75" t="str">
        <f>IFERROR(IF(I$8="","NA",IF(I$8&lt;INDEX(T_EMP[START DATE],ROW($B81)-ROW($B$8)),"NE",IF(AND(INDEX(T_EMP[TERMINATION DATE],ROW($B81)-ROW($B$8))&gt;0,I$8&gt;INDEX(T_EMP[TERMINATION DATE],ROW($B81)-ROW($B$8))),"NE",IF(NOT(ISERROR(MATCH(I$8,L_HOLS,0))),"H",IF(INDEX(L_WKNDVAL,WEEKDAY(I$8,1))=1,"WKND",INDEX(T_LEAVE[LEAVE CODE],SUMPRODUCT(--(T_LEAVE[NAME]=$B81),--(T_LEAVE[DATE]&lt;=I$8),--(T_LEAVE[DATE]&gt;=I$8),ROW(T_LEAVE[LEAVE CODE]))-ROW(T_LEAVE[#Headers]))))))),"")</f>
        <v/>
      </c>
      <c r="J81" s="75" t="str">
        <f>IFERROR(IF(J$8="","NA",IF(J$8&lt;INDEX(T_EMP[START DATE],ROW($B81)-ROW($B$8)),"NE",IF(AND(INDEX(T_EMP[TERMINATION DATE],ROW($B81)-ROW($B$8))&gt;0,J$8&gt;INDEX(T_EMP[TERMINATION DATE],ROW($B81)-ROW($B$8))),"NE",IF(NOT(ISERROR(MATCH(J$8,L_HOLS,0))),"H",IF(INDEX(L_WKNDVAL,WEEKDAY(J$8,1))=1,"WKND",INDEX(T_LEAVE[LEAVE CODE],SUMPRODUCT(--(T_LEAVE[NAME]=$B81),--(T_LEAVE[DATE]&lt;=J$8),--(T_LEAVE[DATE]&gt;=J$8),ROW(T_LEAVE[LEAVE CODE]))-ROW(T_LEAVE[#Headers]))))))),"")</f>
        <v/>
      </c>
      <c r="K81" s="75" t="str">
        <f>IFERROR(IF(K$8="","NA",IF(K$8&lt;INDEX(T_EMP[START DATE],ROW($B81)-ROW($B$8)),"NE",IF(AND(INDEX(T_EMP[TERMINATION DATE],ROW($B81)-ROW($B$8))&gt;0,K$8&gt;INDEX(T_EMP[TERMINATION DATE],ROW($B81)-ROW($B$8))),"NE",IF(NOT(ISERROR(MATCH(K$8,L_HOLS,0))),"H",IF(INDEX(L_WKNDVAL,WEEKDAY(K$8,1))=1,"WKND",INDEX(T_LEAVE[LEAVE CODE],SUMPRODUCT(--(T_LEAVE[NAME]=$B81),--(T_LEAVE[DATE]&lt;=K$8),--(T_LEAVE[DATE]&gt;=K$8),ROW(T_LEAVE[LEAVE CODE]))-ROW(T_LEAVE[#Headers]))))))),"")</f>
        <v/>
      </c>
      <c r="L81" s="75" t="str">
        <f>IFERROR(IF(L$8="","NA",IF(L$8&lt;INDEX(T_EMP[START DATE],ROW($B81)-ROW($B$8)),"NE",IF(AND(INDEX(T_EMP[TERMINATION DATE],ROW($B81)-ROW($B$8))&gt;0,L$8&gt;INDEX(T_EMP[TERMINATION DATE],ROW($B81)-ROW($B$8))),"NE",IF(NOT(ISERROR(MATCH(L$8,L_HOLS,0))),"H",IF(INDEX(L_WKNDVAL,WEEKDAY(L$8,1))=1,"WKND",INDEX(T_LEAVE[LEAVE CODE],SUMPRODUCT(--(T_LEAVE[NAME]=$B81),--(T_LEAVE[DATE]&lt;=L$8),--(T_LEAVE[DATE]&gt;=L$8),ROW(T_LEAVE[LEAVE CODE]))-ROW(T_LEAVE[#Headers]))))))),"")</f>
        <v/>
      </c>
      <c r="M81" s="75" t="str">
        <f>IFERROR(IF(M$8="","NA",IF(M$8&lt;INDEX(T_EMP[START DATE],ROW($B81)-ROW($B$8)),"NE",IF(AND(INDEX(T_EMP[TERMINATION DATE],ROW($B81)-ROW($B$8))&gt;0,M$8&gt;INDEX(T_EMP[TERMINATION DATE],ROW($B81)-ROW($B$8))),"NE",IF(NOT(ISERROR(MATCH(M$8,L_HOLS,0))),"H",IF(INDEX(L_WKNDVAL,WEEKDAY(M$8,1))=1,"WKND",INDEX(T_LEAVE[LEAVE CODE],SUMPRODUCT(--(T_LEAVE[NAME]=$B81),--(T_LEAVE[DATE]&lt;=M$8),--(T_LEAVE[DATE]&gt;=M$8),ROW(T_LEAVE[LEAVE CODE]))-ROW(T_LEAVE[#Headers]))))))),"")</f>
        <v/>
      </c>
      <c r="N81" s="75" t="str">
        <f>IFERROR(IF(N$8="","NA",IF(N$8&lt;INDEX(T_EMP[START DATE],ROW($B81)-ROW($B$8)),"NE",IF(AND(INDEX(T_EMP[TERMINATION DATE],ROW($B81)-ROW($B$8))&gt;0,N$8&gt;INDEX(T_EMP[TERMINATION DATE],ROW($B81)-ROW($B$8))),"NE",IF(NOT(ISERROR(MATCH(N$8,L_HOLS,0))),"H",IF(INDEX(L_WKNDVAL,WEEKDAY(N$8,1))=1,"WKND",INDEX(T_LEAVE[LEAVE CODE],SUMPRODUCT(--(T_LEAVE[NAME]=$B81),--(T_LEAVE[DATE]&lt;=N$8),--(T_LEAVE[DATE]&gt;=N$8),ROW(T_LEAVE[LEAVE CODE]))-ROW(T_LEAVE[#Headers]))))))),"")</f>
        <v/>
      </c>
      <c r="O81" s="75" t="str">
        <f>IFERROR(IF(O$8="","NA",IF(O$8&lt;INDEX(T_EMP[START DATE],ROW($B81)-ROW($B$8)),"NE",IF(AND(INDEX(T_EMP[TERMINATION DATE],ROW($B81)-ROW($B$8))&gt;0,O$8&gt;INDEX(T_EMP[TERMINATION DATE],ROW($B81)-ROW($B$8))),"NE",IF(NOT(ISERROR(MATCH(O$8,L_HOLS,0))),"H",IF(INDEX(L_WKNDVAL,WEEKDAY(O$8,1))=1,"WKND",INDEX(T_LEAVE[LEAVE CODE],SUMPRODUCT(--(T_LEAVE[NAME]=$B81),--(T_LEAVE[DATE]&lt;=O$8),--(T_LEAVE[DATE]&gt;=O$8),ROW(T_LEAVE[LEAVE CODE]))-ROW(T_LEAVE[#Headers]))))))),"")</f>
        <v/>
      </c>
      <c r="P81" s="75" t="str">
        <f>IFERROR(IF(P$8="","NA",IF(P$8&lt;INDEX(T_EMP[START DATE],ROW($B81)-ROW($B$8)),"NE",IF(AND(INDEX(T_EMP[TERMINATION DATE],ROW($B81)-ROW($B$8))&gt;0,P$8&gt;INDEX(T_EMP[TERMINATION DATE],ROW($B81)-ROW($B$8))),"NE",IF(NOT(ISERROR(MATCH(P$8,L_HOLS,0))),"H",IF(INDEX(L_WKNDVAL,WEEKDAY(P$8,1))=1,"WKND",INDEX(T_LEAVE[LEAVE CODE],SUMPRODUCT(--(T_LEAVE[NAME]=$B81),--(T_LEAVE[DATE]&lt;=P$8),--(T_LEAVE[DATE]&gt;=P$8),ROW(T_LEAVE[LEAVE CODE]))-ROW(T_LEAVE[#Headers]))))))),"")</f>
        <v>H</v>
      </c>
      <c r="Q81" s="75" t="str">
        <f>IFERROR(IF(Q$8="","NA",IF(Q$8&lt;INDEX(T_EMP[START DATE],ROW($B81)-ROW($B$8)),"NE",IF(AND(INDEX(T_EMP[TERMINATION DATE],ROW($B81)-ROW($B$8))&gt;0,Q$8&gt;INDEX(T_EMP[TERMINATION DATE],ROW($B81)-ROW($B$8))),"NE",IF(NOT(ISERROR(MATCH(Q$8,L_HOLS,0))),"H",IF(INDEX(L_WKNDVAL,WEEKDAY(Q$8,1))=1,"WKND",INDEX(T_LEAVE[LEAVE CODE],SUMPRODUCT(--(T_LEAVE[NAME]=$B81),--(T_LEAVE[DATE]&lt;=Q$8),--(T_LEAVE[DATE]&gt;=Q$8),ROW(T_LEAVE[LEAVE CODE]))-ROW(T_LEAVE[#Headers]))))))),"")</f>
        <v/>
      </c>
      <c r="R81" s="75" t="str">
        <f>IFERROR(IF(R$8="","NA",IF(R$8&lt;INDEX(T_EMP[START DATE],ROW($B81)-ROW($B$8)),"NE",IF(AND(INDEX(T_EMP[TERMINATION DATE],ROW($B81)-ROW($B$8))&gt;0,R$8&gt;INDEX(T_EMP[TERMINATION DATE],ROW($B81)-ROW($B$8))),"NE",IF(NOT(ISERROR(MATCH(R$8,L_HOLS,0))),"H",IF(INDEX(L_WKNDVAL,WEEKDAY(R$8,1))=1,"WKND",INDEX(T_LEAVE[LEAVE CODE],SUMPRODUCT(--(T_LEAVE[NAME]=$B81),--(T_LEAVE[DATE]&lt;=R$8),--(T_LEAVE[DATE]&gt;=R$8),ROW(T_LEAVE[LEAVE CODE]))-ROW(T_LEAVE[#Headers]))))))),"")</f>
        <v/>
      </c>
      <c r="S81" s="75" t="str">
        <f>IFERROR(IF(S$8="","NA",IF(S$8&lt;INDEX(T_EMP[START DATE],ROW($B81)-ROW($B$8)),"NE",IF(AND(INDEX(T_EMP[TERMINATION DATE],ROW($B81)-ROW($B$8))&gt;0,S$8&gt;INDEX(T_EMP[TERMINATION DATE],ROW($B81)-ROW($B$8))),"NE",IF(NOT(ISERROR(MATCH(S$8,L_HOLS,0))),"H",IF(INDEX(L_WKNDVAL,WEEKDAY(S$8,1))=1,"WKND",INDEX(T_LEAVE[LEAVE CODE],SUMPRODUCT(--(T_LEAVE[NAME]=$B81),--(T_LEAVE[DATE]&lt;=S$8),--(T_LEAVE[DATE]&gt;=S$8),ROW(T_LEAVE[LEAVE CODE]))-ROW(T_LEAVE[#Headers]))))))),"")</f>
        <v/>
      </c>
      <c r="T81" s="75" t="str">
        <f>IFERROR(IF(T$8="","NA",IF(T$8&lt;INDEX(T_EMP[START DATE],ROW($B81)-ROW($B$8)),"NE",IF(AND(INDEX(T_EMP[TERMINATION DATE],ROW($B81)-ROW($B$8))&gt;0,T$8&gt;INDEX(T_EMP[TERMINATION DATE],ROW($B81)-ROW($B$8))),"NE",IF(NOT(ISERROR(MATCH(T$8,L_HOLS,0))),"H",IF(INDEX(L_WKNDVAL,WEEKDAY(T$8,1))=1,"WKND",INDEX(T_LEAVE[LEAVE CODE],SUMPRODUCT(--(T_LEAVE[NAME]=$B81),--(T_LEAVE[DATE]&lt;=T$8),--(T_LEAVE[DATE]&gt;=T$8),ROW(T_LEAVE[LEAVE CODE]))-ROW(T_LEAVE[#Headers]))))))),"")</f>
        <v/>
      </c>
      <c r="U81" s="75" t="str">
        <f>IFERROR(IF(U$8="","NA",IF(U$8&lt;INDEX(T_EMP[START DATE],ROW($B81)-ROW($B$8)),"NE",IF(AND(INDEX(T_EMP[TERMINATION DATE],ROW($B81)-ROW($B$8))&gt;0,U$8&gt;INDEX(T_EMP[TERMINATION DATE],ROW($B81)-ROW($B$8))),"NE",IF(NOT(ISERROR(MATCH(U$8,L_HOLS,0))),"H",IF(INDEX(L_WKNDVAL,WEEKDAY(U$8,1))=1,"WKND",INDEX(T_LEAVE[LEAVE CODE],SUMPRODUCT(--(T_LEAVE[NAME]=$B81),--(T_LEAVE[DATE]&lt;=U$8),--(T_LEAVE[DATE]&gt;=U$8),ROW(T_LEAVE[LEAVE CODE]))-ROW(T_LEAVE[#Headers]))))))),"")</f>
        <v/>
      </c>
      <c r="V81" s="75" t="str">
        <f>IFERROR(IF(V$8="","NA",IF(V$8&lt;INDEX(T_EMP[START DATE],ROW($B81)-ROW($B$8)),"NE",IF(AND(INDEX(T_EMP[TERMINATION DATE],ROW($B81)-ROW($B$8))&gt;0,V$8&gt;INDEX(T_EMP[TERMINATION DATE],ROW($B81)-ROW($B$8))),"NE",IF(NOT(ISERROR(MATCH(V$8,L_HOLS,0))),"H",IF(INDEX(L_WKNDVAL,WEEKDAY(V$8,1))=1,"WKND",INDEX(T_LEAVE[LEAVE CODE],SUMPRODUCT(--(T_LEAVE[NAME]=$B81),--(T_LEAVE[DATE]&lt;=V$8),--(T_LEAVE[DATE]&gt;=V$8),ROW(T_LEAVE[LEAVE CODE]))-ROW(T_LEAVE[#Headers]))))))),"")</f>
        <v/>
      </c>
      <c r="W81" s="75" t="str">
        <f>IFERROR(IF(W$8="","NA",IF(W$8&lt;INDEX(T_EMP[START DATE],ROW($B81)-ROW($B$8)),"NE",IF(AND(INDEX(T_EMP[TERMINATION DATE],ROW($B81)-ROW($B$8))&gt;0,W$8&gt;INDEX(T_EMP[TERMINATION DATE],ROW($B81)-ROW($B$8))),"NE",IF(NOT(ISERROR(MATCH(W$8,L_HOLS,0))),"H",IF(INDEX(L_WKNDVAL,WEEKDAY(W$8,1))=1,"WKND",INDEX(T_LEAVE[LEAVE CODE],SUMPRODUCT(--(T_LEAVE[NAME]=$B81),--(T_LEAVE[DATE]&lt;=W$8),--(T_LEAVE[DATE]&gt;=W$8),ROW(T_LEAVE[LEAVE CODE]))-ROW(T_LEAVE[#Headers]))))))),"")</f>
        <v/>
      </c>
      <c r="X81" s="75" t="str">
        <f>IFERROR(IF(X$8="","NA",IF(X$8&lt;INDEX(T_EMP[START DATE],ROW($B81)-ROW($B$8)),"NE",IF(AND(INDEX(T_EMP[TERMINATION DATE],ROW($B81)-ROW($B$8))&gt;0,X$8&gt;INDEX(T_EMP[TERMINATION DATE],ROW($B81)-ROW($B$8))),"NE",IF(NOT(ISERROR(MATCH(X$8,L_HOLS,0))),"H",IF(INDEX(L_WKNDVAL,WEEKDAY(X$8,1))=1,"WKND",INDEX(T_LEAVE[LEAVE CODE],SUMPRODUCT(--(T_LEAVE[NAME]=$B81),--(T_LEAVE[DATE]&lt;=X$8),--(T_LEAVE[DATE]&gt;=X$8),ROW(T_LEAVE[LEAVE CODE]))-ROW(T_LEAVE[#Headers]))))))),"")</f>
        <v/>
      </c>
      <c r="Y81" s="75" t="str">
        <f>IFERROR(IF(Y$8="","NA",IF(Y$8&lt;INDEX(T_EMP[START DATE],ROW($B81)-ROW($B$8)),"NE",IF(AND(INDEX(T_EMP[TERMINATION DATE],ROW($B81)-ROW($B$8))&gt;0,Y$8&gt;INDEX(T_EMP[TERMINATION DATE],ROW($B81)-ROW($B$8))),"NE",IF(NOT(ISERROR(MATCH(Y$8,L_HOLS,0))),"H",IF(INDEX(L_WKNDVAL,WEEKDAY(Y$8,1))=1,"WKND",INDEX(T_LEAVE[LEAVE CODE],SUMPRODUCT(--(T_LEAVE[NAME]=$B81),--(T_LEAVE[DATE]&lt;=Y$8),--(T_LEAVE[DATE]&gt;=Y$8),ROW(T_LEAVE[LEAVE CODE]))-ROW(T_LEAVE[#Headers]))))))),"")</f>
        <v/>
      </c>
      <c r="Z81" s="75" t="str">
        <f>IFERROR(IF(Z$8="","NA",IF(Z$8&lt;INDEX(T_EMP[START DATE],ROW($B81)-ROW($B$8)),"NE",IF(AND(INDEX(T_EMP[TERMINATION DATE],ROW($B81)-ROW($B$8))&gt;0,Z$8&gt;INDEX(T_EMP[TERMINATION DATE],ROW($B81)-ROW($B$8))),"NE",IF(NOT(ISERROR(MATCH(Z$8,L_HOLS,0))),"H",IF(INDEX(L_WKNDVAL,WEEKDAY(Z$8,1))=1,"WKND",INDEX(T_LEAVE[LEAVE CODE],SUMPRODUCT(--(T_LEAVE[NAME]=$B81),--(T_LEAVE[DATE]&lt;=Z$8),--(T_LEAVE[DATE]&gt;=Z$8),ROW(T_LEAVE[LEAVE CODE]))-ROW(T_LEAVE[#Headers]))))))),"")</f>
        <v/>
      </c>
      <c r="AA81" s="75" t="str">
        <f>IFERROR(IF(AA$8="","NA",IF(AA$8&lt;INDEX(T_EMP[START DATE],ROW($B81)-ROW($B$8)),"NE",IF(AND(INDEX(T_EMP[TERMINATION DATE],ROW($B81)-ROW($B$8))&gt;0,AA$8&gt;INDEX(T_EMP[TERMINATION DATE],ROW($B81)-ROW($B$8))),"NE",IF(NOT(ISERROR(MATCH(AA$8,L_HOLS,0))),"H",IF(INDEX(L_WKNDVAL,WEEKDAY(AA$8,1))=1,"WKND",INDEX(T_LEAVE[LEAVE CODE],SUMPRODUCT(--(T_LEAVE[NAME]=$B81),--(T_LEAVE[DATE]&lt;=AA$8),--(T_LEAVE[DATE]&gt;=AA$8),ROW(T_LEAVE[LEAVE CODE]))-ROW(T_LEAVE[#Headers]))))))),"")</f>
        <v/>
      </c>
      <c r="AB81" s="75" t="str">
        <f>IFERROR(IF(AB$8="","NA",IF(AB$8&lt;INDEX(T_EMP[START DATE],ROW($B81)-ROW($B$8)),"NE",IF(AND(INDEX(T_EMP[TERMINATION DATE],ROW($B81)-ROW($B$8))&gt;0,AB$8&gt;INDEX(T_EMP[TERMINATION DATE],ROW($B81)-ROW($B$8))),"NE",IF(NOT(ISERROR(MATCH(AB$8,L_HOLS,0))),"H",IF(INDEX(L_WKNDVAL,WEEKDAY(AB$8,1))=1,"WKND",INDEX(T_LEAVE[LEAVE CODE],SUMPRODUCT(--(T_LEAVE[NAME]=$B81),--(T_LEAVE[DATE]&lt;=AB$8),--(T_LEAVE[DATE]&gt;=AB$8),ROW(T_LEAVE[LEAVE CODE]))-ROW(T_LEAVE[#Headers]))))))),"")</f>
        <v/>
      </c>
      <c r="AC81" s="75" t="str">
        <f>IFERROR(IF(AC$8="","NA",IF(AC$8&lt;INDEX(T_EMP[START DATE],ROW($B81)-ROW($B$8)),"NE",IF(AND(INDEX(T_EMP[TERMINATION DATE],ROW($B81)-ROW($B$8))&gt;0,AC$8&gt;INDEX(T_EMP[TERMINATION DATE],ROW($B81)-ROW($B$8))),"NE",IF(NOT(ISERROR(MATCH(AC$8,L_HOLS,0))),"H",IF(INDEX(L_WKNDVAL,WEEKDAY(AC$8,1))=1,"WKND",INDEX(T_LEAVE[LEAVE CODE],SUMPRODUCT(--(T_LEAVE[NAME]=$B81),--(T_LEAVE[DATE]&lt;=AC$8),--(T_LEAVE[DATE]&gt;=AC$8),ROW(T_LEAVE[LEAVE CODE]))-ROW(T_LEAVE[#Headers]))))))),"")</f>
        <v/>
      </c>
      <c r="AD81" s="75" t="str">
        <f>IFERROR(IF(AD$8="","NA",IF(AD$8&lt;INDEX(T_EMP[START DATE],ROW($B81)-ROW($B$8)),"NE",IF(AND(INDEX(T_EMP[TERMINATION DATE],ROW($B81)-ROW($B$8))&gt;0,AD$8&gt;INDEX(T_EMP[TERMINATION DATE],ROW($B81)-ROW($B$8))),"NE",IF(NOT(ISERROR(MATCH(AD$8,L_HOLS,0))),"H",IF(INDEX(L_WKNDVAL,WEEKDAY(AD$8,1))=1,"WKND",INDEX(T_LEAVE[LEAVE CODE],SUMPRODUCT(--(T_LEAVE[NAME]=$B81),--(T_LEAVE[DATE]&lt;=AD$8),--(T_LEAVE[DATE]&gt;=AD$8),ROW(T_LEAVE[LEAVE CODE]))-ROW(T_LEAVE[#Headers]))))))),"")</f>
        <v/>
      </c>
      <c r="AE81" s="75" t="str">
        <f>IFERROR(IF(AE$8="","NA",IF(AE$8&lt;INDEX(T_EMP[START DATE],ROW($B81)-ROW($B$8)),"NE",IF(AND(INDEX(T_EMP[TERMINATION DATE],ROW($B81)-ROW($B$8))&gt;0,AE$8&gt;INDEX(T_EMP[TERMINATION DATE],ROW($B81)-ROW($B$8))),"NE",IF(NOT(ISERROR(MATCH(AE$8,L_HOLS,0))),"H",IF(INDEX(L_WKNDVAL,WEEKDAY(AE$8,1))=1,"WKND",INDEX(T_LEAVE[LEAVE CODE],SUMPRODUCT(--(T_LEAVE[NAME]=$B81),--(T_LEAVE[DATE]&lt;=AE$8),--(T_LEAVE[DATE]&gt;=AE$8),ROW(T_LEAVE[LEAVE CODE]))-ROW(T_LEAVE[#Headers]))))))),"")</f>
        <v/>
      </c>
      <c r="AF81" s="75" t="str">
        <f>IFERROR(IF(AF$8="","NA",IF(AF$8&lt;INDEX(T_EMP[START DATE],ROW($B81)-ROW($B$8)),"NE",IF(AND(INDEX(T_EMP[TERMINATION DATE],ROW($B81)-ROW($B$8))&gt;0,AF$8&gt;INDEX(T_EMP[TERMINATION DATE],ROW($B81)-ROW($B$8))),"NE",IF(NOT(ISERROR(MATCH(AF$8,L_HOLS,0))),"H",IF(INDEX(L_WKNDVAL,WEEKDAY(AF$8,1))=1,"WKND",INDEX(T_LEAVE[LEAVE CODE],SUMPRODUCT(--(T_LEAVE[NAME]=$B81),--(T_LEAVE[DATE]&lt;=AF$8),--(T_LEAVE[DATE]&gt;=AF$8),ROW(T_LEAVE[LEAVE CODE]))-ROW(T_LEAVE[#Headers]))))))),"")</f>
        <v/>
      </c>
      <c r="AG81" s="75" t="str">
        <f>IFERROR(IF(AG$8="","NA",IF(AG$8&lt;INDEX(T_EMP[START DATE],ROW($B81)-ROW($B$8)),"NE",IF(AND(INDEX(T_EMP[TERMINATION DATE],ROW($B81)-ROW($B$8))&gt;0,AG$8&gt;INDEX(T_EMP[TERMINATION DATE],ROW($B81)-ROW($B$8))),"NE",IF(NOT(ISERROR(MATCH(AG$8,L_HOLS,0))),"H",IF(INDEX(L_WKNDVAL,WEEKDAY(AG$8,1))=1,"WKND",INDEX(T_LEAVE[LEAVE CODE],SUMPRODUCT(--(T_LEAVE[NAME]=$B81),--(T_LEAVE[DATE]&lt;=AG$8),--(T_LEAVE[DATE]&gt;=AG$8),ROW(T_LEAVE[LEAVE CODE]))-ROW(T_LEAVE[#Headers]))))))),"")</f>
        <v/>
      </c>
      <c r="AH81" s="75" t="str">
        <f>IFERROR(IF(AH$8="","NA",IF(AH$8&lt;INDEX(T_EMP[START DATE],ROW($B81)-ROW($B$8)),"NE",IF(AND(INDEX(T_EMP[TERMINATION DATE],ROW($B81)-ROW($B$8))&gt;0,AH$8&gt;INDEX(T_EMP[TERMINATION DATE],ROW($B81)-ROW($B$8))),"NE",IF(NOT(ISERROR(MATCH(AH$8,L_HOLS,0))),"H",IF(INDEX(L_WKNDVAL,WEEKDAY(AH$8,1))=1,"WKND",INDEX(T_LEAVE[LEAVE CODE],SUMPRODUCT(--(T_LEAVE[NAME]=$B81),--(T_LEAVE[DATE]&lt;=AH$8),--(T_LEAVE[DATE]&gt;=AH$8),ROW(T_LEAVE[LEAVE CODE]))-ROW(T_LEAVE[#Headers]))))))),"")</f>
        <v/>
      </c>
      <c r="AJ81" s="88">
        <f>IF(OR($B81="",AJ$8=""),"",COUNTIFS($D81:$AH81,AJ$8)*INDEX(T_LEAVETYPE[DAY VALUE],1))</f>
        <v>0</v>
      </c>
      <c r="AK81" s="88">
        <f>IF(OR($B81="",AK$8=""),"",COUNTIFS($D81:$AH81,AK$8)*INDEX(T_LEAVETYPE[DAY VALUE],1))</f>
        <v>0</v>
      </c>
      <c r="AL81" s="88">
        <f>IF(OR($B81="",AL$8=""),"",COUNTIFS($D81:$AH81,AL$8)*INDEX(T_LEAVETYPE[DAY VALUE],1))</f>
        <v>0</v>
      </c>
      <c r="AM81" s="88">
        <f>IF(OR($B81="",AM$8=""),"",COUNTIFS($D81:$AH81,AM$8)*INDEX(T_LEAVETYPE[DAY VALUE],1))</f>
        <v>0</v>
      </c>
      <c r="AN81" s="88">
        <f>IF(OR($B81="",AN$8=""),"",COUNTIFS($D81:$AH81,AN$8)*INDEX(T_LEAVETYPE[DAY VALUE],1))</f>
        <v>0</v>
      </c>
      <c r="AO81" s="88">
        <f>IF(OR($B81="",AO$8=""),"",COUNTIFS($D81:$AH81,AO$8)*INDEX(T_LEAVETYPE[DAY VALUE],6))</f>
        <v>0</v>
      </c>
      <c r="AP81" s="88">
        <f>IF(OR($B81="",AP$8=""),"",COUNTIFS($D81:$AH81,AP$8)*INDEX(T_LEAVETYPE[DAY VALUE],7))</f>
        <v>0</v>
      </c>
      <c r="AQ81" s="88">
        <f>IF(OR($B81="",AQ$8=""),"",COUNTIFS($D81:$AH81,AQ$8)*INDEX(T_LEAVETYPE[DAY VALUE],8))</f>
        <v>0</v>
      </c>
      <c r="AR81" s="89">
        <f t="shared" si="5"/>
        <v>0</v>
      </c>
    </row>
    <row r="82" spans="1:44" x14ac:dyDescent="0.25">
      <c r="A82" s="90">
        <f t="shared" si="4"/>
        <v>74</v>
      </c>
      <c r="B82" s="74" t="str">
        <f>IFERROR(INDEX(T_EMP[NAME],ROW(B82)-ROW($B$8)),"")</f>
        <v>CRUZ JR., FERNANDO</v>
      </c>
      <c r="C82" s="91" t="str">
        <f>IFERROR(INDEX(T_EMP[DEPARTMENT],ROW(B82)-ROW($C$8)),"")</f>
        <v>LND + RTS</v>
      </c>
      <c r="D82" s="75" t="str">
        <f>IFERROR(IF(D$8="","NA",IF(D$8&lt;INDEX(T_EMP[START DATE],ROW($B82)-ROW($B$8)),"NE",IF(AND(INDEX(T_EMP[TERMINATION DATE],ROW($B82)-ROW($B$8))&gt;0,D$8&gt;INDEX(T_EMP[TERMINATION DATE],ROW($B82)-ROW($B$8))),"NE",IF(NOT(ISERROR(MATCH(D$8,L_HOLS,0))),"H",IF(INDEX(L_WKNDVAL,WEEKDAY(D$8,1))=1,"WKND",INDEX(T_LEAVE[LEAVE CODE],SUMPRODUCT(--(T_LEAVE[NAME]=$B82),--(T_LEAVE[DATE]&lt;=D$8),--(T_LEAVE[DATE]&gt;=D$8),ROW(T_LEAVE[LEAVE CODE]))-ROW(T_LEAVE[#Headers]))))))),"")</f>
        <v>H</v>
      </c>
      <c r="E82" s="75" t="str">
        <f>IFERROR(IF(E$8="","NA",IF(E$8&lt;INDEX(T_EMP[START DATE],ROW($B82)-ROW($B$8)),"NE",IF(AND(INDEX(T_EMP[TERMINATION DATE],ROW($B82)-ROW($B$8))&gt;0,E$8&gt;INDEX(T_EMP[TERMINATION DATE],ROW($B82)-ROW($B$8))),"NE",IF(NOT(ISERROR(MATCH(E$8,L_HOLS,0))),"H",IF(INDEX(L_WKNDVAL,WEEKDAY(E$8,1))=1,"WKND",INDEX(T_LEAVE[LEAVE CODE],SUMPRODUCT(--(T_LEAVE[NAME]=$B82),--(T_LEAVE[DATE]&lt;=E$8),--(T_LEAVE[DATE]&gt;=E$8),ROW(T_LEAVE[LEAVE CODE]))-ROW(T_LEAVE[#Headers]))))))),"")</f>
        <v/>
      </c>
      <c r="F82" s="75" t="str">
        <f>IFERROR(IF(F$8="","NA",IF(F$8&lt;INDEX(T_EMP[START DATE],ROW($B82)-ROW($B$8)),"NE",IF(AND(INDEX(T_EMP[TERMINATION DATE],ROW($B82)-ROW($B$8))&gt;0,F$8&gt;INDEX(T_EMP[TERMINATION DATE],ROW($B82)-ROW($B$8))),"NE",IF(NOT(ISERROR(MATCH(F$8,L_HOLS,0))),"H",IF(INDEX(L_WKNDVAL,WEEKDAY(F$8,1))=1,"WKND",INDEX(T_LEAVE[LEAVE CODE],SUMPRODUCT(--(T_LEAVE[NAME]=$B82),--(T_LEAVE[DATE]&lt;=F$8),--(T_LEAVE[DATE]&gt;=F$8),ROW(T_LEAVE[LEAVE CODE]))-ROW(T_LEAVE[#Headers]))))))),"")</f>
        <v/>
      </c>
      <c r="G82" s="75" t="str">
        <f>IFERROR(IF(G$8="","NA",IF(G$8&lt;INDEX(T_EMP[START DATE],ROW($B82)-ROW($B$8)),"NE",IF(AND(INDEX(T_EMP[TERMINATION DATE],ROW($B82)-ROW($B$8))&gt;0,G$8&gt;INDEX(T_EMP[TERMINATION DATE],ROW($B82)-ROW($B$8))),"NE",IF(NOT(ISERROR(MATCH(G$8,L_HOLS,0))),"H",IF(INDEX(L_WKNDVAL,WEEKDAY(G$8,1))=1,"WKND",INDEX(T_LEAVE[LEAVE CODE],SUMPRODUCT(--(T_LEAVE[NAME]=$B82),--(T_LEAVE[DATE]&lt;=G$8),--(T_LEAVE[DATE]&gt;=G$8),ROW(T_LEAVE[LEAVE CODE]))-ROW(T_LEAVE[#Headers]))))))),"")</f>
        <v/>
      </c>
      <c r="H82" s="75" t="str">
        <f>IFERROR(IF(H$8="","NA",IF(H$8&lt;INDEX(T_EMP[START DATE],ROW($B82)-ROW($B$8)),"NE",IF(AND(INDEX(T_EMP[TERMINATION DATE],ROW($B82)-ROW($B$8))&gt;0,H$8&gt;INDEX(T_EMP[TERMINATION DATE],ROW($B82)-ROW($B$8))),"NE",IF(NOT(ISERROR(MATCH(H$8,L_HOLS,0))),"H",IF(INDEX(L_WKNDVAL,WEEKDAY(H$8,1))=1,"WKND",INDEX(T_LEAVE[LEAVE CODE],SUMPRODUCT(--(T_LEAVE[NAME]=$B82),--(T_LEAVE[DATE]&lt;=H$8),--(T_LEAVE[DATE]&gt;=H$8),ROW(T_LEAVE[LEAVE CODE]))-ROW(T_LEAVE[#Headers]))))))),"")</f>
        <v/>
      </c>
      <c r="I82" s="75" t="str">
        <f>IFERROR(IF(I$8="","NA",IF(I$8&lt;INDEX(T_EMP[START DATE],ROW($B82)-ROW($B$8)),"NE",IF(AND(INDEX(T_EMP[TERMINATION DATE],ROW($B82)-ROW($B$8))&gt;0,I$8&gt;INDEX(T_EMP[TERMINATION DATE],ROW($B82)-ROW($B$8))),"NE",IF(NOT(ISERROR(MATCH(I$8,L_HOLS,0))),"H",IF(INDEX(L_WKNDVAL,WEEKDAY(I$8,1))=1,"WKND",INDEX(T_LEAVE[LEAVE CODE],SUMPRODUCT(--(T_LEAVE[NAME]=$B82),--(T_LEAVE[DATE]&lt;=I$8),--(T_LEAVE[DATE]&gt;=I$8),ROW(T_LEAVE[LEAVE CODE]))-ROW(T_LEAVE[#Headers]))))))),"")</f>
        <v/>
      </c>
      <c r="J82" s="75" t="str">
        <f>IFERROR(IF(J$8="","NA",IF(J$8&lt;INDEX(T_EMP[START DATE],ROW($B82)-ROW($B$8)),"NE",IF(AND(INDEX(T_EMP[TERMINATION DATE],ROW($B82)-ROW($B$8))&gt;0,J$8&gt;INDEX(T_EMP[TERMINATION DATE],ROW($B82)-ROW($B$8))),"NE",IF(NOT(ISERROR(MATCH(J$8,L_HOLS,0))),"H",IF(INDEX(L_WKNDVAL,WEEKDAY(J$8,1))=1,"WKND",INDEX(T_LEAVE[LEAVE CODE],SUMPRODUCT(--(T_LEAVE[NAME]=$B82),--(T_LEAVE[DATE]&lt;=J$8),--(T_LEAVE[DATE]&gt;=J$8),ROW(T_LEAVE[LEAVE CODE]))-ROW(T_LEAVE[#Headers]))))))),"")</f>
        <v/>
      </c>
      <c r="K82" s="75" t="str">
        <f>IFERROR(IF(K$8="","NA",IF(K$8&lt;INDEX(T_EMP[START DATE],ROW($B82)-ROW($B$8)),"NE",IF(AND(INDEX(T_EMP[TERMINATION DATE],ROW($B82)-ROW($B$8))&gt;0,K$8&gt;INDEX(T_EMP[TERMINATION DATE],ROW($B82)-ROW($B$8))),"NE",IF(NOT(ISERROR(MATCH(K$8,L_HOLS,0))),"H",IF(INDEX(L_WKNDVAL,WEEKDAY(K$8,1))=1,"WKND",INDEX(T_LEAVE[LEAVE CODE],SUMPRODUCT(--(T_LEAVE[NAME]=$B82),--(T_LEAVE[DATE]&lt;=K$8),--(T_LEAVE[DATE]&gt;=K$8),ROW(T_LEAVE[LEAVE CODE]))-ROW(T_LEAVE[#Headers]))))))),"")</f>
        <v/>
      </c>
      <c r="L82" s="75" t="str">
        <f>IFERROR(IF(L$8="","NA",IF(L$8&lt;INDEX(T_EMP[START DATE],ROW($B82)-ROW($B$8)),"NE",IF(AND(INDEX(T_EMP[TERMINATION DATE],ROW($B82)-ROW($B$8))&gt;0,L$8&gt;INDEX(T_EMP[TERMINATION DATE],ROW($B82)-ROW($B$8))),"NE",IF(NOT(ISERROR(MATCH(L$8,L_HOLS,0))),"H",IF(INDEX(L_WKNDVAL,WEEKDAY(L$8,1))=1,"WKND",INDEX(T_LEAVE[LEAVE CODE],SUMPRODUCT(--(T_LEAVE[NAME]=$B82),--(T_LEAVE[DATE]&lt;=L$8),--(T_LEAVE[DATE]&gt;=L$8),ROW(T_LEAVE[LEAVE CODE]))-ROW(T_LEAVE[#Headers]))))))),"")</f>
        <v/>
      </c>
      <c r="M82" s="75" t="str">
        <f>IFERROR(IF(M$8="","NA",IF(M$8&lt;INDEX(T_EMP[START DATE],ROW($B82)-ROW($B$8)),"NE",IF(AND(INDEX(T_EMP[TERMINATION DATE],ROW($B82)-ROW($B$8))&gt;0,M$8&gt;INDEX(T_EMP[TERMINATION DATE],ROW($B82)-ROW($B$8))),"NE",IF(NOT(ISERROR(MATCH(M$8,L_HOLS,0))),"H",IF(INDEX(L_WKNDVAL,WEEKDAY(M$8,1))=1,"WKND",INDEX(T_LEAVE[LEAVE CODE],SUMPRODUCT(--(T_LEAVE[NAME]=$B82),--(T_LEAVE[DATE]&lt;=M$8),--(T_LEAVE[DATE]&gt;=M$8),ROW(T_LEAVE[LEAVE CODE]))-ROW(T_LEAVE[#Headers]))))))),"")</f>
        <v/>
      </c>
      <c r="N82" s="75" t="str">
        <f>IFERROR(IF(N$8="","NA",IF(N$8&lt;INDEX(T_EMP[START DATE],ROW($B82)-ROW($B$8)),"NE",IF(AND(INDEX(T_EMP[TERMINATION DATE],ROW($B82)-ROW($B$8))&gt;0,N$8&gt;INDEX(T_EMP[TERMINATION DATE],ROW($B82)-ROW($B$8))),"NE",IF(NOT(ISERROR(MATCH(N$8,L_HOLS,0))),"H",IF(INDEX(L_WKNDVAL,WEEKDAY(N$8,1))=1,"WKND",INDEX(T_LEAVE[LEAVE CODE],SUMPRODUCT(--(T_LEAVE[NAME]=$B82),--(T_LEAVE[DATE]&lt;=N$8),--(T_LEAVE[DATE]&gt;=N$8),ROW(T_LEAVE[LEAVE CODE]))-ROW(T_LEAVE[#Headers]))))))),"")</f>
        <v/>
      </c>
      <c r="O82" s="75" t="str">
        <f>IFERROR(IF(O$8="","NA",IF(O$8&lt;INDEX(T_EMP[START DATE],ROW($B82)-ROW($B$8)),"NE",IF(AND(INDEX(T_EMP[TERMINATION DATE],ROW($B82)-ROW($B$8))&gt;0,O$8&gt;INDEX(T_EMP[TERMINATION DATE],ROW($B82)-ROW($B$8))),"NE",IF(NOT(ISERROR(MATCH(O$8,L_HOLS,0))),"H",IF(INDEX(L_WKNDVAL,WEEKDAY(O$8,1))=1,"WKND",INDEX(T_LEAVE[LEAVE CODE],SUMPRODUCT(--(T_LEAVE[NAME]=$B82),--(T_LEAVE[DATE]&lt;=O$8),--(T_LEAVE[DATE]&gt;=O$8),ROW(T_LEAVE[LEAVE CODE]))-ROW(T_LEAVE[#Headers]))))))),"")</f>
        <v/>
      </c>
      <c r="P82" s="75" t="str">
        <f>IFERROR(IF(P$8="","NA",IF(P$8&lt;INDEX(T_EMP[START DATE],ROW($B82)-ROW($B$8)),"NE",IF(AND(INDEX(T_EMP[TERMINATION DATE],ROW($B82)-ROW($B$8))&gt;0,P$8&gt;INDEX(T_EMP[TERMINATION DATE],ROW($B82)-ROW($B$8))),"NE",IF(NOT(ISERROR(MATCH(P$8,L_HOLS,0))),"H",IF(INDEX(L_WKNDVAL,WEEKDAY(P$8,1))=1,"WKND",INDEX(T_LEAVE[LEAVE CODE],SUMPRODUCT(--(T_LEAVE[NAME]=$B82),--(T_LEAVE[DATE]&lt;=P$8),--(T_LEAVE[DATE]&gt;=P$8),ROW(T_LEAVE[LEAVE CODE]))-ROW(T_LEAVE[#Headers]))))))),"")</f>
        <v>H</v>
      </c>
      <c r="Q82" s="75" t="str">
        <f>IFERROR(IF(Q$8="","NA",IF(Q$8&lt;INDEX(T_EMP[START DATE],ROW($B82)-ROW($B$8)),"NE",IF(AND(INDEX(T_EMP[TERMINATION DATE],ROW($B82)-ROW($B$8))&gt;0,Q$8&gt;INDEX(T_EMP[TERMINATION DATE],ROW($B82)-ROW($B$8))),"NE",IF(NOT(ISERROR(MATCH(Q$8,L_HOLS,0))),"H",IF(INDEX(L_WKNDVAL,WEEKDAY(Q$8,1))=1,"WKND",INDEX(T_LEAVE[LEAVE CODE],SUMPRODUCT(--(T_LEAVE[NAME]=$B82),--(T_LEAVE[DATE]&lt;=Q$8),--(T_LEAVE[DATE]&gt;=Q$8),ROW(T_LEAVE[LEAVE CODE]))-ROW(T_LEAVE[#Headers]))))))),"")</f>
        <v/>
      </c>
      <c r="R82" s="75" t="str">
        <f>IFERROR(IF(R$8="","NA",IF(R$8&lt;INDEX(T_EMP[START DATE],ROW($B82)-ROW($B$8)),"NE",IF(AND(INDEX(T_EMP[TERMINATION DATE],ROW($B82)-ROW($B$8))&gt;0,R$8&gt;INDEX(T_EMP[TERMINATION DATE],ROW($B82)-ROW($B$8))),"NE",IF(NOT(ISERROR(MATCH(R$8,L_HOLS,0))),"H",IF(INDEX(L_WKNDVAL,WEEKDAY(R$8,1))=1,"WKND",INDEX(T_LEAVE[LEAVE CODE],SUMPRODUCT(--(T_LEAVE[NAME]=$B82),--(T_LEAVE[DATE]&lt;=R$8),--(T_LEAVE[DATE]&gt;=R$8),ROW(T_LEAVE[LEAVE CODE]))-ROW(T_LEAVE[#Headers]))))))),"")</f>
        <v/>
      </c>
      <c r="S82" s="75" t="str">
        <f>IFERROR(IF(S$8="","NA",IF(S$8&lt;INDEX(T_EMP[START DATE],ROW($B82)-ROW($B$8)),"NE",IF(AND(INDEX(T_EMP[TERMINATION DATE],ROW($B82)-ROW($B$8))&gt;0,S$8&gt;INDEX(T_EMP[TERMINATION DATE],ROW($B82)-ROW($B$8))),"NE",IF(NOT(ISERROR(MATCH(S$8,L_HOLS,0))),"H",IF(INDEX(L_WKNDVAL,WEEKDAY(S$8,1))=1,"WKND",INDEX(T_LEAVE[LEAVE CODE],SUMPRODUCT(--(T_LEAVE[NAME]=$B82),--(T_LEAVE[DATE]&lt;=S$8),--(T_LEAVE[DATE]&gt;=S$8),ROW(T_LEAVE[LEAVE CODE]))-ROW(T_LEAVE[#Headers]))))))),"")</f>
        <v/>
      </c>
      <c r="T82" s="75" t="str">
        <f>IFERROR(IF(T$8="","NA",IF(T$8&lt;INDEX(T_EMP[START DATE],ROW($B82)-ROW($B$8)),"NE",IF(AND(INDEX(T_EMP[TERMINATION DATE],ROW($B82)-ROW($B$8))&gt;0,T$8&gt;INDEX(T_EMP[TERMINATION DATE],ROW($B82)-ROW($B$8))),"NE",IF(NOT(ISERROR(MATCH(T$8,L_HOLS,0))),"H",IF(INDEX(L_WKNDVAL,WEEKDAY(T$8,1))=1,"WKND",INDEX(T_LEAVE[LEAVE CODE],SUMPRODUCT(--(T_LEAVE[NAME]=$B82),--(T_LEAVE[DATE]&lt;=T$8),--(T_LEAVE[DATE]&gt;=T$8),ROW(T_LEAVE[LEAVE CODE]))-ROW(T_LEAVE[#Headers]))))))),"")</f>
        <v/>
      </c>
      <c r="U82" s="75" t="str">
        <f>IFERROR(IF(U$8="","NA",IF(U$8&lt;INDEX(T_EMP[START DATE],ROW($B82)-ROW($B$8)),"NE",IF(AND(INDEX(T_EMP[TERMINATION DATE],ROW($B82)-ROW($B$8))&gt;0,U$8&gt;INDEX(T_EMP[TERMINATION DATE],ROW($B82)-ROW($B$8))),"NE",IF(NOT(ISERROR(MATCH(U$8,L_HOLS,0))),"H",IF(INDEX(L_WKNDVAL,WEEKDAY(U$8,1))=1,"WKND",INDEX(T_LEAVE[LEAVE CODE],SUMPRODUCT(--(T_LEAVE[NAME]=$B82),--(T_LEAVE[DATE]&lt;=U$8),--(T_LEAVE[DATE]&gt;=U$8),ROW(T_LEAVE[LEAVE CODE]))-ROW(T_LEAVE[#Headers]))))))),"")</f>
        <v/>
      </c>
      <c r="V82" s="75" t="str">
        <f>IFERROR(IF(V$8="","NA",IF(V$8&lt;INDEX(T_EMP[START DATE],ROW($B82)-ROW($B$8)),"NE",IF(AND(INDEX(T_EMP[TERMINATION DATE],ROW($B82)-ROW($B$8))&gt;0,V$8&gt;INDEX(T_EMP[TERMINATION DATE],ROW($B82)-ROW($B$8))),"NE",IF(NOT(ISERROR(MATCH(V$8,L_HOLS,0))),"H",IF(INDEX(L_WKNDVAL,WEEKDAY(V$8,1))=1,"WKND",INDEX(T_LEAVE[LEAVE CODE],SUMPRODUCT(--(T_LEAVE[NAME]=$B82),--(T_LEAVE[DATE]&lt;=V$8),--(T_LEAVE[DATE]&gt;=V$8),ROW(T_LEAVE[LEAVE CODE]))-ROW(T_LEAVE[#Headers]))))))),"")</f>
        <v/>
      </c>
      <c r="W82" s="75" t="str">
        <f>IFERROR(IF(W$8="","NA",IF(W$8&lt;INDEX(T_EMP[START DATE],ROW($B82)-ROW($B$8)),"NE",IF(AND(INDEX(T_EMP[TERMINATION DATE],ROW($B82)-ROW($B$8))&gt;0,W$8&gt;INDEX(T_EMP[TERMINATION DATE],ROW($B82)-ROW($B$8))),"NE",IF(NOT(ISERROR(MATCH(W$8,L_HOLS,0))),"H",IF(INDEX(L_WKNDVAL,WEEKDAY(W$8,1))=1,"WKND",INDEX(T_LEAVE[LEAVE CODE],SUMPRODUCT(--(T_LEAVE[NAME]=$B82),--(T_LEAVE[DATE]&lt;=W$8),--(T_LEAVE[DATE]&gt;=W$8),ROW(T_LEAVE[LEAVE CODE]))-ROW(T_LEAVE[#Headers]))))))),"")</f>
        <v/>
      </c>
      <c r="X82" s="75" t="str">
        <f>IFERROR(IF(X$8="","NA",IF(X$8&lt;INDEX(T_EMP[START DATE],ROW($B82)-ROW($B$8)),"NE",IF(AND(INDEX(T_EMP[TERMINATION DATE],ROW($B82)-ROW($B$8))&gt;0,X$8&gt;INDEX(T_EMP[TERMINATION DATE],ROW($B82)-ROW($B$8))),"NE",IF(NOT(ISERROR(MATCH(X$8,L_HOLS,0))),"H",IF(INDEX(L_WKNDVAL,WEEKDAY(X$8,1))=1,"WKND",INDEX(T_LEAVE[LEAVE CODE],SUMPRODUCT(--(T_LEAVE[NAME]=$B82),--(T_LEAVE[DATE]&lt;=X$8),--(T_LEAVE[DATE]&gt;=X$8),ROW(T_LEAVE[LEAVE CODE]))-ROW(T_LEAVE[#Headers]))))))),"")</f>
        <v/>
      </c>
      <c r="Y82" s="75" t="str">
        <f>IFERROR(IF(Y$8="","NA",IF(Y$8&lt;INDEX(T_EMP[START DATE],ROW($B82)-ROW($B$8)),"NE",IF(AND(INDEX(T_EMP[TERMINATION DATE],ROW($B82)-ROW($B$8))&gt;0,Y$8&gt;INDEX(T_EMP[TERMINATION DATE],ROW($B82)-ROW($B$8))),"NE",IF(NOT(ISERROR(MATCH(Y$8,L_HOLS,0))),"H",IF(INDEX(L_WKNDVAL,WEEKDAY(Y$8,1))=1,"WKND",INDEX(T_LEAVE[LEAVE CODE],SUMPRODUCT(--(T_LEAVE[NAME]=$B82),--(T_LEAVE[DATE]&lt;=Y$8),--(T_LEAVE[DATE]&gt;=Y$8),ROW(T_LEAVE[LEAVE CODE]))-ROW(T_LEAVE[#Headers]))))))),"")</f>
        <v/>
      </c>
      <c r="Z82" s="75" t="str">
        <f>IFERROR(IF(Z$8="","NA",IF(Z$8&lt;INDEX(T_EMP[START DATE],ROW($B82)-ROW($B$8)),"NE",IF(AND(INDEX(T_EMP[TERMINATION DATE],ROW($B82)-ROW($B$8))&gt;0,Z$8&gt;INDEX(T_EMP[TERMINATION DATE],ROW($B82)-ROW($B$8))),"NE",IF(NOT(ISERROR(MATCH(Z$8,L_HOLS,0))),"H",IF(INDEX(L_WKNDVAL,WEEKDAY(Z$8,1))=1,"WKND",INDEX(T_LEAVE[LEAVE CODE],SUMPRODUCT(--(T_LEAVE[NAME]=$B82),--(T_LEAVE[DATE]&lt;=Z$8),--(T_LEAVE[DATE]&gt;=Z$8),ROW(T_LEAVE[LEAVE CODE]))-ROW(T_LEAVE[#Headers]))))))),"")</f>
        <v/>
      </c>
      <c r="AA82" s="75" t="str">
        <f>IFERROR(IF(AA$8="","NA",IF(AA$8&lt;INDEX(T_EMP[START DATE],ROW($B82)-ROW($B$8)),"NE",IF(AND(INDEX(T_EMP[TERMINATION DATE],ROW($B82)-ROW($B$8))&gt;0,AA$8&gt;INDEX(T_EMP[TERMINATION DATE],ROW($B82)-ROW($B$8))),"NE",IF(NOT(ISERROR(MATCH(AA$8,L_HOLS,0))),"H",IF(INDEX(L_WKNDVAL,WEEKDAY(AA$8,1))=1,"WKND",INDEX(T_LEAVE[LEAVE CODE],SUMPRODUCT(--(T_LEAVE[NAME]=$B82),--(T_LEAVE[DATE]&lt;=AA$8),--(T_LEAVE[DATE]&gt;=AA$8),ROW(T_LEAVE[LEAVE CODE]))-ROW(T_LEAVE[#Headers]))))))),"")</f>
        <v/>
      </c>
      <c r="AB82" s="75" t="str">
        <f>IFERROR(IF(AB$8="","NA",IF(AB$8&lt;INDEX(T_EMP[START DATE],ROW($B82)-ROW($B$8)),"NE",IF(AND(INDEX(T_EMP[TERMINATION DATE],ROW($B82)-ROW($B$8))&gt;0,AB$8&gt;INDEX(T_EMP[TERMINATION DATE],ROW($B82)-ROW($B$8))),"NE",IF(NOT(ISERROR(MATCH(AB$8,L_HOLS,0))),"H",IF(INDEX(L_WKNDVAL,WEEKDAY(AB$8,1))=1,"WKND",INDEX(T_LEAVE[LEAVE CODE],SUMPRODUCT(--(T_LEAVE[NAME]=$B82),--(T_LEAVE[DATE]&lt;=AB$8),--(T_LEAVE[DATE]&gt;=AB$8),ROW(T_LEAVE[LEAVE CODE]))-ROW(T_LEAVE[#Headers]))))))),"")</f>
        <v/>
      </c>
      <c r="AC82" s="75" t="str">
        <f>IFERROR(IF(AC$8="","NA",IF(AC$8&lt;INDEX(T_EMP[START DATE],ROW($B82)-ROW($B$8)),"NE",IF(AND(INDEX(T_EMP[TERMINATION DATE],ROW($B82)-ROW($B$8))&gt;0,AC$8&gt;INDEX(T_EMP[TERMINATION DATE],ROW($B82)-ROW($B$8))),"NE",IF(NOT(ISERROR(MATCH(AC$8,L_HOLS,0))),"H",IF(INDEX(L_WKNDVAL,WEEKDAY(AC$8,1))=1,"WKND",INDEX(T_LEAVE[LEAVE CODE],SUMPRODUCT(--(T_LEAVE[NAME]=$B82),--(T_LEAVE[DATE]&lt;=AC$8),--(T_LEAVE[DATE]&gt;=AC$8),ROW(T_LEAVE[LEAVE CODE]))-ROW(T_LEAVE[#Headers]))))))),"")</f>
        <v/>
      </c>
      <c r="AD82" s="75" t="str">
        <f>IFERROR(IF(AD$8="","NA",IF(AD$8&lt;INDEX(T_EMP[START DATE],ROW($B82)-ROW($B$8)),"NE",IF(AND(INDEX(T_EMP[TERMINATION DATE],ROW($B82)-ROW($B$8))&gt;0,AD$8&gt;INDEX(T_EMP[TERMINATION DATE],ROW($B82)-ROW($B$8))),"NE",IF(NOT(ISERROR(MATCH(AD$8,L_HOLS,0))),"H",IF(INDEX(L_WKNDVAL,WEEKDAY(AD$8,1))=1,"WKND",INDEX(T_LEAVE[LEAVE CODE],SUMPRODUCT(--(T_LEAVE[NAME]=$B82),--(T_LEAVE[DATE]&lt;=AD$8),--(T_LEAVE[DATE]&gt;=AD$8),ROW(T_LEAVE[LEAVE CODE]))-ROW(T_LEAVE[#Headers]))))))),"")</f>
        <v/>
      </c>
      <c r="AE82" s="75" t="str">
        <f>IFERROR(IF(AE$8="","NA",IF(AE$8&lt;INDEX(T_EMP[START DATE],ROW($B82)-ROW($B$8)),"NE",IF(AND(INDEX(T_EMP[TERMINATION DATE],ROW($B82)-ROW($B$8))&gt;0,AE$8&gt;INDEX(T_EMP[TERMINATION DATE],ROW($B82)-ROW($B$8))),"NE",IF(NOT(ISERROR(MATCH(AE$8,L_HOLS,0))),"H",IF(INDEX(L_WKNDVAL,WEEKDAY(AE$8,1))=1,"WKND",INDEX(T_LEAVE[LEAVE CODE],SUMPRODUCT(--(T_LEAVE[NAME]=$B82),--(T_LEAVE[DATE]&lt;=AE$8),--(T_LEAVE[DATE]&gt;=AE$8),ROW(T_LEAVE[LEAVE CODE]))-ROW(T_LEAVE[#Headers]))))))),"")</f>
        <v/>
      </c>
      <c r="AF82" s="75" t="str">
        <f>IFERROR(IF(AF$8="","NA",IF(AF$8&lt;INDEX(T_EMP[START DATE],ROW($B82)-ROW($B$8)),"NE",IF(AND(INDEX(T_EMP[TERMINATION DATE],ROW($B82)-ROW($B$8))&gt;0,AF$8&gt;INDEX(T_EMP[TERMINATION DATE],ROW($B82)-ROW($B$8))),"NE",IF(NOT(ISERROR(MATCH(AF$8,L_HOLS,0))),"H",IF(INDEX(L_WKNDVAL,WEEKDAY(AF$8,1))=1,"WKND",INDEX(T_LEAVE[LEAVE CODE],SUMPRODUCT(--(T_LEAVE[NAME]=$B82),--(T_LEAVE[DATE]&lt;=AF$8),--(T_LEAVE[DATE]&gt;=AF$8),ROW(T_LEAVE[LEAVE CODE]))-ROW(T_LEAVE[#Headers]))))))),"")</f>
        <v/>
      </c>
      <c r="AG82" s="75" t="str">
        <f>IFERROR(IF(AG$8="","NA",IF(AG$8&lt;INDEX(T_EMP[START DATE],ROW($B82)-ROW($B$8)),"NE",IF(AND(INDEX(T_EMP[TERMINATION DATE],ROW($B82)-ROW($B$8))&gt;0,AG$8&gt;INDEX(T_EMP[TERMINATION DATE],ROW($B82)-ROW($B$8))),"NE",IF(NOT(ISERROR(MATCH(AG$8,L_HOLS,0))),"H",IF(INDEX(L_WKNDVAL,WEEKDAY(AG$8,1))=1,"WKND",INDEX(T_LEAVE[LEAVE CODE],SUMPRODUCT(--(T_LEAVE[NAME]=$B82),--(T_LEAVE[DATE]&lt;=AG$8),--(T_LEAVE[DATE]&gt;=AG$8),ROW(T_LEAVE[LEAVE CODE]))-ROW(T_LEAVE[#Headers]))))))),"")</f>
        <v/>
      </c>
      <c r="AH82" s="75" t="str">
        <f>IFERROR(IF(AH$8="","NA",IF(AH$8&lt;INDEX(T_EMP[START DATE],ROW($B82)-ROW($B$8)),"NE",IF(AND(INDEX(T_EMP[TERMINATION DATE],ROW($B82)-ROW($B$8))&gt;0,AH$8&gt;INDEX(T_EMP[TERMINATION DATE],ROW($B82)-ROW($B$8))),"NE",IF(NOT(ISERROR(MATCH(AH$8,L_HOLS,0))),"H",IF(INDEX(L_WKNDVAL,WEEKDAY(AH$8,1))=1,"WKND",INDEX(T_LEAVE[LEAVE CODE],SUMPRODUCT(--(T_LEAVE[NAME]=$B82),--(T_LEAVE[DATE]&lt;=AH$8),--(T_LEAVE[DATE]&gt;=AH$8),ROW(T_LEAVE[LEAVE CODE]))-ROW(T_LEAVE[#Headers]))))))),"")</f>
        <v/>
      </c>
      <c r="AJ82" s="88">
        <f>IF(OR($B82="",AJ$8=""),"",COUNTIFS($D82:$AH82,AJ$8)*INDEX(T_LEAVETYPE[DAY VALUE],1))</f>
        <v>0</v>
      </c>
      <c r="AK82" s="88">
        <f>IF(OR($B82="",AK$8=""),"",COUNTIFS($D82:$AH82,AK$8)*INDEX(T_LEAVETYPE[DAY VALUE],1))</f>
        <v>0</v>
      </c>
      <c r="AL82" s="88">
        <f>IF(OR($B82="",AL$8=""),"",COUNTIFS($D82:$AH82,AL$8)*INDEX(T_LEAVETYPE[DAY VALUE],1))</f>
        <v>0</v>
      </c>
      <c r="AM82" s="88">
        <f>IF(OR($B82="",AM$8=""),"",COUNTIFS($D82:$AH82,AM$8)*INDEX(T_LEAVETYPE[DAY VALUE],1))</f>
        <v>0</v>
      </c>
      <c r="AN82" s="88">
        <f>IF(OR($B82="",AN$8=""),"",COUNTIFS($D82:$AH82,AN$8)*INDEX(T_LEAVETYPE[DAY VALUE],1))</f>
        <v>0</v>
      </c>
      <c r="AO82" s="88">
        <f>IF(OR($B82="",AO$8=""),"",COUNTIFS($D82:$AH82,AO$8)*INDEX(T_LEAVETYPE[DAY VALUE],6))</f>
        <v>0</v>
      </c>
      <c r="AP82" s="88">
        <f>IF(OR($B82="",AP$8=""),"",COUNTIFS($D82:$AH82,AP$8)*INDEX(T_LEAVETYPE[DAY VALUE],7))</f>
        <v>0</v>
      </c>
      <c r="AQ82" s="88">
        <f>IF(OR($B82="",AQ$8=""),"",COUNTIFS($D82:$AH82,AQ$8)*INDEX(T_LEAVETYPE[DAY VALUE],8))</f>
        <v>0</v>
      </c>
      <c r="AR82" s="89">
        <f t="shared" si="5"/>
        <v>0</v>
      </c>
    </row>
    <row r="83" spans="1:44" x14ac:dyDescent="0.25">
      <c r="A83" s="90">
        <f t="shared" si="4"/>
        <v>75</v>
      </c>
      <c r="B83" s="74" t="str">
        <f>IFERROR(INDEX(T_EMP[NAME],ROW(B83)-ROW($B$8)),"")</f>
        <v>MEDINA, BRIAN</v>
      </c>
      <c r="C83" s="91" t="str">
        <f>IFERROR(INDEX(T_EMP[DEPARTMENT],ROW(B83)-ROW($C$8)),"")</f>
        <v>LND + RTS</v>
      </c>
      <c r="D83" s="75" t="str">
        <f>IFERROR(IF(D$8="","NA",IF(D$8&lt;INDEX(T_EMP[START DATE],ROW($B83)-ROW($B$8)),"NE",IF(AND(INDEX(T_EMP[TERMINATION DATE],ROW($B83)-ROW($B$8))&gt;0,D$8&gt;INDEX(T_EMP[TERMINATION DATE],ROW($B83)-ROW($B$8))),"NE",IF(NOT(ISERROR(MATCH(D$8,L_HOLS,0))),"H",IF(INDEX(L_WKNDVAL,WEEKDAY(D$8,1))=1,"WKND",INDEX(T_LEAVE[LEAVE CODE],SUMPRODUCT(--(T_LEAVE[NAME]=$B83),--(T_LEAVE[DATE]&lt;=D$8),--(T_LEAVE[DATE]&gt;=D$8),ROW(T_LEAVE[LEAVE CODE]))-ROW(T_LEAVE[#Headers]))))))),"")</f>
        <v>H</v>
      </c>
      <c r="E83" s="75" t="str">
        <f>IFERROR(IF(E$8="","NA",IF(E$8&lt;INDEX(T_EMP[START DATE],ROW($B83)-ROW($B$8)),"NE",IF(AND(INDEX(T_EMP[TERMINATION DATE],ROW($B83)-ROW($B$8))&gt;0,E$8&gt;INDEX(T_EMP[TERMINATION DATE],ROW($B83)-ROW($B$8))),"NE",IF(NOT(ISERROR(MATCH(E$8,L_HOLS,0))),"H",IF(INDEX(L_WKNDVAL,WEEKDAY(E$8,1))=1,"WKND",INDEX(T_LEAVE[LEAVE CODE],SUMPRODUCT(--(T_LEAVE[NAME]=$B83),--(T_LEAVE[DATE]&lt;=E$8),--(T_LEAVE[DATE]&gt;=E$8),ROW(T_LEAVE[LEAVE CODE]))-ROW(T_LEAVE[#Headers]))))))),"")</f>
        <v/>
      </c>
      <c r="F83" s="75" t="str">
        <f>IFERROR(IF(F$8="","NA",IF(F$8&lt;INDEX(T_EMP[START DATE],ROW($B83)-ROW($B$8)),"NE",IF(AND(INDEX(T_EMP[TERMINATION DATE],ROW($B83)-ROW($B$8))&gt;0,F$8&gt;INDEX(T_EMP[TERMINATION DATE],ROW($B83)-ROW($B$8))),"NE",IF(NOT(ISERROR(MATCH(F$8,L_HOLS,0))),"H",IF(INDEX(L_WKNDVAL,WEEKDAY(F$8,1))=1,"WKND",INDEX(T_LEAVE[LEAVE CODE],SUMPRODUCT(--(T_LEAVE[NAME]=$B83),--(T_LEAVE[DATE]&lt;=F$8),--(T_LEAVE[DATE]&gt;=F$8),ROW(T_LEAVE[LEAVE CODE]))-ROW(T_LEAVE[#Headers]))))))),"")</f>
        <v/>
      </c>
      <c r="G83" s="75" t="str">
        <f>IFERROR(IF(G$8="","NA",IF(G$8&lt;INDEX(T_EMP[START DATE],ROW($B83)-ROW($B$8)),"NE",IF(AND(INDEX(T_EMP[TERMINATION DATE],ROW($B83)-ROW($B$8))&gt;0,G$8&gt;INDEX(T_EMP[TERMINATION DATE],ROW($B83)-ROW($B$8))),"NE",IF(NOT(ISERROR(MATCH(G$8,L_HOLS,0))),"H",IF(INDEX(L_WKNDVAL,WEEKDAY(G$8,1))=1,"WKND",INDEX(T_LEAVE[LEAVE CODE],SUMPRODUCT(--(T_LEAVE[NAME]=$B83),--(T_LEAVE[DATE]&lt;=G$8),--(T_LEAVE[DATE]&gt;=G$8),ROW(T_LEAVE[LEAVE CODE]))-ROW(T_LEAVE[#Headers]))))))),"")</f>
        <v/>
      </c>
      <c r="H83" s="75" t="str">
        <f>IFERROR(IF(H$8="","NA",IF(H$8&lt;INDEX(T_EMP[START DATE],ROW($B83)-ROW($B$8)),"NE",IF(AND(INDEX(T_EMP[TERMINATION DATE],ROW($B83)-ROW($B$8))&gt;0,H$8&gt;INDEX(T_EMP[TERMINATION DATE],ROW($B83)-ROW($B$8))),"NE",IF(NOT(ISERROR(MATCH(H$8,L_HOLS,0))),"H",IF(INDEX(L_WKNDVAL,WEEKDAY(H$8,1))=1,"WKND",INDEX(T_LEAVE[LEAVE CODE],SUMPRODUCT(--(T_LEAVE[NAME]=$B83),--(T_LEAVE[DATE]&lt;=H$8),--(T_LEAVE[DATE]&gt;=H$8),ROW(T_LEAVE[LEAVE CODE]))-ROW(T_LEAVE[#Headers]))))))),"")</f>
        <v/>
      </c>
      <c r="I83" s="75" t="str">
        <f>IFERROR(IF(I$8="","NA",IF(I$8&lt;INDEX(T_EMP[START DATE],ROW($B83)-ROW($B$8)),"NE",IF(AND(INDEX(T_EMP[TERMINATION DATE],ROW($B83)-ROW($B$8))&gt;0,I$8&gt;INDEX(T_EMP[TERMINATION DATE],ROW($B83)-ROW($B$8))),"NE",IF(NOT(ISERROR(MATCH(I$8,L_HOLS,0))),"H",IF(INDEX(L_WKNDVAL,WEEKDAY(I$8,1))=1,"WKND",INDEX(T_LEAVE[LEAVE CODE],SUMPRODUCT(--(T_LEAVE[NAME]=$B83),--(T_LEAVE[DATE]&lt;=I$8),--(T_LEAVE[DATE]&gt;=I$8),ROW(T_LEAVE[LEAVE CODE]))-ROW(T_LEAVE[#Headers]))))))),"")</f>
        <v/>
      </c>
      <c r="J83" s="75" t="str">
        <f>IFERROR(IF(J$8="","NA",IF(J$8&lt;INDEX(T_EMP[START DATE],ROW($B83)-ROW($B$8)),"NE",IF(AND(INDEX(T_EMP[TERMINATION DATE],ROW($B83)-ROW($B$8))&gt;0,J$8&gt;INDEX(T_EMP[TERMINATION DATE],ROW($B83)-ROW($B$8))),"NE",IF(NOT(ISERROR(MATCH(J$8,L_HOLS,0))),"H",IF(INDEX(L_WKNDVAL,WEEKDAY(J$8,1))=1,"WKND",INDEX(T_LEAVE[LEAVE CODE],SUMPRODUCT(--(T_LEAVE[NAME]=$B83),--(T_LEAVE[DATE]&lt;=J$8),--(T_LEAVE[DATE]&gt;=J$8),ROW(T_LEAVE[LEAVE CODE]))-ROW(T_LEAVE[#Headers]))))))),"")</f>
        <v/>
      </c>
      <c r="K83" s="75" t="str">
        <f>IFERROR(IF(K$8="","NA",IF(K$8&lt;INDEX(T_EMP[START DATE],ROW($B83)-ROW($B$8)),"NE",IF(AND(INDEX(T_EMP[TERMINATION DATE],ROW($B83)-ROW($B$8))&gt;0,K$8&gt;INDEX(T_EMP[TERMINATION DATE],ROW($B83)-ROW($B$8))),"NE",IF(NOT(ISERROR(MATCH(K$8,L_HOLS,0))),"H",IF(INDEX(L_WKNDVAL,WEEKDAY(K$8,1))=1,"WKND",INDEX(T_LEAVE[LEAVE CODE],SUMPRODUCT(--(T_LEAVE[NAME]=$B83),--(T_LEAVE[DATE]&lt;=K$8),--(T_LEAVE[DATE]&gt;=K$8),ROW(T_LEAVE[LEAVE CODE]))-ROW(T_LEAVE[#Headers]))))))),"")</f>
        <v/>
      </c>
      <c r="L83" s="75" t="str">
        <f>IFERROR(IF(L$8="","NA",IF(L$8&lt;INDEX(T_EMP[START DATE],ROW($B83)-ROW($B$8)),"NE",IF(AND(INDEX(T_EMP[TERMINATION DATE],ROW($B83)-ROW($B$8))&gt;0,L$8&gt;INDEX(T_EMP[TERMINATION DATE],ROW($B83)-ROW($B$8))),"NE",IF(NOT(ISERROR(MATCH(L$8,L_HOLS,0))),"H",IF(INDEX(L_WKNDVAL,WEEKDAY(L$8,1))=1,"WKND",INDEX(T_LEAVE[LEAVE CODE],SUMPRODUCT(--(T_LEAVE[NAME]=$B83),--(T_LEAVE[DATE]&lt;=L$8),--(T_LEAVE[DATE]&gt;=L$8),ROW(T_LEAVE[LEAVE CODE]))-ROW(T_LEAVE[#Headers]))))))),"")</f>
        <v/>
      </c>
      <c r="M83" s="75" t="str">
        <f>IFERROR(IF(M$8="","NA",IF(M$8&lt;INDEX(T_EMP[START DATE],ROW($B83)-ROW($B$8)),"NE",IF(AND(INDEX(T_EMP[TERMINATION DATE],ROW($B83)-ROW($B$8))&gt;0,M$8&gt;INDEX(T_EMP[TERMINATION DATE],ROW($B83)-ROW($B$8))),"NE",IF(NOT(ISERROR(MATCH(M$8,L_HOLS,0))),"H",IF(INDEX(L_WKNDVAL,WEEKDAY(M$8,1))=1,"WKND",INDEX(T_LEAVE[LEAVE CODE],SUMPRODUCT(--(T_LEAVE[NAME]=$B83),--(T_LEAVE[DATE]&lt;=M$8),--(T_LEAVE[DATE]&gt;=M$8),ROW(T_LEAVE[LEAVE CODE]))-ROW(T_LEAVE[#Headers]))))))),"")</f>
        <v/>
      </c>
      <c r="N83" s="75" t="str">
        <f>IFERROR(IF(N$8="","NA",IF(N$8&lt;INDEX(T_EMP[START DATE],ROW($B83)-ROW($B$8)),"NE",IF(AND(INDEX(T_EMP[TERMINATION DATE],ROW($B83)-ROW($B$8))&gt;0,N$8&gt;INDEX(T_EMP[TERMINATION DATE],ROW($B83)-ROW($B$8))),"NE",IF(NOT(ISERROR(MATCH(N$8,L_HOLS,0))),"H",IF(INDEX(L_WKNDVAL,WEEKDAY(N$8,1))=1,"WKND",INDEX(T_LEAVE[LEAVE CODE],SUMPRODUCT(--(T_LEAVE[NAME]=$B83),--(T_LEAVE[DATE]&lt;=N$8),--(T_LEAVE[DATE]&gt;=N$8),ROW(T_LEAVE[LEAVE CODE]))-ROW(T_LEAVE[#Headers]))))))),"")</f>
        <v/>
      </c>
      <c r="O83" s="75" t="str">
        <f>IFERROR(IF(O$8="","NA",IF(O$8&lt;INDEX(T_EMP[START DATE],ROW($B83)-ROW($B$8)),"NE",IF(AND(INDEX(T_EMP[TERMINATION DATE],ROW($B83)-ROW($B$8))&gt;0,O$8&gt;INDEX(T_EMP[TERMINATION DATE],ROW($B83)-ROW($B$8))),"NE",IF(NOT(ISERROR(MATCH(O$8,L_HOLS,0))),"H",IF(INDEX(L_WKNDVAL,WEEKDAY(O$8,1))=1,"WKND",INDEX(T_LEAVE[LEAVE CODE],SUMPRODUCT(--(T_LEAVE[NAME]=$B83),--(T_LEAVE[DATE]&lt;=O$8),--(T_LEAVE[DATE]&gt;=O$8),ROW(T_LEAVE[LEAVE CODE]))-ROW(T_LEAVE[#Headers]))))))),"")</f>
        <v/>
      </c>
      <c r="P83" s="75" t="str">
        <f>IFERROR(IF(P$8="","NA",IF(P$8&lt;INDEX(T_EMP[START DATE],ROW($B83)-ROW($B$8)),"NE",IF(AND(INDEX(T_EMP[TERMINATION DATE],ROW($B83)-ROW($B$8))&gt;0,P$8&gt;INDEX(T_EMP[TERMINATION DATE],ROW($B83)-ROW($B$8))),"NE",IF(NOT(ISERROR(MATCH(P$8,L_HOLS,0))),"H",IF(INDEX(L_WKNDVAL,WEEKDAY(P$8,1))=1,"WKND",INDEX(T_LEAVE[LEAVE CODE],SUMPRODUCT(--(T_LEAVE[NAME]=$B83),--(T_LEAVE[DATE]&lt;=P$8),--(T_LEAVE[DATE]&gt;=P$8),ROW(T_LEAVE[LEAVE CODE]))-ROW(T_LEAVE[#Headers]))))))),"")</f>
        <v>H</v>
      </c>
      <c r="Q83" s="75" t="str">
        <f>IFERROR(IF(Q$8="","NA",IF(Q$8&lt;INDEX(T_EMP[START DATE],ROW($B83)-ROW($B$8)),"NE",IF(AND(INDEX(T_EMP[TERMINATION DATE],ROW($B83)-ROW($B$8))&gt;0,Q$8&gt;INDEX(T_EMP[TERMINATION DATE],ROW($B83)-ROW($B$8))),"NE",IF(NOT(ISERROR(MATCH(Q$8,L_HOLS,0))),"H",IF(INDEX(L_WKNDVAL,WEEKDAY(Q$8,1))=1,"WKND",INDEX(T_LEAVE[LEAVE CODE],SUMPRODUCT(--(T_LEAVE[NAME]=$B83),--(T_LEAVE[DATE]&lt;=Q$8),--(T_LEAVE[DATE]&gt;=Q$8),ROW(T_LEAVE[LEAVE CODE]))-ROW(T_LEAVE[#Headers]))))))),"")</f>
        <v/>
      </c>
      <c r="R83" s="75" t="str">
        <f>IFERROR(IF(R$8="","NA",IF(R$8&lt;INDEX(T_EMP[START DATE],ROW($B83)-ROW($B$8)),"NE",IF(AND(INDEX(T_EMP[TERMINATION DATE],ROW($B83)-ROW($B$8))&gt;0,R$8&gt;INDEX(T_EMP[TERMINATION DATE],ROW($B83)-ROW($B$8))),"NE",IF(NOT(ISERROR(MATCH(R$8,L_HOLS,0))),"H",IF(INDEX(L_WKNDVAL,WEEKDAY(R$8,1))=1,"WKND",INDEX(T_LEAVE[LEAVE CODE],SUMPRODUCT(--(T_LEAVE[NAME]=$B83),--(T_LEAVE[DATE]&lt;=R$8),--(T_LEAVE[DATE]&gt;=R$8),ROW(T_LEAVE[LEAVE CODE]))-ROW(T_LEAVE[#Headers]))))))),"")</f>
        <v/>
      </c>
      <c r="S83" s="75" t="str">
        <f>IFERROR(IF(S$8="","NA",IF(S$8&lt;INDEX(T_EMP[START DATE],ROW($B83)-ROW($B$8)),"NE",IF(AND(INDEX(T_EMP[TERMINATION DATE],ROW($B83)-ROW($B$8))&gt;0,S$8&gt;INDEX(T_EMP[TERMINATION DATE],ROW($B83)-ROW($B$8))),"NE",IF(NOT(ISERROR(MATCH(S$8,L_HOLS,0))),"H",IF(INDEX(L_WKNDVAL,WEEKDAY(S$8,1))=1,"WKND",INDEX(T_LEAVE[LEAVE CODE],SUMPRODUCT(--(T_LEAVE[NAME]=$B83),--(T_LEAVE[DATE]&lt;=S$8),--(T_LEAVE[DATE]&gt;=S$8),ROW(T_LEAVE[LEAVE CODE]))-ROW(T_LEAVE[#Headers]))))))),"")</f>
        <v/>
      </c>
      <c r="T83" s="75" t="str">
        <f>IFERROR(IF(T$8="","NA",IF(T$8&lt;INDEX(T_EMP[START DATE],ROW($B83)-ROW($B$8)),"NE",IF(AND(INDEX(T_EMP[TERMINATION DATE],ROW($B83)-ROW($B$8))&gt;0,T$8&gt;INDEX(T_EMP[TERMINATION DATE],ROW($B83)-ROW($B$8))),"NE",IF(NOT(ISERROR(MATCH(T$8,L_HOLS,0))),"H",IF(INDEX(L_WKNDVAL,WEEKDAY(T$8,1))=1,"WKND",INDEX(T_LEAVE[LEAVE CODE],SUMPRODUCT(--(T_LEAVE[NAME]=$B83),--(T_LEAVE[DATE]&lt;=T$8),--(T_LEAVE[DATE]&gt;=T$8),ROW(T_LEAVE[LEAVE CODE]))-ROW(T_LEAVE[#Headers]))))))),"")</f>
        <v/>
      </c>
      <c r="U83" s="75" t="str">
        <f>IFERROR(IF(U$8="","NA",IF(U$8&lt;INDEX(T_EMP[START DATE],ROW($B83)-ROW($B$8)),"NE",IF(AND(INDEX(T_EMP[TERMINATION DATE],ROW($B83)-ROW($B$8))&gt;0,U$8&gt;INDEX(T_EMP[TERMINATION DATE],ROW($B83)-ROW($B$8))),"NE",IF(NOT(ISERROR(MATCH(U$8,L_HOLS,0))),"H",IF(INDEX(L_WKNDVAL,WEEKDAY(U$8,1))=1,"WKND",INDEX(T_LEAVE[LEAVE CODE],SUMPRODUCT(--(T_LEAVE[NAME]=$B83),--(T_LEAVE[DATE]&lt;=U$8),--(T_LEAVE[DATE]&gt;=U$8),ROW(T_LEAVE[LEAVE CODE]))-ROW(T_LEAVE[#Headers]))))))),"")</f>
        <v/>
      </c>
      <c r="V83" s="75" t="str">
        <f>IFERROR(IF(V$8="","NA",IF(V$8&lt;INDEX(T_EMP[START DATE],ROW($B83)-ROW($B$8)),"NE",IF(AND(INDEX(T_EMP[TERMINATION DATE],ROW($B83)-ROW($B$8))&gt;0,V$8&gt;INDEX(T_EMP[TERMINATION DATE],ROW($B83)-ROW($B$8))),"NE",IF(NOT(ISERROR(MATCH(V$8,L_HOLS,0))),"H",IF(INDEX(L_WKNDVAL,WEEKDAY(V$8,1))=1,"WKND",INDEX(T_LEAVE[LEAVE CODE],SUMPRODUCT(--(T_LEAVE[NAME]=$B83),--(T_LEAVE[DATE]&lt;=V$8),--(T_LEAVE[DATE]&gt;=V$8),ROW(T_LEAVE[LEAVE CODE]))-ROW(T_LEAVE[#Headers]))))))),"")</f>
        <v/>
      </c>
      <c r="W83" s="75" t="str">
        <f>IFERROR(IF(W$8="","NA",IF(W$8&lt;INDEX(T_EMP[START DATE],ROW($B83)-ROW($B$8)),"NE",IF(AND(INDEX(T_EMP[TERMINATION DATE],ROW($B83)-ROW($B$8))&gt;0,W$8&gt;INDEX(T_EMP[TERMINATION DATE],ROW($B83)-ROW($B$8))),"NE",IF(NOT(ISERROR(MATCH(W$8,L_HOLS,0))),"H",IF(INDEX(L_WKNDVAL,WEEKDAY(W$8,1))=1,"WKND",INDEX(T_LEAVE[LEAVE CODE],SUMPRODUCT(--(T_LEAVE[NAME]=$B83),--(T_LEAVE[DATE]&lt;=W$8),--(T_LEAVE[DATE]&gt;=W$8),ROW(T_LEAVE[LEAVE CODE]))-ROW(T_LEAVE[#Headers]))))))),"")</f>
        <v/>
      </c>
      <c r="X83" s="75" t="str">
        <f>IFERROR(IF(X$8="","NA",IF(X$8&lt;INDEX(T_EMP[START DATE],ROW($B83)-ROW($B$8)),"NE",IF(AND(INDEX(T_EMP[TERMINATION DATE],ROW($B83)-ROW($B$8))&gt;0,X$8&gt;INDEX(T_EMP[TERMINATION DATE],ROW($B83)-ROW($B$8))),"NE",IF(NOT(ISERROR(MATCH(X$8,L_HOLS,0))),"H",IF(INDEX(L_WKNDVAL,WEEKDAY(X$8,1))=1,"WKND",INDEX(T_LEAVE[LEAVE CODE],SUMPRODUCT(--(T_LEAVE[NAME]=$B83),--(T_LEAVE[DATE]&lt;=X$8),--(T_LEAVE[DATE]&gt;=X$8),ROW(T_LEAVE[LEAVE CODE]))-ROW(T_LEAVE[#Headers]))))))),"")</f>
        <v/>
      </c>
      <c r="Y83" s="75" t="str">
        <f>IFERROR(IF(Y$8="","NA",IF(Y$8&lt;INDEX(T_EMP[START DATE],ROW($B83)-ROW($B$8)),"NE",IF(AND(INDEX(T_EMP[TERMINATION DATE],ROW($B83)-ROW($B$8))&gt;0,Y$8&gt;INDEX(T_EMP[TERMINATION DATE],ROW($B83)-ROW($B$8))),"NE",IF(NOT(ISERROR(MATCH(Y$8,L_HOLS,0))),"H",IF(INDEX(L_WKNDVAL,WEEKDAY(Y$8,1))=1,"WKND",INDEX(T_LEAVE[LEAVE CODE],SUMPRODUCT(--(T_LEAVE[NAME]=$B83),--(T_LEAVE[DATE]&lt;=Y$8),--(T_LEAVE[DATE]&gt;=Y$8),ROW(T_LEAVE[LEAVE CODE]))-ROW(T_LEAVE[#Headers]))))))),"")</f>
        <v/>
      </c>
      <c r="Z83" s="75" t="str">
        <f>IFERROR(IF(Z$8="","NA",IF(Z$8&lt;INDEX(T_EMP[START DATE],ROW($B83)-ROW($B$8)),"NE",IF(AND(INDEX(T_EMP[TERMINATION DATE],ROW($B83)-ROW($B$8))&gt;0,Z$8&gt;INDEX(T_EMP[TERMINATION DATE],ROW($B83)-ROW($B$8))),"NE",IF(NOT(ISERROR(MATCH(Z$8,L_HOLS,0))),"H",IF(INDEX(L_WKNDVAL,WEEKDAY(Z$8,1))=1,"WKND",INDEX(T_LEAVE[LEAVE CODE],SUMPRODUCT(--(T_LEAVE[NAME]=$B83),--(T_LEAVE[DATE]&lt;=Z$8),--(T_LEAVE[DATE]&gt;=Z$8),ROW(T_LEAVE[LEAVE CODE]))-ROW(T_LEAVE[#Headers]))))))),"")</f>
        <v/>
      </c>
      <c r="AA83" s="75" t="str">
        <f>IFERROR(IF(AA$8="","NA",IF(AA$8&lt;INDEX(T_EMP[START DATE],ROW($B83)-ROW($B$8)),"NE",IF(AND(INDEX(T_EMP[TERMINATION DATE],ROW($B83)-ROW($B$8))&gt;0,AA$8&gt;INDEX(T_EMP[TERMINATION DATE],ROW($B83)-ROW($B$8))),"NE",IF(NOT(ISERROR(MATCH(AA$8,L_HOLS,0))),"H",IF(INDEX(L_WKNDVAL,WEEKDAY(AA$8,1))=1,"WKND",INDEX(T_LEAVE[LEAVE CODE],SUMPRODUCT(--(T_LEAVE[NAME]=$B83),--(T_LEAVE[DATE]&lt;=AA$8),--(T_LEAVE[DATE]&gt;=AA$8),ROW(T_LEAVE[LEAVE CODE]))-ROW(T_LEAVE[#Headers]))))))),"")</f>
        <v/>
      </c>
      <c r="AB83" s="75" t="str">
        <f>IFERROR(IF(AB$8="","NA",IF(AB$8&lt;INDEX(T_EMP[START DATE],ROW($B83)-ROW($B$8)),"NE",IF(AND(INDEX(T_EMP[TERMINATION DATE],ROW($B83)-ROW($B$8))&gt;0,AB$8&gt;INDEX(T_EMP[TERMINATION DATE],ROW($B83)-ROW($B$8))),"NE",IF(NOT(ISERROR(MATCH(AB$8,L_HOLS,0))),"H",IF(INDEX(L_WKNDVAL,WEEKDAY(AB$8,1))=1,"WKND",INDEX(T_LEAVE[LEAVE CODE],SUMPRODUCT(--(T_LEAVE[NAME]=$B83),--(T_LEAVE[DATE]&lt;=AB$8),--(T_LEAVE[DATE]&gt;=AB$8),ROW(T_LEAVE[LEAVE CODE]))-ROW(T_LEAVE[#Headers]))))))),"")</f>
        <v/>
      </c>
      <c r="AC83" s="75" t="str">
        <f>IFERROR(IF(AC$8="","NA",IF(AC$8&lt;INDEX(T_EMP[START DATE],ROW($B83)-ROW($B$8)),"NE",IF(AND(INDEX(T_EMP[TERMINATION DATE],ROW($B83)-ROW($B$8))&gt;0,AC$8&gt;INDEX(T_EMP[TERMINATION DATE],ROW($B83)-ROW($B$8))),"NE",IF(NOT(ISERROR(MATCH(AC$8,L_HOLS,0))),"H",IF(INDEX(L_WKNDVAL,WEEKDAY(AC$8,1))=1,"WKND",INDEX(T_LEAVE[LEAVE CODE],SUMPRODUCT(--(T_LEAVE[NAME]=$B83),--(T_LEAVE[DATE]&lt;=AC$8),--(T_LEAVE[DATE]&gt;=AC$8),ROW(T_LEAVE[LEAVE CODE]))-ROW(T_LEAVE[#Headers]))))))),"")</f>
        <v/>
      </c>
      <c r="AD83" s="75" t="str">
        <f>IFERROR(IF(AD$8="","NA",IF(AD$8&lt;INDEX(T_EMP[START DATE],ROW($B83)-ROW($B$8)),"NE",IF(AND(INDEX(T_EMP[TERMINATION DATE],ROW($B83)-ROW($B$8))&gt;0,AD$8&gt;INDEX(T_EMP[TERMINATION DATE],ROW($B83)-ROW($B$8))),"NE",IF(NOT(ISERROR(MATCH(AD$8,L_HOLS,0))),"H",IF(INDEX(L_WKNDVAL,WEEKDAY(AD$8,1))=1,"WKND",INDEX(T_LEAVE[LEAVE CODE],SUMPRODUCT(--(T_LEAVE[NAME]=$B83),--(T_LEAVE[DATE]&lt;=AD$8),--(T_LEAVE[DATE]&gt;=AD$8),ROW(T_LEAVE[LEAVE CODE]))-ROW(T_LEAVE[#Headers]))))))),"")</f>
        <v/>
      </c>
      <c r="AE83" s="75" t="str">
        <f>IFERROR(IF(AE$8="","NA",IF(AE$8&lt;INDEX(T_EMP[START DATE],ROW($B83)-ROW($B$8)),"NE",IF(AND(INDEX(T_EMP[TERMINATION DATE],ROW($B83)-ROW($B$8))&gt;0,AE$8&gt;INDEX(T_EMP[TERMINATION DATE],ROW($B83)-ROW($B$8))),"NE",IF(NOT(ISERROR(MATCH(AE$8,L_HOLS,0))),"H",IF(INDEX(L_WKNDVAL,WEEKDAY(AE$8,1))=1,"WKND",INDEX(T_LEAVE[LEAVE CODE],SUMPRODUCT(--(T_LEAVE[NAME]=$B83),--(T_LEAVE[DATE]&lt;=AE$8),--(T_LEAVE[DATE]&gt;=AE$8),ROW(T_LEAVE[LEAVE CODE]))-ROW(T_LEAVE[#Headers]))))))),"")</f>
        <v/>
      </c>
      <c r="AF83" s="75" t="str">
        <f>IFERROR(IF(AF$8="","NA",IF(AF$8&lt;INDEX(T_EMP[START DATE],ROW($B83)-ROW($B$8)),"NE",IF(AND(INDEX(T_EMP[TERMINATION DATE],ROW($B83)-ROW($B$8))&gt;0,AF$8&gt;INDEX(T_EMP[TERMINATION DATE],ROW($B83)-ROW($B$8))),"NE",IF(NOT(ISERROR(MATCH(AF$8,L_HOLS,0))),"H",IF(INDEX(L_WKNDVAL,WEEKDAY(AF$8,1))=1,"WKND",INDEX(T_LEAVE[LEAVE CODE],SUMPRODUCT(--(T_LEAVE[NAME]=$B83),--(T_LEAVE[DATE]&lt;=AF$8),--(T_LEAVE[DATE]&gt;=AF$8),ROW(T_LEAVE[LEAVE CODE]))-ROW(T_LEAVE[#Headers]))))))),"")</f>
        <v/>
      </c>
      <c r="AG83" s="75" t="str">
        <f>IFERROR(IF(AG$8="","NA",IF(AG$8&lt;INDEX(T_EMP[START DATE],ROW($B83)-ROW($B$8)),"NE",IF(AND(INDEX(T_EMP[TERMINATION DATE],ROW($B83)-ROW($B$8))&gt;0,AG$8&gt;INDEX(T_EMP[TERMINATION DATE],ROW($B83)-ROW($B$8))),"NE",IF(NOT(ISERROR(MATCH(AG$8,L_HOLS,0))),"H",IF(INDEX(L_WKNDVAL,WEEKDAY(AG$8,1))=1,"WKND",INDEX(T_LEAVE[LEAVE CODE],SUMPRODUCT(--(T_LEAVE[NAME]=$B83),--(T_LEAVE[DATE]&lt;=AG$8),--(T_LEAVE[DATE]&gt;=AG$8),ROW(T_LEAVE[LEAVE CODE]))-ROW(T_LEAVE[#Headers]))))))),"")</f>
        <v/>
      </c>
      <c r="AH83" s="75" t="str">
        <f>IFERROR(IF(AH$8="","NA",IF(AH$8&lt;INDEX(T_EMP[START DATE],ROW($B83)-ROW($B$8)),"NE",IF(AND(INDEX(T_EMP[TERMINATION DATE],ROW($B83)-ROW($B$8))&gt;0,AH$8&gt;INDEX(T_EMP[TERMINATION DATE],ROW($B83)-ROW($B$8))),"NE",IF(NOT(ISERROR(MATCH(AH$8,L_HOLS,0))),"H",IF(INDEX(L_WKNDVAL,WEEKDAY(AH$8,1))=1,"WKND",INDEX(T_LEAVE[LEAVE CODE],SUMPRODUCT(--(T_LEAVE[NAME]=$B83),--(T_LEAVE[DATE]&lt;=AH$8),--(T_LEAVE[DATE]&gt;=AH$8),ROW(T_LEAVE[LEAVE CODE]))-ROW(T_LEAVE[#Headers]))))))),"")</f>
        <v/>
      </c>
      <c r="AJ83" s="88">
        <f>IF(OR($B83="",AJ$8=""),"",COUNTIFS($D83:$AH83,AJ$8)*INDEX(T_LEAVETYPE[DAY VALUE],1))</f>
        <v>0</v>
      </c>
      <c r="AK83" s="88">
        <f>IF(OR($B83="",AK$8=""),"",COUNTIFS($D83:$AH83,AK$8)*INDEX(T_LEAVETYPE[DAY VALUE],1))</f>
        <v>0</v>
      </c>
      <c r="AL83" s="88">
        <f>IF(OR($B83="",AL$8=""),"",COUNTIFS($D83:$AH83,AL$8)*INDEX(T_LEAVETYPE[DAY VALUE],1))</f>
        <v>0</v>
      </c>
      <c r="AM83" s="88">
        <f>IF(OR($B83="",AM$8=""),"",COUNTIFS($D83:$AH83,AM$8)*INDEX(T_LEAVETYPE[DAY VALUE],1))</f>
        <v>0</v>
      </c>
      <c r="AN83" s="88">
        <f>IF(OR($B83="",AN$8=""),"",COUNTIFS($D83:$AH83,AN$8)*INDEX(T_LEAVETYPE[DAY VALUE],1))</f>
        <v>0</v>
      </c>
      <c r="AO83" s="88">
        <f>IF(OR($B83="",AO$8=""),"",COUNTIFS($D83:$AH83,AO$8)*INDEX(T_LEAVETYPE[DAY VALUE],6))</f>
        <v>0</v>
      </c>
      <c r="AP83" s="88">
        <f>IF(OR($B83="",AP$8=""),"",COUNTIFS($D83:$AH83,AP$8)*INDEX(T_LEAVETYPE[DAY VALUE],7))</f>
        <v>0</v>
      </c>
      <c r="AQ83" s="88">
        <f>IF(OR($B83="",AQ$8=""),"",COUNTIFS($D83:$AH83,AQ$8)*INDEX(T_LEAVETYPE[DAY VALUE],8))</f>
        <v>0</v>
      </c>
      <c r="AR83" s="89">
        <f t="shared" si="5"/>
        <v>0</v>
      </c>
    </row>
    <row r="84" spans="1:44" x14ac:dyDescent="0.25">
      <c r="A84" s="90">
        <f t="shared" si="4"/>
        <v>76</v>
      </c>
      <c r="B84" s="74" t="str">
        <f>IFERROR(INDEX(T_EMP[NAME],ROW(B84)-ROW($B$8)),"")</f>
        <v>VERA, YANSSENE</v>
      </c>
      <c r="C84" s="91" t="str">
        <f>IFERROR(INDEX(T_EMP[DEPARTMENT],ROW(B84)-ROW($C$8)),"")</f>
        <v>LND + RTS</v>
      </c>
      <c r="D84" s="75" t="str">
        <f>IFERROR(IF(D$8="","NA",IF(D$8&lt;INDEX(T_EMP[START DATE],ROW($B84)-ROW($B$8)),"NE",IF(AND(INDEX(T_EMP[TERMINATION DATE],ROW($B84)-ROW($B$8))&gt;0,D$8&gt;INDEX(T_EMP[TERMINATION DATE],ROW($B84)-ROW($B$8))),"NE",IF(NOT(ISERROR(MATCH(D$8,L_HOLS,0))),"H",IF(INDEX(L_WKNDVAL,WEEKDAY(D$8,1))=1,"WKND",INDEX(T_LEAVE[LEAVE CODE],SUMPRODUCT(--(T_LEAVE[NAME]=$B84),--(T_LEAVE[DATE]&lt;=D$8),--(T_LEAVE[DATE]&gt;=D$8),ROW(T_LEAVE[LEAVE CODE]))-ROW(T_LEAVE[#Headers]))))))),"")</f>
        <v>H</v>
      </c>
      <c r="E84" s="75" t="str">
        <f>IFERROR(IF(E$8="","NA",IF(E$8&lt;INDEX(T_EMP[START DATE],ROW($B84)-ROW($B$8)),"NE",IF(AND(INDEX(T_EMP[TERMINATION DATE],ROW($B84)-ROW($B$8))&gt;0,E$8&gt;INDEX(T_EMP[TERMINATION DATE],ROW($B84)-ROW($B$8))),"NE",IF(NOT(ISERROR(MATCH(E$8,L_HOLS,0))),"H",IF(INDEX(L_WKNDVAL,WEEKDAY(E$8,1))=1,"WKND",INDEX(T_LEAVE[LEAVE CODE],SUMPRODUCT(--(T_LEAVE[NAME]=$B84),--(T_LEAVE[DATE]&lt;=E$8),--(T_LEAVE[DATE]&gt;=E$8),ROW(T_LEAVE[LEAVE CODE]))-ROW(T_LEAVE[#Headers]))))))),"")</f>
        <v/>
      </c>
      <c r="F84" s="75" t="str">
        <f>IFERROR(IF(F$8="","NA",IF(F$8&lt;INDEX(T_EMP[START DATE],ROW($B84)-ROW($B$8)),"NE",IF(AND(INDEX(T_EMP[TERMINATION DATE],ROW($B84)-ROW($B$8))&gt;0,F$8&gt;INDEX(T_EMP[TERMINATION DATE],ROW($B84)-ROW($B$8))),"NE",IF(NOT(ISERROR(MATCH(F$8,L_HOLS,0))),"H",IF(INDEX(L_WKNDVAL,WEEKDAY(F$8,1))=1,"WKND",INDEX(T_LEAVE[LEAVE CODE],SUMPRODUCT(--(T_LEAVE[NAME]=$B84),--(T_LEAVE[DATE]&lt;=F$8),--(T_LEAVE[DATE]&gt;=F$8),ROW(T_LEAVE[LEAVE CODE]))-ROW(T_LEAVE[#Headers]))))))),"")</f>
        <v/>
      </c>
      <c r="G84" s="75" t="str">
        <f>IFERROR(IF(G$8="","NA",IF(G$8&lt;INDEX(T_EMP[START DATE],ROW($B84)-ROW($B$8)),"NE",IF(AND(INDEX(T_EMP[TERMINATION DATE],ROW($B84)-ROW($B$8))&gt;0,G$8&gt;INDEX(T_EMP[TERMINATION DATE],ROW($B84)-ROW($B$8))),"NE",IF(NOT(ISERROR(MATCH(G$8,L_HOLS,0))),"H",IF(INDEX(L_WKNDVAL,WEEKDAY(G$8,1))=1,"WKND",INDEX(T_LEAVE[LEAVE CODE],SUMPRODUCT(--(T_LEAVE[NAME]=$B84),--(T_LEAVE[DATE]&lt;=G$8),--(T_LEAVE[DATE]&gt;=G$8),ROW(T_LEAVE[LEAVE CODE]))-ROW(T_LEAVE[#Headers]))))))),"")</f>
        <v/>
      </c>
      <c r="H84" s="75" t="str">
        <f>IFERROR(IF(H$8="","NA",IF(H$8&lt;INDEX(T_EMP[START DATE],ROW($B84)-ROW($B$8)),"NE",IF(AND(INDEX(T_EMP[TERMINATION DATE],ROW($B84)-ROW($B$8))&gt;0,H$8&gt;INDEX(T_EMP[TERMINATION DATE],ROW($B84)-ROW($B$8))),"NE",IF(NOT(ISERROR(MATCH(H$8,L_HOLS,0))),"H",IF(INDEX(L_WKNDVAL,WEEKDAY(H$8,1))=1,"WKND",INDEX(T_LEAVE[LEAVE CODE],SUMPRODUCT(--(T_LEAVE[NAME]=$B84),--(T_LEAVE[DATE]&lt;=H$8),--(T_LEAVE[DATE]&gt;=H$8),ROW(T_LEAVE[LEAVE CODE]))-ROW(T_LEAVE[#Headers]))))))),"")</f>
        <v/>
      </c>
      <c r="I84" s="75" t="str">
        <f>IFERROR(IF(I$8="","NA",IF(I$8&lt;INDEX(T_EMP[START DATE],ROW($B84)-ROW($B$8)),"NE",IF(AND(INDEX(T_EMP[TERMINATION DATE],ROW($B84)-ROW($B$8))&gt;0,I$8&gt;INDEX(T_EMP[TERMINATION DATE],ROW($B84)-ROW($B$8))),"NE",IF(NOT(ISERROR(MATCH(I$8,L_HOLS,0))),"H",IF(INDEX(L_WKNDVAL,WEEKDAY(I$8,1))=1,"WKND",INDEX(T_LEAVE[LEAVE CODE],SUMPRODUCT(--(T_LEAVE[NAME]=$B84),--(T_LEAVE[DATE]&lt;=I$8),--(T_LEAVE[DATE]&gt;=I$8),ROW(T_LEAVE[LEAVE CODE]))-ROW(T_LEAVE[#Headers]))))))),"")</f>
        <v/>
      </c>
      <c r="J84" s="75" t="str">
        <f>IFERROR(IF(J$8="","NA",IF(J$8&lt;INDEX(T_EMP[START DATE],ROW($B84)-ROW($B$8)),"NE",IF(AND(INDEX(T_EMP[TERMINATION DATE],ROW($B84)-ROW($B$8))&gt;0,J$8&gt;INDEX(T_EMP[TERMINATION DATE],ROW($B84)-ROW($B$8))),"NE",IF(NOT(ISERROR(MATCH(J$8,L_HOLS,0))),"H",IF(INDEX(L_WKNDVAL,WEEKDAY(J$8,1))=1,"WKND",INDEX(T_LEAVE[LEAVE CODE],SUMPRODUCT(--(T_LEAVE[NAME]=$B84),--(T_LEAVE[DATE]&lt;=J$8),--(T_LEAVE[DATE]&gt;=J$8),ROW(T_LEAVE[LEAVE CODE]))-ROW(T_LEAVE[#Headers]))))))),"")</f>
        <v/>
      </c>
      <c r="K84" s="75" t="str">
        <f>IFERROR(IF(K$8="","NA",IF(K$8&lt;INDEX(T_EMP[START DATE],ROW($B84)-ROW($B$8)),"NE",IF(AND(INDEX(T_EMP[TERMINATION DATE],ROW($B84)-ROW($B$8))&gt;0,K$8&gt;INDEX(T_EMP[TERMINATION DATE],ROW($B84)-ROW($B$8))),"NE",IF(NOT(ISERROR(MATCH(K$8,L_HOLS,0))),"H",IF(INDEX(L_WKNDVAL,WEEKDAY(K$8,1))=1,"WKND",INDEX(T_LEAVE[LEAVE CODE],SUMPRODUCT(--(T_LEAVE[NAME]=$B84),--(T_LEAVE[DATE]&lt;=K$8),--(T_LEAVE[DATE]&gt;=K$8),ROW(T_LEAVE[LEAVE CODE]))-ROW(T_LEAVE[#Headers]))))))),"")</f>
        <v/>
      </c>
      <c r="L84" s="75" t="str">
        <f>IFERROR(IF(L$8="","NA",IF(L$8&lt;INDEX(T_EMP[START DATE],ROW($B84)-ROW($B$8)),"NE",IF(AND(INDEX(T_EMP[TERMINATION DATE],ROW($B84)-ROW($B$8))&gt;0,L$8&gt;INDEX(T_EMP[TERMINATION DATE],ROW($B84)-ROW($B$8))),"NE",IF(NOT(ISERROR(MATCH(L$8,L_HOLS,0))),"H",IF(INDEX(L_WKNDVAL,WEEKDAY(L$8,1))=1,"WKND",INDEX(T_LEAVE[LEAVE CODE],SUMPRODUCT(--(T_LEAVE[NAME]=$B84),--(T_LEAVE[DATE]&lt;=L$8),--(T_LEAVE[DATE]&gt;=L$8),ROW(T_LEAVE[LEAVE CODE]))-ROW(T_LEAVE[#Headers]))))))),"")</f>
        <v/>
      </c>
      <c r="M84" s="75" t="str">
        <f>IFERROR(IF(M$8="","NA",IF(M$8&lt;INDEX(T_EMP[START DATE],ROW($B84)-ROW($B$8)),"NE",IF(AND(INDEX(T_EMP[TERMINATION DATE],ROW($B84)-ROW($B$8))&gt;0,M$8&gt;INDEX(T_EMP[TERMINATION DATE],ROW($B84)-ROW($B$8))),"NE",IF(NOT(ISERROR(MATCH(M$8,L_HOLS,0))),"H",IF(INDEX(L_WKNDVAL,WEEKDAY(M$8,1))=1,"WKND",INDEX(T_LEAVE[LEAVE CODE],SUMPRODUCT(--(T_LEAVE[NAME]=$B84),--(T_LEAVE[DATE]&lt;=M$8),--(T_LEAVE[DATE]&gt;=M$8),ROW(T_LEAVE[LEAVE CODE]))-ROW(T_LEAVE[#Headers]))))))),"")</f>
        <v/>
      </c>
      <c r="N84" s="75" t="str">
        <f>IFERROR(IF(N$8="","NA",IF(N$8&lt;INDEX(T_EMP[START DATE],ROW($B84)-ROW($B$8)),"NE",IF(AND(INDEX(T_EMP[TERMINATION DATE],ROW($B84)-ROW($B$8))&gt;0,N$8&gt;INDEX(T_EMP[TERMINATION DATE],ROW($B84)-ROW($B$8))),"NE",IF(NOT(ISERROR(MATCH(N$8,L_HOLS,0))),"H",IF(INDEX(L_WKNDVAL,WEEKDAY(N$8,1))=1,"WKND",INDEX(T_LEAVE[LEAVE CODE],SUMPRODUCT(--(T_LEAVE[NAME]=$B84),--(T_LEAVE[DATE]&lt;=N$8),--(T_LEAVE[DATE]&gt;=N$8),ROW(T_LEAVE[LEAVE CODE]))-ROW(T_LEAVE[#Headers]))))))),"")</f>
        <v/>
      </c>
      <c r="O84" s="75" t="str">
        <f>IFERROR(IF(O$8="","NA",IF(O$8&lt;INDEX(T_EMP[START DATE],ROW($B84)-ROW($B$8)),"NE",IF(AND(INDEX(T_EMP[TERMINATION DATE],ROW($B84)-ROW($B$8))&gt;0,O$8&gt;INDEX(T_EMP[TERMINATION DATE],ROW($B84)-ROW($B$8))),"NE",IF(NOT(ISERROR(MATCH(O$8,L_HOLS,0))),"H",IF(INDEX(L_WKNDVAL,WEEKDAY(O$8,1))=1,"WKND",INDEX(T_LEAVE[LEAVE CODE],SUMPRODUCT(--(T_LEAVE[NAME]=$B84),--(T_LEAVE[DATE]&lt;=O$8),--(T_LEAVE[DATE]&gt;=O$8),ROW(T_LEAVE[LEAVE CODE]))-ROW(T_LEAVE[#Headers]))))))),"")</f>
        <v/>
      </c>
      <c r="P84" s="75" t="str">
        <f>IFERROR(IF(P$8="","NA",IF(P$8&lt;INDEX(T_EMP[START DATE],ROW($B84)-ROW($B$8)),"NE",IF(AND(INDEX(T_EMP[TERMINATION DATE],ROW($B84)-ROW($B$8))&gt;0,P$8&gt;INDEX(T_EMP[TERMINATION DATE],ROW($B84)-ROW($B$8))),"NE",IF(NOT(ISERROR(MATCH(P$8,L_HOLS,0))),"H",IF(INDEX(L_WKNDVAL,WEEKDAY(P$8,1))=1,"WKND",INDEX(T_LEAVE[LEAVE CODE],SUMPRODUCT(--(T_LEAVE[NAME]=$B84),--(T_LEAVE[DATE]&lt;=P$8),--(T_LEAVE[DATE]&gt;=P$8),ROW(T_LEAVE[LEAVE CODE]))-ROW(T_LEAVE[#Headers]))))))),"")</f>
        <v>H</v>
      </c>
      <c r="Q84" s="75" t="str">
        <f>IFERROR(IF(Q$8="","NA",IF(Q$8&lt;INDEX(T_EMP[START DATE],ROW($B84)-ROW($B$8)),"NE",IF(AND(INDEX(T_EMP[TERMINATION DATE],ROW($B84)-ROW($B$8))&gt;0,Q$8&gt;INDEX(T_EMP[TERMINATION DATE],ROW($B84)-ROW($B$8))),"NE",IF(NOT(ISERROR(MATCH(Q$8,L_HOLS,0))),"H",IF(INDEX(L_WKNDVAL,WEEKDAY(Q$8,1))=1,"WKND",INDEX(T_LEAVE[LEAVE CODE],SUMPRODUCT(--(T_LEAVE[NAME]=$B84),--(T_LEAVE[DATE]&lt;=Q$8),--(T_LEAVE[DATE]&gt;=Q$8),ROW(T_LEAVE[LEAVE CODE]))-ROW(T_LEAVE[#Headers]))))))),"")</f>
        <v/>
      </c>
      <c r="R84" s="75" t="str">
        <f>IFERROR(IF(R$8="","NA",IF(R$8&lt;INDEX(T_EMP[START DATE],ROW($B84)-ROW($B$8)),"NE",IF(AND(INDEX(T_EMP[TERMINATION DATE],ROW($B84)-ROW($B$8))&gt;0,R$8&gt;INDEX(T_EMP[TERMINATION DATE],ROW($B84)-ROW($B$8))),"NE",IF(NOT(ISERROR(MATCH(R$8,L_HOLS,0))),"H",IF(INDEX(L_WKNDVAL,WEEKDAY(R$8,1))=1,"WKND",INDEX(T_LEAVE[LEAVE CODE],SUMPRODUCT(--(T_LEAVE[NAME]=$B84),--(T_LEAVE[DATE]&lt;=R$8),--(T_LEAVE[DATE]&gt;=R$8),ROW(T_LEAVE[LEAVE CODE]))-ROW(T_LEAVE[#Headers]))))))),"")</f>
        <v/>
      </c>
      <c r="S84" s="75" t="str">
        <f>IFERROR(IF(S$8="","NA",IF(S$8&lt;INDEX(T_EMP[START DATE],ROW($B84)-ROW($B$8)),"NE",IF(AND(INDEX(T_EMP[TERMINATION DATE],ROW($B84)-ROW($B$8))&gt;0,S$8&gt;INDEX(T_EMP[TERMINATION DATE],ROW($B84)-ROW($B$8))),"NE",IF(NOT(ISERROR(MATCH(S$8,L_HOLS,0))),"H",IF(INDEX(L_WKNDVAL,WEEKDAY(S$8,1))=1,"WKND",INDEX(T_LEAVE[LEAVE CODE],SUMPRODUCT(--(T_LEAVE[NAME]=$B84),--(T_LEAVE[DATE]&lt;=S$8),--(T_LEAVE[DATE]&gt;=S$8),ROW(T_LEAVE[LEAVE CODE]))-ROW(T_LEAVE[#Headers]))))))),"")</f>
        <v/>
      </c>
      <c r="T84" s="75" t="str">
        <f>IFERROR(IF(T$8="","NA",IF(T$8&lt;INDEX(T_EMP[START DATE],ROW($B84)-ROW($B$8)),"NE",IF(AND(INDEX(T_EMP[TERMINATION DATE],ROW($B84)-ROW($B$8))&gt;0,T$8&gt;INDEX(T_EMP[TERMINATION DATE],ROW($B84)-ROW($B$8))),"NE",IF(NOT(ISERROR(MATCH(T$8,L_HOLS,0))),"H",IF(INDEX(L_WKNDVAL,WEEKDAY(T$8,1))=1,"WKND",INDEX(T_LEAVE[LEAVE CODE],SUMPRODUCT(--(T_LEAVE[NAME]=$B84),--(T_LEAVE[DATE]&lt;=T$8),--(T_LEAVE[DATE]&gt;=T$8),ROW(T_LEAVE[LEAVE CODE]))-ROW(T_LEAVE[#Headers]))))))),"")</f>
        <v/>
      </c>
      <c r="U84" s="75" t="str">
        <f>IFERROR(IF(U$8="","NA",IF(U$8&lt;INDEX(T_EMP[START DATE],ROW($B84)-ROW($B$8)),"NE",IF(AND(INDEX(T_EMP[TERMINATION DATE],ROW($B84)-ROW($B$8))&gt;0,U$8&gt;INDEX(T_EMP[TERMINATION DATE],ROW($B84)-ROW($B$8))),"NE",IF(NOT(ISERROR(MATCH(U$8,L_HOLS,0))),"H",IF(INDEX(L_WKNDVAL,WEEKDAY(U$8,1))=1,"WKND",INDEX(T_LEAVE[LEAVE CODE],SUMPRODUCT(--(T_LEAVE[NAME]=$B84),--(T_LEAVE[DATE]&lt;=U$8),--(T_LEAVE[DATE]&gt;=U$8),ROW(T_LEAVE[LEAVE CODE]))-ROW(T_LEAVE[#Headers]))))))),"")</f>
        <v/>
      </c>
      <c r="V84" s="75" t="str">
        <f>IFERROR(IF(V$8="","NA",IF(V$8&lt;INDEX(T_EMP[START DATE],ROW($B84)-ROW($B$8)),"NE",IF(AND(INDEX(T_EMP[TERMINATION DATE],ROW($B84)-ROW($B$8))&gt;0,V$8&gt;INDEX(T_EMP[TERMINATION DATE],ROW($B84)-ROW($B$8))),"NE",IF(NOT(ISERROR(MATCH(V$8,L_HOLS,0))),"H",IF(INDEX(L_WKNDVAL,WEEKDAY(V$8,1))=1,"WKND",INDEX(T_LEAVE[LEAVE CODE],SUMPRODUCT(--(T_LEAVE[NAME]=$B84),--(T_LEAVE[DATE]&lt;=V$8),--(T_LEAVE[DATE]&gt;=V$8),ROW(T_LEAVE[LEAVE CODE]))-ROW(T_LEAVE[#Headers]))))))),"")</f>
        <v/>
      </c>
      <c r="W84" s="75" t="str">
        <f>IFERROR(IF(W$8="","NA",IF(W$8&lt;INDEX(T_EMP[START DATE],ROW($B84)-ROW($B$8)),"NE",IF(AND(INDEX(T_EMP[TERMINATION DATE],ROW($B84)-ROW($B$8))&gt;0,W$8&gt;INDEX(T_EMP[TERMINATION DATE],ROW($B84)-ROW($B$8))),"NE",IF(NOT(ISERROR(MATCH(W$8,L_HOLS,0))),"H",IF(INDEX(L_WKNDVAL,WEEKDAY(W$8,1))=1,"WKND",INDEX(T_LEAVE[LEAVE CODE],SUMPRODUCT(--(T_LEAVE[NAME]=$B84),--(T_LEAVE[DATE]&lt;=W$8),--(T_LEAVE[DATE]&gt;=W$8),ROW(T_LEAVE[LEAVE CODE]))-ROW(T_LEAVE[#Headers]))))))),"")</f>
        <v/>
      </c>
      <c r="X84" s="75" t="str">
        <f>IFERROR(IF(X$8="","NA",IF(X$8&lt;INDEX(T_EMP[START DATE],ROW($B84)-ROW($B$8)),"NE",IF(AND(INDEX(T_EMP[TERMINATION DATE],ROW($B84)-ROW($B$8))&gt;0,X$8&gt;INDEX(T_EMP[TERMINATION DATE],ROW($B84)-ROW($B$8))),"NE",IF(NOT(ISERROR(MATCH(X$8,L_HOLS,0))),"H",IF(INDEX(L_WKNDVAL,WEEKDAY(X$8,1))=1,"WKND",INDEX(T_LEAVE[LEAVE CODE],SUMPRODUCT(--(T_LEAVE[NAME]=$B84),--(T_LEAVE[DATE]&lt;=X$8),--(T_LEAVE[DATE]&gt;=X$8),ROW(T_LEAVE[LEAVE CODE]))-ROW(T_LEAVE[#Headers]))))))),"")</f>
        <v/>
      </c>
      <c r="Y84" s="75" t="str">
        <f>IFERROR(IF(Y$8="","NA",IF(Y$8&lt;INDEX(T_EMP[START DATE],ROW($B84)-ROW($B$8)),"NE",IF(AND(INDEX(T_EMP[TERMINATION DATE],ROW($B84)-ROW($B$8))&gt;0,Y$8&gt;INDEX(T_EMP[TERMINATION DATE],ROW($B84)-ROW($B$8))),"NE",IF(NOT(ISERROR(MATCH(Y$8,L_HOLS,0))),"H",IF(INDEX(L_WKNDVAL,WEEKDAY(Y$8,1))=1,"WKND",INDEX(T_LEAVE[LEAVE CODE],SUMPRODUCT(--(T_LEAVE[NAME]=$B84),--(T_LEAVE[DATE]&lt;=Y$8),--(T_LEAVE[DATE]&gt;=Y$8),ROW(T_LEAVE[LEAVE CODE]))-ROW(T_LEAVE[#Headers]))))))),"")</f>
        <v/>
      </c>
      <c r="Z84" s="75" t="str">
        <f>IFERROR(IF(Z$8="","NA",IF(Z$8&lt;INDEX(T_EMP[START DATE],ROW($B84)-ROW($B$8)),"NE",IF(AND(INDEX(T_EMP[TERMINATION DATE],ROW($B84)-ROW($B$8))&gt;0,Z$8&gt;INDEX(T_EMP[TERMINATION DATE],ROW($B84)-ROW($B$8))),"NE",IF(NOT(ISERROR(MATCH(Z$8,L_HOLS,0))),"H",IF(INDEX(L_WKNDVAL,WEEKDAY(Z$8,1))=1,"WKND",INDEX(T_LEAVE[LEAVE CODE],SUMPRODUCT(--(T_LEAVE[NAME]=$B84),--(T_LEAVE[DATE]&lt;=Z$8),--(T_LEAVE[DATE]&gt;=Z$8),ROW(T_LEAVE[LEAVE CODE]))-ROW(T_LEAVE[#Headers]))))))),"")</f>
        <v/>
      </c>
      <c r="AA84" s="75" t="str">
        <f>IFERROR(IF(AA$8="","NA",IF(AA$8&lt;INDEX(T_EMP[START DATE],ROW($B84)-ROW($B$8)),"NE",IF(AND(INDEX(T_EMP[TERMINATION DATE],ROW($B84)-ROW($B$8))&gt;0,AA$8&gt;INDEX(T_EMP[TERMINATION DATE],ROW($B84)-ROW($B$8))),"NE",IF(NOT(ISERROR(MATCH(AA$8,L_HOLS,0))),"H",IF(INDEX(L_WKNDVAL,WEEKDAY(AA$8,1))=1,"WKND",INDEX(T_LEAVE[LEAVE CODE],SUMPRODUCT(--(T_LEAVE[NAME]=$B84),--(T_LEAVE[DATE]&lt;=AA$8),--(T_LEAVE[DATE]&gt;=AA$8),ROW(T_LEAVE[LEAVE CODE]))-ROW(T_LEAVE[#Headers]))))))),"")</f>
        <v/>
      </c>
      <c r="AB84" s="75" t="str">
        <f>IFERROR(IF(AB$8="","NA",IF(AB$8&lt;INDEX(T_EMP[START DATE],ROW($B84)-ROW($B$8)),"NE",IF(AND(INDEX(T_EMP[TERMINATION DATE],ROW($B84)-ROW($B$8))&gt;0,AB$8&gt;INDEX(T_EMP[TERMINATION DATE],ROW($B84)-ROW($B$8))),"NE",IF(NOT(ISERROR(MATCH(AB$8,L_HOLS,0))),"H",IF(INDEX(L_WKNDVAL,WEEKDAY(AB$8,1))=1,"WKND",INDEX(T_LEAVE[LEAVE CODE],SUMPRODUCT(--(T_LEAVE[NAME]=$B84),--(T_LEAVE[DATE]&lt;=AB$8),--(T_LEAVE[DATE]&gt;=AB$8),ROW(T_LEAVE[LEAVE CODE]))-ROW(T_LEAVE[#Headers]))))))),"")</f>
        <v/>
      </c>
      <c r="AC84" s="75" t="str">
        <f>IFERROR(IF(AC$8="","NA",IF(AC$8&lt;INDEX(T_EMP[START DATE],ROW($B84)-ROW($B$8)),"NE",IF(AND(INDEX(T_EMP[TERMINATION DATE],ROW($B84)-ROW($B$8))&gt;0,AC$8&gt;INDEX(T_EMP[TERMINATION DATE],ROW($B84)-ROW($B$8))),"NE",IF(NOT(ISERROR(MATCH(AC$8,L_HOLS,0))),"H",IF(INDEX(L_WKNDVAL,WEEKDAY(AC$8,1))=1,"WKND",INDEX(T_LEAVE[LEAVE CODE],SUMPRODUCT(--(T_LEAVE[NAME]=$B84),--(T_LEAVE[DATE]&lt;=AC$8),--(T_LEAVE[DATE]&gt;=AC$8),ROW(T_LEAVE[LEAVE CODE]))-ROW(T_LEAVE[#Headers]))))))),"")</f>
        <v/>
      </c>
      <c r="AD84" s="75" t="str">
        <f>IFERROR(IF(AD$8="","NA",IF(AD$8&lt;INDEX(T_EMP[START DATE],ROW($B84)-ROW($B$8)),"NE",IF(AND(INDEX(T_EMP[TERMINATION DATE],ROW($B84)-ROW($B$8))&gt;0,AD$8&gt;INDEX(T_EMP[TERMINATION DATE],ROW($B84)-ROW($B$8))),"NE",IF(NOT(ISERROR(MATCH(AD$8,L_HOLS,0))),"H",IF(INDEX(L_WKNDVAL,WEEKDAY(AD$8,1))=1,"WKND",INDEX(T_LEAVE[LEAVE CODE],SUMPRODUCT(--(T_LEAVE[NAME]=$B84),--(T_LEAVE[DATE]&lt;=AD$8),--(T_LEAVE[DATE]&gt;=AD$8),ROW(T_LEAVE[LEAVE CODE]))-ROW(T_LEAVE[#Headers]))))))),"")</f>
        <v/>
      </c>
      <c r="AE84" s="75" t="str">
        <f>IFERROR(IF(AE$8="","NA",IF(AE$8&lt;INDEX(T_EMP[START DATE],ROW($B84)-ROW($B$8)),"NE",IF(AND(INDEX(T_EMP[TERMINATION DATE],ROW($B84)-ROW($B$8))&gt;0,AE$8&gt;INDEX(T_EMP[TERMINATION DATE],ROW($B84)-ROW($B$8))),"NE",IF(NOT(ISERROR(MATCH(AE$8,L_HOLS,0))),"H",IF(INDEX(L_WKNDVAL,WEEKDAY(AE$8,1))=1,"WKND",INDEX(T_LEAVE[LEAVE CODE],SUMPRODUCT(--(T_LEAVE[NAME]=$B84),--(T_LEAVE[DATE]&lt;=AE$8),--(T_LEAVE[DATE]&gt;=AE$8),ROW(T_LEAVE[LEAVE CODE]))-ROW(T_LEAVE[#Headers]))))))),"")</f>
        <v/>
      </c>
      <c r="AF84" s="75" t="str">
        <f>IFERROR(IF(AF$8="","NA",IF(AF$8&lt;INDEX(T_EMP[START DATE],ROW($B84)-ROW($B$8)),"NE",IF(AND(INDEX(T_EMP[TERMINATION DATE],ROW($B84)-ROW($B$8))&gt;0,AF$8&gt;INDEX(T_EMP[TERMINATION DATE],ROW($B84)-ROW($B$8))),"NE",IF(NOT(ISERROR(MATCH(AF$8,L_HOLS,0))),"H",IF(INDEX(L_WKNDVAL,WEEKDAY(AF$8,1))=1,"WKND",INDEX(T_LEAVE[LEAVE CODE],SUMPRODUCT(--(T_LEAVE[NAME]=$B84),--(T_LEAVE[DATE]&lt;=AF$8),--(T_LEAVE[DATE]&gt;=AF$8),ROW(T_LEAVE[LEAVE CODE]))-ROW(T_LEAVE[#Headers]))))))),"")</f>
        <v/>
      </c>
      <c r="AG84" s="75" t="str">
        <f>IFERROR(IF(AG$8="","NA",IF(AG$8&lt;INDEX(T_EMP[START DATE],ROW($B84)-ROW($B$8)),"NE",IF(AND(INDEX(T_EMP[TERMINATION DATE],ROW($B84)-ROW($B$8))&gt;0,AG$8&gt;INDEX(T_EMP[TERMINATION DATE],ROW($B84)-ROW($B$8))),"NE",IF(NOT(ISERROR(MATCH(AG$8,L_HOLS,0))),"H",IF(INDEX(L_WKNDVAL,WEEKDAY(AG$8,1))=1,"WKND",INDEX(T_LEAVE[LEAVE CODE],SUMPRODUCT(--(T_LEAVE[NAME]=$B84),--(T_LEAVE[DATE]&lt;=AG$8),--(T_LEAVE[DATE]&gt;=AG$8),ROW(T_LEAVE[LEAVE CODE]))-ROW(T_LEAVE[#Headers]))))))),"")</f>
        <v/>
      </c>
      <c r="AH84" s="75" t="str">
        <f>IFERROR(IF(AH$8="","NA",IF(AH$8&lt;INDEX(T_EMP[START DATE],ROW($B84)-ROW($B$8)),"NE",IF(AND(INDEX(T_EMP[TERMINATION DATE],ROW($B84)-ROW($B$8))&gt;0,AH$8&gt;INDEX(T_EMP[TERMINATION DATE],ROW($B84)-ROW($B$8))),"NE",IF(NOT(ISERROR(MATCH(AH$8,L_HOLS,0))),"H",IF(INDEX(L_WKNDVAL,WEEKDAY(AH$8,1))=1,"WKND",INDEX(T_LEAVE[LEAVE CODE],SUMPRODUCT(--(T_LEAVE[NAME]=$B84),--(T_LEAVE[DATE]&lt;=AH$8),--(T_LEAVE[DATE]&gt;=AH$8),ROW(T_LEAVE[LEAVE CODE]))-ROW(T_LEAVE[#Headers]))))))),"")</f>
        <v/>
      </c>
      <c r="AJ84" s="88">
        <f>IF(OR($B84="",AJ$8=""),"",COUNTIFS($D84:$AH84,AJ$8)*INDEX(T_LEAVETYPE[DAY VALUE],1))</f>
        <v>0</v>
      </c>
      <c r="AK84" s="88">
        <f>IF(OR($B84="",AK$8=""),"",COUNTIFS($D84:$AH84,AK$8)*INDEX(T_LEAVETYPE[DAY VALUE],1))</f>
        <v>0</v>
      </c>
      <c r="AL84" s="88">
        <f>IF(OR($B84="",AL$8=""),"",COUNTIFS($D84:$AH84,AL$8)*INDEX(T_LEAVETYPE[DAY VALUE],1))</f>
        <v>0</v>
      </c>
      <c r="AM84" s="88">
        <f>IF(OR($B84="",AM$8=""),"",COUNTIFS($D84:$AH84,AM$8)*INDEX(T_LEAVETYPE[DAY VALUE],1))</f>
        <v>0</v>
      </c>
      <c r="AN84" s="88">
        <f>IF(OR($B84="",AN$8=""),"",COUNTIFS($D84:$AH84,AN$8)*INDEX(T_LEAVETYPE[DAY VALUE],1))</f>
        <v>0</v>
      </c>
      <c r="AO84" s="88">
        <f>IF(OR($B84="",AO$8=""),"",COUNTIFS($D84:$AH84,AO$8)*INDEX(T_LEAVETYPE[DAY VALUE],6))</f>
        <v>0</v>
      </c>
      <c r="AP84" s="88">
        <f>IF(OR($B84="",AP$8=""),"",COUNTIFS($D84:$AH84,AP$8)*INDEX(T_LEAVETYPE[DAY VALUE],7))</f>
        <v>0</v>
      </c>
      <c r="AQ84" s="88">
        <f>IF(OR($B84="",AQ$8=""),"",COUNTIFS($D84:$AH84,AQ$8)*INDEX(T_LEAVETYPE[DAY VALUE],8))</f>
        <v>0</v>
      </c>
      <c r="AR84" s="89">
        <f t="shared" si="5"/>
        <v>0</v>
      </c>
    </row>
    <row r="85" spans="1:44" x14ac:dyDescent="0.25">
      <c r="A85" s="90">
        <f t="shared" si="4"/>
        <v>77</v>
      </c>
      <c r="B85" s="74" t="str">
        <f>IFERROR(INDEX(T_EMP[NAME],ROW(B85)-ROW($B$8)),"")</f>
        <v>GOMEZ, MARY PAULINE</v>
      </c>
      <c r="C85" s="91" t="str">
        <f>IFERROR(INDEX(T_EMP[DEPARTMENT],ROW(B85)-ROW($C$8)),"")</f>
        <v>IB SUPPORT</v>
      </c>
      <c r="D85" s="75" t="str">
        <f>IFERROR(IF(D$8="","NA",IF(D$8&lt;INDEX(T_EMP[START DATE],ROW($B85)-ROW($B$8)),"NE",IF(AND(INDEX(T_EMP[TERMINATION DATE],ROW($B85)-ROW($B$8))&gt;0,D$8&gt;INDEX(T_EMP[TERMINATION DATE],ROW($B85)-ROW($B$8))),"NE",IF(NOT(ISERROR(MATCH(D$8,L_HOLS,0))),"H",IF(INDEX(L_WKNDVAL,WEEKDAY(D$8,1))=1,"WKND",INDEX(T_LEAVE[LEAVE CODE],SUMPRODUCT(--(T_LEAVE[NAME]=$B85),--(T_LEAVE[DATE]&lt;=D$8),--(T_LEAVE[DATE]&gt;=D$8),ROW(T_LEAVE[LEAVE CODE]))-ROW(T_LEAVE[#Headers]))))))),"")</f>
        <v>H</v>
      </c>
      <c r="E85" s="75" t="str">
        <f>IFERROR(IF(E$8="","NA",IF(E$8&lt;INDEX(T_EMP[START DATE],ROW($B85)-ROW($B$8)),"NE",IF(AND(INDEX(T_EMP[TERMINATION DATE],ROW($B85)-ROW($B$8))&gt;0,E$8&gt;INDEX(T_EMP[TERMINATION DATE],ROW($B85)-ROW($B$8))),"NE",IF(NOT(ISERROR(MATCH(E$8,L_HOLS,0))),"H",IF(INDEX(L_WKNDVAL,WEEKDAY(E$8,1))=1,"WKND",INDEX(T_LEAVE[LEAVE CODE],SUMPRODUCT(--(T_LEAVE[NAME]=$B85),--(T_LEAVE[DATE]&lt;=E$8),--(T_LEAVE[DATE]&gt;=E$8),ROW(T_LEAVE[LEAVE CODE]))-ROW(T_LEAVE[#Headers]))))))),"")</f>
        <v/>
      </c>
      <c r="F85" s="75" t="str">
        <f>IFERROR(IF(F$8="","NA",IF(F$8&lt;INDEX(T_EMP[START DATE],ROW($B85)-ROW($B$8)),"NE",IF(AND(INDEX(T_EMP[TERMINATION DATE],ROW($B85)-ROW($B$8))&gt;0,F$8&gt;INDEX(T_EMP[TERMINATION DATE],ROW($B85)-ROW($B$8))),"NE",IF(NOT(ISERROR(MATCH(F$8,L_HOLS,0))),"H",IF(INDEX(L_WKNDVAL,WEEKDAY(F$8,1))=1,"WKND",INDEX(T_LEAVE[LEAVE CODE],SUMPRODUCT(--(T_LEAVE[NAME]=$B85),--(T_LEAVE[DATE]&lt;=F$8),--(T_LEAVE[DATE]&gt;=F$8),ROW(T_LEAVE[LEAVE CODE]))-ROW(T_LEAVE[#Headers]))))))),"")</f>
        <v/>
      </c>
      <c r="G85" s="75" t="str">
        <f>IFERROR(IF(G$8="","NA",IF(G$8&lt;INDEX(T_EMP[START DATE],ROW($B85)-ROW($B$8)),"NE",IF(AND(INDEX(T_EMP[TERMINATION DATE],ROW($B85)-ROW($B$8))&gt;0,G$8&gt;INDEX(T_EMP[TERMINATION DATE],ROW($B85)-ROW($B$8))),"NE",IF(NOT(ISERROR(MATCH(G$8,L_HOLS,0))),"H",IF(INDEX(L_WKNDVAL,WEEKDAY(G$8,1))=1,"WKND",INDEX(T_LEAVE[LEAVE CODE],SUMPRODUCT(--(T_LEAVE[NAME]=$B85),--(T_LEAVE[DATE]&lt;=G$8),--(T_LEAVE[DATE]&gt;=G$8),ROW(T_LEAVE[LEAVE CODE]))-ROW(T_LEAVE[#Headers]))))))),"")</f>
        <v/>
      </c>
      <c r="H85" s="75" t="str">
        <f>IFERROR(IF(H$8="","NA",IF(H$8&lt;INDEX(T_EMP[START DATE],ROW($B85)-ROW($B$8)),"NE",IF(AND(INDEX(T_EMP[TERMINATION DATE],ROW($B85)-ROW($B$8))&gt;0,H$8&gt;INDEX(T_EMP[TERMINATION DATE],ROW($B85)-ROW($B$8))),"NE",IF(NOT(ISERROR(MATCH(H$8,L_HOLS,0))),"H",IF(INDEX(L_WKNDVAL,WEEKDAY(H$8,1))=1,"WKND",INDEX(T_LEAVE[LEAVE CODE],SUMPRODUCT(--(T_LEAVE[NAME]=$B85),--(T_LEAVE[DATE]&lt;=H$8),--(T_LEAVE[DATE]&gt;=H$8),ROW(T_LEAVE[LEAVE CODE]))-ROW(T_LEAVE[#Headers]))))))),"")</f>
        <v/>
      </c>
      <c r="I85" s="75" t="str">
        <f>IFERROR(IF(I$8="","NA",IF(I$8&lt;INDEX(T_EMP[START DATE],ROW($B85)-ROW($B$8)),"NE",IF(AND(INDEX(T_EMP[TERMINATION DATE],ROW($B85)-ROW($B$8))&gt;0,I$8&gt;INDEX(T_EMP[TERMINATION DATE],ROW($B85)-ROW($B$8))),"NE",IF(NOT(ISERROR(MATCH(I$8,L_HOLS,0))),"H",IF(INDEX(L_WKNDVAL,WEEKDAY(I$8,1))=1,"WKND",INDEX(T_LEAVE[LEAVE CODE],SUMPRODUCT(--(T_LEAVE[NAME]=$B85),--(T_LEAVE[DATE]&lt;=I$8),--(T_LEAVE[DATE]&gt;=I$8),ROW(T_LEAVE[LEAVE CODE]))-ROW(T_LEAVE[#Headers]))))))),"")</f>
        <v/>
      </c>
      <c r="J85" s="75" t="str">
        <f>IFERROR(IF(J$8="","NA",IF(J$8&lt;INDEX(T_EMP[START DATE],ROW($B85)-ROW($B$8)),"NE",IF(AND(INDEX(T_EMP[TERMINATION DATE],ROW($B85)-ROW($B$8))&gt;0,J$8&gt;INDEX(T_EMP[TERMINATION DATE],ROW($B85)-ROW($B$8))),"NE",IF(NOT(ISERROR(MATCH(J$8,L_HOLS,0))),"H",IF(INDEX(L_WKNDVAL,WEEKDAY(J$8,1))=1,"WKND",INDEX(T_LEAVE[LEAVE CODE],SUMPRODUCT(--(T_LEAVE[NAME]=$B85),--(T_LEAVE[DATE]&lt;=J$8),--(T_LEAVE[DATE]&gt;=J$8),ROW(T_LEAVE[LEAVE CODE]))-ROW(T_LEAVE[#Headers]))))))),"")</f>
        <v/>
      </c>
      <c r="K85" s="75" t="str">
        <f>IFERROR(IF(K$8="","NA",IF(K$8&lt;INDEX(T_EMP[START DATE],ROW($B85)-ROW($B$8)),"NE",IF(AND(INDEX(T_EMP[TERMINATION DATE],ROW($B85)-ROW($B$8))&gt;0,K$8&gt;INDEX(T_EMP[TERMINATION DATE],ROW($B85)-ROW($B$8))),"NE",IF(NOT(ISERROR(MATCH(K$8,L_HOLS,0))),"H",IF(INDEX(L_WKNDVAL,WEEKDAY(K$8,1))=1,"WKND",INDEX(T_LEAVE[LEAVE CODE],SUMPRODUCT(--(T_LEAVE[NAME]=$B85),--(T_LEAVE[DATE]&lt;=K$8),--(T_LEAVE[DATE]&gt;=K$8),ROW(T_LEAVE[LEAVE CODE]))-ROW(T_LEAVE[#Headers]))))))),"")</f>
        <v/>
      </c>
      <c r="L85" s="75" t="str">
        <f>IFERROR(IF(L$8="","NA",IF(L$8&lt;INDEX(T_EMP[START DATE],ROW($B85)-ROW($B$8)),"NE",IF(AND(INDEX(T_EMP[TERMINATION DATE],ROW($B85)-ROW($B$8))&gt;0,L$8&gt;INDEX(T_EMP[TERMINATION DATE],ROW($B85)-ROW($B$8))),"NE",IF(NOT(ISERROR(MATCH(L$8,L_HOLS,0))),"H",IF(INDEX(L_WKNDVAL,WEEKDAY(L$8,1))=1,"WKND",INDEX(T_LEAVE[LEAVE CODE],SUMPRODUCT(--(T_LEAVE[NAME]=$B85),--(T_LEAVE[DATE]&lt;=L$8),--(T_LEAVE[DATE]&gt;=L$8),ROW(T_LEAVE[LEAVE CODE]))-ROW(T_LEAVE[#Headers]))))))),"")</f>
        <v/>
      </c>
      <c r="M85" s="75" t="str">
        <f>IFERROR(IF(M$8="","NA",IF(M$8&lt;INDEX(T_EMP[START DATE],ROW($B85)-ROW($B$8)),"NE",IF(AND(INDEX(T_EMP[TERMINATION DATE],ROW($B85)-ROW($B$8))&gt;0,M$8&gt;INDEX(T_EMP[TERMINATION DATE],ROW($B85)-ROW($B$8))),"NE",IF(NOT(ISERROR(MATCH(M$8,L_HOLS,0))),"H",IF(INDEX(L_WKNDVAL,WEEKDAY(M$8,1))=1,"WKND",INDEX(T_LEAVE[LEAVE CODE],SUMPRODUCT(--(T_LEAVE[NAME]=$B85),--(T_LEAVE[DATE]&lt;=M$8),--(T_LEAVE[DATE]&gt;=M$8),ROW(T_LEAVE[LEAVE CODE]))-ROW(T_LEAVE[#Headers]))))))),"")</f>
        <v/>
      </c>
      <c r="N85" s="75" t="str">
        <f>IFERROR(IF(N$8="","NA",IF(N$8&lt;INDEX(T_EMP[START DATE],ROW($B85)-ROW($B$8)),"NE",IF(AND(INDEX(T_EMP[TERMINATION DATE],ROW($B85)-ROW($B$8))&gt;0,N$8&gt;INDEX(T_EMP[TERMINATION DATE],ROW($B85)-ROW($B$8))),"NE",IF(NOT(ISERROR(MATCH(N$8,L_HOLS,0))),"H",IF(INDEX(L_WKNDVAL,WEEKDAY(N$8,1))=1,"WKND",INDEX(T_LEAVE[LEAVE CODE],SUMPRODUCT(--(T_LEAVE[NAME]=$B85),--(T_LEAVE[DATE]&lt;=N$8),--(T_LEAVE[DATE]&gt;=N$8),ROW(T_LEAVE[LEAVE CODE]))-ROW(T_LEAVE[#Headers]))))))),"")</f>
        <v/>
      </c>
      <c r="O85" s="75" t="str">
        <f>IFERROR(IF(O$8="","NA",IF(O$8&lt;INDEX(T_EMP[START DATE],ROW($B85)-ROW($B$8)),"NE",IF(AND(INDEX(T_EMP[TERMINATION DATE],ROW($B85)-ROW($B$8))&gt;0,O$8&gt;INDEX(T_EMP[TERMINATION DATE],ROW($B85)-ROW($B$8))),"NE",IF(NOT(ISERROR(MATCH(O$8,L_HOLS,0))),"H",IF(INDEX(L_WKNDVAL,WEEKDAY(O$8,1))=1,"WKND",INDEX(T_LEAVE[LEAVE CODE],SUMPRODUCT(--(T_LEAVE[NAME]=$B85),--(T_LEAVE[DATE]&lt;=O$8),--(T_LEAVE[DATE]&gt;=O$8),ROW(T_LEAVE[LEAVE CODE]))-ROW(T_LEAVE[#Headers]))))))),"")</f>
        <v/>
      </c>
      <c r="P85" s="75" t="str">
        <f>IFERROR(IF(P$8="","NA",IF(P$8&lt;INDEX(T_EMP[START DATE],ROW($B85)-ROW($B$8)),"NE",IF(AND(INDEX(T_EMP[TERMINATION DATE],ROW($B85)-ROW($B$8))&gt;0,P$8&gt;INDEX(T_EMP[TERMINATION DATE],ROW($B85)-ROW($B$8))),"NE",IF(NOT(ISERROR(MATCH(P$8,L_HOLS,0))),"H",IF(INDEX(L_WKNDVAL,WEEKDAY(P$8,1))=1,"WKND",INDEX(T_LEAVE[LEAVE CODE],SUMPRODUCT(--(T_LEAVE[NAME]=$B85),--(T_LEAVE[DATE]&lt;=P$8),--(T_LEAVE[DATE]&gt;=P$8),ROW(T_LEAVE[LEAVE CODE]))-ROW(T_LEAVE[#Headers]))))))),"")</f>
        <v>H</v>
      </c>
      <c r="Q85" s="75" t="str">
        <f>IFERROR(IF(Q$8="","NA",IF(Q$8&lt;INDEX(T_EMP[START DATE],ROW($B85)-ROW($B$8)),"NE",IF(AND(INDEX(T_EMP[TERMINATION DATE],ROW($B85)-ROW($B$8))&gt;0,Q$8&gt;INDEX(T_EMP[TERMINATION DATE],ROW($B85)-ROW($B$8))),"NE",IF(NOT(ISERROR(MATCH(Q$8,L_HOLS,0))),"H",IF(INDEX(L_WKNDVAL,WEEKDAY(Q$8,1))=1,"WKND",INDEX(T_LEAVE[LEAVE CODE],SUMPRODUCT(--(T_LEAVE[NAME]=$B85),--(T_LEAVE[DATE]&lt;=Q$8),--(T_LEAVE[DATE]&gt;=Q$8),ROW(T_LEAVE[LEAVE CODE]))-ROW(T_LEAVE[#Headers]))))))),"")</f>
        <v/>
      </c>
      <c r="R85" s="75" t="str">
        <f>IFERROR(IF(R$8="","NA",IF(R$8&lt;INDEX(T_EMP[START DATE],ROW($B85)-ROW($B$8)),"NE",IF(AND(INDEX(T_EMP[TERMINATION DATE],ROW($B85)-ROW($B$8))&gt;0,R$8&gt;INDEX(T_EMP[TERMINATION DATE],ROW($B85)-ROW($B$8))),"NE",IF(NOT(ISERROR(MATCH(R$8,L_HOLS,0))),"H",IF(INDEX(L_WKNDVAL,WEEKDAY(R$8,1))=1,"WKND",INDEX(T_LEAVE[LEAVE CODE],SUMPRODUCT(--(T_LEAVE[NAME]=$B85),--(T_LEAVE[DATE]&lt;=R$8),--(T_LEAVE[DATE]&gt;=R$8),ROW(T_LEAVE[LEAVE CODE]))-ROW(T_LEAVE[#Headers]))))))),"")</f>
        <v/>
      </c>
      <c r="S85" s="75" t="str">
        <f>IFERROR(IF(S$8="","NA",IF(S$8&lt;INDEX(T_EMP[START DATE],ROW($B85)-ROW($B$8)),"NE",IF(AND(INDEX(T_EMP[TERMINATION DATE],ROW($B85)-ROW($B$8))&gt;0,S$8&gt;INDEX(T_EMP[TERMINATION DATE],ROW($B85)-ROW($B$8))),"NE",IF(NOT(ISERROR(MATCH(S$8,L_HOLS,0))),"H",IF(INDEX(L_WKNDVAL,WEEKDAY(S$8,1))=1,"WKND",INDEX(T_LEAVE[LEAVE CODE],SUMPRODUCT(--(T_LEAVE[NAME]=$B85),--(T_LEAVE[DATE]&lt;=S$8),--(T_LEAVE[DATE]&gt;=S$8),ROW(T_LEAVE[LEAVE CODE]))-ROW(T_LEAVE[#Headers]))))))),"")</f>
        <v/>
      </c>
      <c r="T85" s="75" t="str">
        <f>IFERROR(IF(T$8="","NA",IF(T$8&lt;INDEX(T_EMP[START DATE],ROW($B85)-ROW($B$8)),"NE",IF(AND(INDEX(T_EMP[TERMINATION DATE],ROW($B85)-ROW($B$8))&gt;0,T$8&gt;INDEX(T_EMP[TERMINATION DATE],ROW($B85)-ROW($B$8))),"NE",IF(NOT(ISERROR(MATCH(T$8,L_HOLS,0))),"H",IF(INDEX(L_WKNDVAL,WEEKDAY(T$8,1))=1,"WKND",INDEX(T_LEAVE[LEAVE CODE],SUMPRODUCT(--(T_LEAVE[NAME]=$B85),--(T_LEAVE[DATE]&lt;=T$8),--(T_LEAVE[DATE]&gt;=T$8),ROW(T_LEAVE[LEAVE CODE]))-ROW(T_LEAVE[#Headers]))))))),"")</f>
        <v/>
      </c>
      <c r="U85" s="75" t="str">
        <f>IFERROR(IF(U$8="","NA",IF(U$8&lt;INDEX(T_EMP[START DATE],ROW($B85)-ROW($B$8)),"NE",IF(AND(INDEX(T_EMP[TERMINATION DATE],ROW($B85)-ROW($B$8))&gt;0,U$8&gt;INDEX(T_EMP[TERMINATION DATE],ROW($B85)-ROW($B$8))),"NE",IF(NOT(ISERROR(MATCH(U$8,L_HOLS,0))),"H",IF(INDEX(L_WKNDVAL,WEEKDAY(U$8,1))=1,"WKND",INDEX(T_LEAVE[LEAVE CODE],SUMPRODUCT(--(T_LEAVE[NAME]=$B85),--(T_LEAVE[DATE]&lt;=U$8),--(T_LEAVE[DATE]&gt;=U$8),ROW(T_LEAVE[LEAVE CODE]))-ROW(T_LEAVE[#Headers]))))))),"")</f>
        <v/>
      </c>
      <c r="V85" s="75" t="str">
        <f>IFERROR(IF(V$8="","NA",IF(V$8&lt;INDEX(T_EMP[START DATE],ROW($B85)-ROW($B$8)),"NE",IF(AND(INDEX(T_EMP[TERMINATION DATE],ROW($B85)-ROW($B$8))&gt;0,V$8&gt;INDEX(T_EMP[TERMINATION DATE],ROW($B85)-ROW($B$8))),"NE",IF(NOT(ISERROR(MATCH(V$8,L_HOLS,0))),"H",IF(INDEX(L_WKNDVAL,WEEKDAY(V$8,1))=1,"WKND",INDEX(T_LEAVE[LEAVE CODE],SUMPRODUCT(--(T_LEAVE[NAME]=$B85),--(T_LEAVE[DATE]&lt;=V$8),--(T_LEAVE[DATE]&gt;=V$8),ROW(T_LEAVE[LEAVE CODE]))-ROW(T_LEAVE[#Headers]))))))),"")</f>
        <v/>
      </c>
      <c r="W85" s="75" t="str">
        <f>IFERROR(IF(W$8="","NA",IF(W$8&lt;INDEX(T_EMP[START DATE],ROW($B85)-ROW($B$8)),"NE",IF(AND(INDEX(T_EMP[TERMINATION DATE],ROW($B85)-ROW($B$8))&gt;0,W$8&gt;INDEX(T_EMP[TERMINATION DATE],ROW($B85)-ROW($B$8))),"NE",IF(NOT(ISERROR(MATCH(W$8,L_HOLS,0))),"H",IF(INDEX(L_WKNDVAL,WEEKDAY(W$8,1))=1,"WKND",INDEX(T_LEAVE[LEAVE CODE],SUMPRODUCT(--(T_LEAVE[NAME]=$B85),--(T_LEAVE[DATE]&lt;=W$8),--(T_LEAVE[DATE]&gt;=W$8),ROW(T_LEAVE[LEAVE CODE]))-ROW(T_LEAVE[#Headers]))))))),"")</f>
        <v/>
      </c>
      <c r="X85" s="75" t="str">
        <f>IFERROR(IF(X$8="","NA",IF(X$8&lt;INDEX(T_EMP[START DATE],ROW($B85)-ROW($B$8)),"NE",IF(AND(INDEX(T_EMP[TERMINATION DATE],ROW($B85)-ROW($B$8))&gt;0,X$8&gt;INDEX(T_EMP[TERMINATION DATE],ROW($B85)-ROW($B$8))),"NE",IF(NOT(ISERROR(MATCH(X$8,L_HOLS,0))),"H",IF(INDEX(L_WKNDVAL,WEEKDAY(X$8,1))=1,"WKND",INDEX(T_LEAVE[LEAVE CODE],SUMPRODUCT(--(T_LEAVE[NAME]=$B85),--(T_LEAVE[DATE]&lt;=X$8),--(T_LEAVE[DATE]&gt;=X$8),ROW(T_LEAVE[LEAVE CODE]))-ROW(T_LEAVE[#Headers]))))))),"")</f>
        <v/>
      </c>
      <c r="Y85" s="75" t="str">
        <f>IFERROR(IF(Y$8="","NA",IF(Y$8&lt;INDEX(T_EMP[START DATE],ROW($B85)-ROW($B$8)),"NE",IF(AND(INDEX(T_EMP[TERMINATION DATE],ROW($B85)-ROW($B$8))&gt;0,Y$8&gt;INDEX(T_EMP[TERMINATION DATE],ROW($B85)-ROW($B$8))),"NE",IF(NOT(ISERROR(MATCH(Y$8,L_HOLS,0))),"H",IF(INDEX(L_WKNDVAL,WEEKDAY(Y$8,1))=1,"WKND",INDEX(T_LEAVE[LEAVE CODE],SUMPRODUCT(--(T_LEAVE[NAME]=$B85),--(T_LEAVE[DATE]&lt;=Y$8),--(T_LEAVE[DATE]&gt;=Y$8),ROW(T_LEAVE[LEAVE CODE]))-ROW(T_LEAVE[#Headers]))))))),"")</f>
        <v/>
      </c>
      <c r="Z85" s="75" t="str">
        <f>IFERROR(IF(Z$8="","NA",IF(Z$8&lt;INDEX(T_EMP[START DATE],ROW($B85)-ROW($B$8)),"NE",IF(AND(INDEX(T_EMP[TERMINATION DATE],ROW($B85)-ROW($B$8))&gt;0,Z$8&gt;INDEX(T_EMP[TERMINATION DATE],ROW($B85)-ROW($B$8))),"NE",IF(NOT(ISERROR(MATCH(Z$8,L_HOLS,0))),"H",IF(INDEX(L_WKNDVAL,WEEKDAY(Z$8,1))=1,"WKND",INDEX(T_LEAVE[LEAVE CODE],SUMPRODUCT(--(T_LEAVE[NAME]=$B85),--(T_LEAVE[DATE]&lt;=Z$8),--(T_LEAVE[DATE]&gt;=Z$8),ROW(T_LEAVE[LEAVE CODE]))-ROW(T_LEAVE[#Headers]))))))),"")</f>
        <v/>
      </c>
      <c r="AA85" s="75" t="str">
        <f>IFERROR(IF(AA$8="","NA",IF(AA$8&lt;INDEX(T_EMP[START DATE],ROW($B85)-ROW($B$8)),"NE",IF(AND(INDEX(T_EMP[TERMINATION DATE],ROW($B85)-ROW($B$8))&gt;0,AA$8&gt;INDEX(T_EMP[TERMINATION DATE],ROW($B85)-ROW($B$8))),"NE",IF(NOT(ISERROR(MATCH(AA$8,L_HOLS,0))),"H",IF(INDEX(L_WKNDVAL,WEEKDAY(AA$8,1))=1,"WKND",INDEX(T_LEAVE[LEAVE CODE],SUMPRODUCT(--(T_LEAVE[NAME]=$B85),--(T_LEAVE[DATE]&lt;=AA$8),--(T_LEAVE[DATE]&gt;=AA$8),ROW(T_LEAVE[LEAVE CODE]))-ROW(T_LEAVE[#Headers]))))))),"")</f>
        <v/>
      </c>
      <c r="AB85" s="75" t="str">
        <f>IFERROR(IF(AB$8="","NA",IF(AB$8&lt;INDEX(T_EMP[START DATE],ROW($B85)-ROW($B$8)),"NE",IF(AND(INDEX(T_EMP[TERMINATION DATE],ROW($B85)-ROW($B$8))&gt;0,AB$8&gt;INDEX(T_EMP[TERMINATION DATE],ROW($B85)-ROW($B$8))),"NE",IF(NOT(ISERROR(MATCH(AB$8,L_HOLS,0))),"H",IF(INDEX(L_WKNDVAL,WEEKDAY(AB$8,1))=1,"WKND",INDEX(T_LEAVE[LEAVE CODE],SUMPRODUCT(--(T_LEAVE[NAME]=$B85),--(T_LEAVE[DATE]&lt;=AB$8),--(T_LEAVE[DATE]&gt;=AB$8),ROW(T_LEAVE[LEAVE CODE]))-ROW(T_LEAVE[#Headers]))))))),"")</f>
        <v/>
      </c>
      <c r="AC85" s="75" t="str">
        <f>IFERROR(IF(AC$8="","NA",IF(AC$8&lt;INDEX(T_EMP[START DATE],ROW($B85)-ROW($B$8)),"NE",IF(AND(INDEX(T_EMP[TERMINATION DATE],ROW($B85)-ROW($B$8))&gt;0,AC$8&gt;INDEX(T_EMP[TERMINATION DATE],ROW($B85)-ROW($B$8))),"NE",IF(NOT(ISERROR(MATCH(AC$8,L_HOLS,0))),"H",IF(INDEX(L_WKNDVAL,WEEKDAY(AC$8,1))=1,"WKND",INDEX(T_LEAVE[LEAVE CODE],SUMPRODUCT(--(T_LEAVE[NAME]=$B85),--(T_LEAVE[DATE]&lt;=AC$8),--(T_LEAVE[DATE]&gt;=AC$8),ROW(T_LEAVE[LEAVE CODE]))-ROW(T_LEAVE[#Headers]))))))),"")</f>
        <v/>
      </c>
      <c r="AD85" s="75" t="str">
        <f>IFERROR(IF(AD$8="","NA",IF(AD$8&lt;INDEX(T_EMP[START DATE],ROW($B85)-ROW($B$8)),"NE",IF(AND(INDEX(T_EMP[TERMINATION DATE],ROW($B85)-ROW($B$8))&gt;0,AD$8&gt;INDEX(T_EMP[TERMINATION DATE],ROW($B85)-ROW($B$8))),"NE",IF(NOT(ISERROR(MATCH(AD$8,L_HOLS,0))),"H",IF(INDEX(L_WKNDVAL,WEEKDAY(AD$8,1))=1,"WKND",INDEX(T_LEAVE[LEAVE CODE],SUMPRODUCT(--(T_LEAVE[NAME]=$B85),--(T_LEAVE[DATE]&lt;=AD$8),--(T_LEAVE[DATE]&gt;=AD$8),ROW(T_LEAVE[LEAVE CODE]))-ROW(T_LEAVE[#Headers]))))))),"")</f>
        <v/>
      </c>
      <c r="AE85" s="75" t="str">
        <f>IFERROR(IF(AE$8="","NA",IF(AE$8&lt;INDEX(T_EMP[START DATE],ROW($B85)-ROW($B$8)),"NE",IF(AND(INDEX(T_EMP[TERMINATION DATE],ROW($B85)-ROW($B$8))&gt;0,AE$8&gt;INDEX(T_EMP[TERMINATION DATE],ROW($B85)-ROW($B$8))),"NE",IF(NOT(ISERROR(MATCH(AE$8,L_HOLS,0))),"H",IF(INDEX(L_WKNDVAL,WEEKDAY(AE$8,1))=1,"WKND",INDEX(T_LEAVE[LEAVE CODE],SUMPRODUCT(--(T_LEAVE[NAME]=$B85),--(T_LEAVE[DATE]&lt;=AE$8),--(T_LEAVE[DATE]&gt;=AE$8),ROW(T_LEAVE[LEAVE CODE]))-ROW(T_LEAVE[#Headers]))))))),"")</f>
        <v/>
      </c>
      <c r="AF85" s="75" t="str">
        <f>IFERROR(IF(AF$8="","NA",IF(AF$8&lt;INDEX(T_EMP[START DATE],ROW($B85)-ROW($B$8)),"NE",IF(AND(INDEX(T_EMP[TERMINATION DATE],ROW($B85)-ROW($B$8))&gt;0,AF$8&gt;INDEX(T_EMP[TERMINATION DATE],ROW($B85)-ROW($B$8))),"NE",IF(NOT(ISERROR(MATCH(AF$8,L_HOLS,0))),"H",IF(INDEX(L_WKNDVAL,WEEKDAY(AF$8,1))=1,"WKND",INDEX(T_LEAVE[LEAVE CODE],SUMPRODUCT(--(T_LEAVE[NAME]=$B85),--(T_LEAVE[DATE]&lt;=AF$8),--(T_LEAVE[DATE]&gt;=AF$8),ROW(T_LEAVE[LEAVE CODE]))-ROW(T_LEAVE[#Headers]))))))),"")</f>
        <v/>
      </c>
      <c r="AG85" s="75" t="str">
        <f>IFERROR(IF(AG$8="","NA",IF(AG$8&lt;INDEX(T_EMP[START DATE],ROW($B85)-ROW($B$8)),"NE",IF(AND(INDEX(T_EMP[TERMINATION DATE],ROW($B85)-ROW($B$8))&gt;0,AG$8&gt;INDEX(T_EMP[TERMINATION DATE],ROW($B85)-ROW($B$8))),"NE",IF(NOT(ISERROR(MATCH(AG$8,L_HOLS,0))),"H",IF(INDEX(L_WKNDVAL,WEEKDAY(AG$8,1))=1,"WKND",INDEX(T_LEAVE[LEAVE CODE],SUMPRODUCT(--(T_LEAVE[NAME]=$B85),--(T_LEAVE[DATE]&lt;=AG$8),--(T_LEAVE[DATE]&gt;=AG$8),ROW(T_LEAVE[LEAVE CODE]))-ROW(T_LEAVE[#Headers]))))))),"")</f>
        <v/>
      </c>
      <c r="AH85" s="75" t="str">
        <f>IFERROR(IF(AH$8="","NA",IF(AH$8&lt;INDEX(T_EMP[START DATE],ROW($B85)-ROW($B$8)),"NE",IF(AND(INDEX(T_EMP[TERMINATION DATE],ROW($B85)-ROW($B$8))&gt;0,AH$8&gt;INDEX(T_EMP[TERMINATION DATE],ROW($B85)-ROW($B$8))),"NE",IF(NOT(ISERROR(MATCH(AH$8,L_HOLS,0))),"H",IF(INDEX(L_WKNDVAL,WEEKDAY(AH$8,1))=1,"WKND",INDEX(T_LEAVE[LEAVE CODE],SUMPRODUCT(--(T_LEAVE[NAME]=$B85),--(T_LEAVE[DATE]&lt;=AH$8),--(T_LEAVE[DATE]&gt;=AH$8),ROW(T_LEAVE[LEAVE CODE]))-ROW(T_LEAVE[#Headers]))))))),"")</f>
        <v/>
      </c>
      <c r="AJ85" s="88">
        <f>IF(OR($B85="",AJ$8=""),"",COUNTIFS($D85:$AH85,AJ$8)*INDEX(T_LEAVETYPE[DAY VALUE],1))</f>
        <v>0</v>
      </c>
      <c r="AK85" s="88">
        <f>IF(OR($B85="",AK$8=""),"",COUNTIFS($D85:$AH85,AK$8)*INDEX(T_LEAVETYPE[DAY VALUE],1))</f>
        <v>0</v>
      </c>
      <c r="AL85" s="88">
        <f>IF(OR($B85="",AL$8=""),"",COUNTIFS($D85:$AH85,AL$8)*INDEX(T_LEAVETYPE[DAY VALUE],1))</f>
        <v>0</v>
      </c>
      <c r="AM85" s="88">
        <f>IF(OR($B85="",AM$8=""),"",COUNTIFS($D85:$AH85,AM$8)*INDEX(T_LEAVETYPE[DAY VALUE],1))</f>
        <v>0</v>
      </c>
      <c r="AN85" s="88">
        <f>IF(OR($B85="",AN$8=""),"",COUNTIFS($D85:$AH85,AN$8)*INDEX(T_LEAVETYPE[DAY VALUE],1))</f>
        <v>0</v>
      </c>
      <c r="AO85" s="88">
        <f>IF(OR($B85="",AO$8=""),"",COUNTIFS($D85:$AH85,AO$8)*INDEX(T_LEAVETYPE[DAY VALUE],6))</f>
        <v>0</v>
      </c>
      <c r="AP85" s="88">
        <f>IF(OR($B85="",AP$8=""),"",COUNTIFS($D85:$AH85,AP$8)*INDEX(T_LEAVETYPE[DAY VALUE],7))</f>
        <v>0</v>
      </c>
      <c r="AQ85" s="88">
        <f>IF(OR($B85="",AQ$8=""),"",COUNTIFS($D85:$AH85,AQ$8)*INDEX(T_LEAVETYPE[DAY VALUE],8))</f>
        <v>0</v>
      </c>
      <c r="AR85" s="89">
        <f t="shared" si="5"/>
        <v>0</v>
      </c>
    </row>
    <row r="86" spans="1:44" x14ac:dyDescent="0.25">
      <c r="A86" s="90">
        <f t="shared" si="4"/>
        <v>78</v>
      </c>
      <c r="B86" s="74" t="str">
        <f>IFERROR(INDEX(T_EMP[NAME],ROW(B86)-ROW($B$8)),"")</f>
        <v>ROMERO, BABYLYN</v>
      </c>
      <c r="C86" s="91" t="str">
        <f>IFERROR(INDEX(T_EMP[DEPARTMENT],ROW(B86)-ROW($C$8)),"")</f>
        <v>LND + RTS</v>
      </c>
      <c r="D86" s="75" t="str">
        <f>IFERROR(IF(D$8="","NA",IF(D$8&lt;INDEX(T_EMP[START DATE],ROW($B86)-ROW($B$8)),"NE",IF(AND(INDEX(T_EMP[TERMINATION DATE],ROW($B86)-ROW($B$8))&gt;0,D$8&gt;INDEX(T_EMP[TERMINATION DATE],ROW($B86)-ROW($B$8))),"NE",IF(NOT(ISERROR(MATCH(D$8,L_HOLS,0))),"H",IF(INDEX(L_WKNDVAL,WEEKDAY(D$8,1))=1,"WKND",INDEX(T_LEAVE[LEAVE CODE],SUMPRODUCT(--(T_LEAVE[NAME]=$B86),--(T_LEAVE[DATE]&lt;=D$8),--(T_LEAVE[DATE]&gt;=D$8),ROW(T_LEAVE[LEAVE CODE]))-ROW(T_LEAVE[#Headers]))))))),"")</f>
        <v>H</v>
      </c>
      <c r="E86" s="75" t="str">
        <f>IFERROR(IF(E$8="","NA",IF(E$8&lt;INDEX(T_EMP[START DATE],ROW($B86)-ROW($B$8)),"NE",IF(AND(INDEX(T_EMP[TERMINATION DATE],ROW($B86)-ROW($B$8))&gt;0,E$8&gt;INDEX(T_EMP[TERMINATION DATE],ROW($B86)-ROW($B$8))),"NE",IF(NOT(ISERROR(MATCH(E$8,L_HOLS,0))),"H",IF(INDEX(L_WKNDVAL,WEEKDAY(E$8,1))=1,"WKND",INDEX(T_LEAVE[LEAVE CODE],SUMPRODUCT(--(T_LEAVE[NAME]=$B86),--(T_LEAVE[DATE]&lt;=E$8),--(T_LEAVE[DATE]&gt;=E$8),ROW(T_LEAVE[LEAVE CODE]))-ROW(T_LEAVE[#Headers]))))))),"")</f>
        <v/>
      </c>
      <c r="F86" s="75" t="str">
        <f>IFERROR(IF(F$8="","NA",IF(F$8&lt;INDEX(T_EMP[START DATE],ROW($B86)-ROW($B$8)),"NE",IF(AND(INDEX(T_EMP[TERMINATION DATE],ROW($B86)-ROW($B$8))&gt;0,F$8&gt;INDEX(T_EMP[TERMINATION DATE],ROW($B86)-ROW($B$8))),"NE",IF(NOT(ISERROR(MATCH(F$8,L_HOLS,0))),"H",IF(INDEX(L_WKNDVAL,WEEKDAY(F$8,1))=1,"WKND",INDEX(T_LEAVE[LEAVE CODE],SUMPRODUCT(--(T_LEAVE[NAME]=$B86),--(T_LEAVE[DATE]&lt;=F$8),--(T_LEAVE[DATE]&gt;=F$8),ROW(T_LEAVE[LEAVE CODE]))-ROW(T_LEAVE[#Headers]))))))),"")</f>
        <v/>
      </c>
      <c r="G86" s="75" t="str">
        <f>IFERROR(IF(G$8="","NA",IF(G$8&lt;INDEX(T_EMP[START DATE],ROW($B86)-ROW($B$8)),"NE",IF(AND(INDEX(T_EMP[TERMINATION DATE],ROW($B86)-ROW($B$8))&gt;0,G$8&gt;INDEX(T_EMP[TERMINATION DATE],ROW($B86)-ROW($B$8))),"NE",IF(NOT(ISERROR(MATCH(G$8,L_HOLS,0))),"H",IF(INDEX(L_WKNDVAL,WEEKDAY(G$8,1))=1,"WKND",INDEX(T_LEAVE[LEAVE CODE],SUMPRODUCT(--(T_LEAVE[NAME]=$B86),--(T_LEAVE[DATE]&lt;=G$8),--(T_LEAVE[DATE]&gt;=G$8),ROW(T_LEAVE[LEAVE CODE]))-ROW(T_LEAVE[#Headers]))))))),"")</f>
        <v/>
      </c>
      <c r="H86" s="75" t="str">
        <f>IFERROR(IF(H$8="","NA",IF(H$8&lt;INDEX(T_EMP[START DATE],ROW($B86)-ROW($B$8)),"NE",IF(AND(INDEX(T_EMP[TERMINATION DATE],ROW($B86)-ROW($B$8))&gt;0,H$8&gt;INDEX(T_EMP[TERMINATION DATE],ROW($B86)-ROW($B$8))),"NE",IF(NOT(ISERROR(MATCH(H$8,L_HOLS,0))),"H",IF(INDEX(L_WKNDVAL,WEEKDAY(H$8,1))=1,"WKND",INDEX(T_LEAVE[LEAVE CODE],SUMPRODUCT(--(T_LEAVE[NAME]=$B86),--(T_LEAVE[DATE]&lt;=H$8),--(T_LEAVE[DATE]&gt;=H$8),ROW(T_LEAVE[LEAVE CODE]))-ROW(T_LEAVE[#Headers]))))))),"")</f>
        <v/>
      </c>
      <c r="I86" s="75" t="str">
        <f>IFERROR(IF(I$8="","NA",IF(I$8&lt;INDEX(T_EMP[START DATE],ROW($B86)-ROW($B$8)),"NE",IF(AND(INDEX(T_EMP[TERMINATION DATE],ROW($B86)-ROW($B$8))&gt;0,I$8&gt;INDEX(T_EMP[TERMINATION DATE],ROW($B86)-ROW($B$8))),"NE",IF(NOT(ISERROR(MATCH(I$8,L_HOLS,0))),"H",IF(INDEX(L_WKNDVAL,WEEKDAY(I$8,1))=1,"WKND",INDEX(T_LEAVE[LEAVE CODE],SUMPRODUCT(--(T_LEAVE[NAME]=$B86),--(T_LEAVE[DATE]&lt;=I$8),--(T_LEAVE[DATE]&gt;=I$8),ROW(T_LEAVE[LEAVE CODE]))-ROW(T_LEAVE[#Headers]))))))),"")</f>
        <v/>
      </c>
      <c r="J86" s="75" t="str">
        <f>IFERROR(IF(J$8="","NA",IF(J$8&lt;INDEX(T_EMP[START DATE],ROW($B86)-ROW($B$8)),"NE",IF(AND(INDEX(T_EMP[TERMINATION DATE],ROW($B86)-ROW($B$8))&gt;0,J$8&gt;INDEX(T_EMP[TERMINATION DATE],ROW($B86)-ROW($B$8))),"NE",IF(NOT(ISERROR(MATCH(J$8,L_HOLS,0))),"H",IF(INDEX(L_WKNDVAL,WEEKDAY(J$8,1))=1,"WKND",INDEX(T_LEAVE[LEAVE CODE],SUMPRODUCT(--(T_LEAVE[NAME]=$B86),--(T_LEAVE[DATE]&lt;=J$8),--(T_LEAVE[DATE]&gt;=J$8),ROW(T_LEAVE[LEAVE CODE]))-ROW(T_LEAVE[#Headers]))))))),"")</f>
        <v/>
      </c>
      <c r="K86" s="75" t="str">
        <f>IFERROR(IF(K$8="","NA",IF(K$8&lt;INDEX(T_EMP[START DATE],ROW($B86)-ROW($B$8)),"NE",IF(AND(INDEX(T_EMP[TERMINATION DATE],ROW($B86)-ROW($B$8))&gt;0,K$8&gt;INDEX(T_EMP[TERMINATION DATE],ROW($B86)-ROW($B$8))),"NE",IF(NOT(ISERROR(MATCH(K$8,L_HOLS,0))),"H",IF(INDEX(L_WKNDVAL,WEEKDAY(K$8,1))=1,"WKND",INDEX(T_LEAVE[LEAVE CODE],SUMPRODUCT(--(T_LEAVE[NAME]=$B86),--(T_LEAVE[DATE]&lt;=K$8),--(T_LEAVE[DATE]&gt;=K$8),ROW(T_LEAVE[LEAVE CODE]))-ROW(T_LEAVE[#Headers]))))))),"")</f>
        <v/>
      </c>
      <c r="L86" s="75" t="str">
        <f>IFERROR(IF(L$8="","NA",IF(L$8&lt;INDEX(T_EMP[START DATE],ROW($B86)-ROW($B$8)),"NE",IF(AND(INDEX(T_EMP[TERMINATION DATE],ROW($B86)-ROW($B$8))&gt;0,L$8&gt;INDEX(T_EMP[TERMINATION DATE],ROW($B86)-ROW($B$8))),"NE",IF(NOT(ISERROR(MATCH(L$8,L_HOLS,0))),"H",IF(INDEX(L_WKNDVAL,WEEKDAY(L$8,1))=1,"WKND",INDEX(T_LEAVE[LEAVE CODE],SUMPRODUCT(--(T_LEAVE[NAME]=$B86),--(T_LEAVE[DATE]&lt;=L$8),--(T_LEAVE[DATE]&gt;=L$8),ROW(T_LEAVE[LEAVE CODE]))-ROW(T_LEAVE[#Headers]))))))),"")</f>
        <v/>
      </c>
      <c r="M86" s="75" t="str">
        <f>IFERROR(IF(M$8="","NA",IF(M$8&lt;INDEX(T_EMP[START DATE],ROW($B86)-ROW($B$8)),"NE",IF(AND(INDEX(T_EMP[TERMINATION DATE],ROW($B86)-ROW($B$8))&gt;0,M$8&gt;INDEX(T_EMP[TERMINATION DATE],ROW($B86)-ROW($B$8))),"NE",IF(NOT(ISERROR(MATCH(M$8,L_HOLS,0))),"H",IF(INDEX(L_WKNDVAL,WEEKDAY(M$8,1))=1,"WKND",INDEX(T_LEAVE[LEAVE CODE],SUMPRODUCT(--(T_LEAVE[NAME]=$B86),--(T_LEAVE[DATE]&lt;=M$8),--(T_LEAVE[DATE]&gt;=M$8),ROW(T_LEAVE[LEAVE CODE]))-ROW(T_LEAVE[#Headers]))))))),"")</f>
        <v/>
      </c>
      <c r="N86" s="75" t="str">
        <f>IFERROR(IF(N$8="","NA",IF(N$8&lt;INDEX(T_EMP[START DATE],ROW($B86)-ROW($B$8)),"NE",IF(AND(INDEX(T_EMP[TERMINATION DATE],ROW($B86)-ROW($B$8))&gt;0,N$8&gt;INDEX(T_EMP[TERMINATION DATE],ROW($B86)-ROW($B$8))),"NE",IF(NOT(ISERROR(MATCH(N$8,L_HOLS,0))),"H",IF(INDEX(L_WKNDVAL,WEEKDAY(N$8,1))=1,"WKND",INDEX(T_LEAVE[LEAVE CODE],SUMPRODUCT(--(T_LEAVE[NAME]=$B86),--(T_LEAVE[DATE]&lt;=N$8),--(T_LEAVE[DATE]&gt;=N$8),ROW(T_LEAVE[LEAVE CODE]))-ROW(T_LEAVE[#Headers]))))))),"")</f>
        <v/>
      </c>
      <c r="O86" s="75" t="str">
        <f>IFERROR(IF(O$8="","NA",IF(O$8&lt;INDEX(T_EMP[START DATE],ROW($B86)-ROW($B$8)),"NE",IF(AND(INDEX(T_EMP[TERMINATION DATE],ROW($B86)-ROW($B$8))&gt;0,O$8&gt;INDEX(T_EMP[TERMINATION DATE],ROW($B86)-ROW($B$8))),"NE",IF(NOT(ISERROR(MATCH(O$8,L_HOLS,0))),"H",IF(INDEX(L_WKNDVAL,WEEKDAY(O$8,1))=1,"WKND",INDEX(T_LEAVE[LEAVE CODE],SUMPRODUCT(--(T_LEAVE[NAME]=$B86),--(T_LEAVE[DATE]&lt;=O$8),--(T_LEAVE[DATE]&gt;=O$8),ROW(T_LEAVE[LEAVE CODE]))-ROW(T_LEAVE[#Headers]))))))),"")</f>
        <v/>
      </c>
      <c r="P86" s="75" t="str">
        <f>IFERROR(IF(P$8="","NA",IF(P$8&lt;INDEX(T_EMP[START DATE],ROW($B86)-ROW($B$8)),"NE",IF(AND(INDEX(T_EMP[TERMINATION DATE],ROW($B86)-ROW($B$8))&gt;0,P$8&gt;INDEX(T_EMP[TERMINATION DATE],ROW($B86)-ROW($B$8))),"NE",IF(NOT(ISERROR(MATCH(P$8,L_HOLS,0))),"H",IF(INDEX(L_WKNDVAL,WEEKDAY(P$8,1))=1,"WKND",INDEX(T_LEAVE[LEAVE CODE],SUMPRODUCT(--(T_LEAVE[NAME]=$B86),--(T_LEAVE[DATE]&lt;=P$8),--(T_LEAVE[DATE]&gt;=P$8),ROW(T_LEAVE[LEAVE CODE]))-ROW(T_LEAVE[#Headers]))))))),"")</f>
        <v>H</v>
      </c>
      <c r="Q86" s="75" t="str">
        <f>IFERROR(IF(Q$8="","NA",IF(Q$8&lt;INDEX(T_EMP[START DATE],ROW($B86)-ROW($B$8)),"NE",IF(AND(INDEX(T_EMP[TERMINATION DATE],ROW($B86)-ROW($B$8))&gt;0,Q$8&gt;INDEX(T_EMP[TERMINATION DATE],ROW($B86)-ROW($B$8))),"NE",IF(NOT(ISERROR(MATCH(Q$8,L_HOLS,0))),"H",IF(INDEX(L_WKNDVAL,WEEKDAY(Q$8,1))=1,"WKND",INDEX(T_LEAVE[LEAVE CODE],SUMPRODUCT(--(T_LEAVE[NAME]=$B86),--(T_LEAVE[DATE]&lt;=Q$8),--(T_LEAVE[DATE]&gt;=Q$8),ROW(T_LEAVE[LEAVE CODE]))-ROW(T_LEAVE[#Headers]))))))),"")</f>
        <v/>
      </c>
      <c r="R86" s="75" t="str">
        <f>IFERROR(IF(R$8="","NA",IF(R$8&lt;INDEX(T_EMP[START DATE],ROW($B86)-ROW($B$8)),"NE",IF(AND(INDEX(T_EMP[TERMINATION DATE],ROW($B86)-ROW($B$8))&gt;0,R$8&gt;INDEX(T_EMP[TERMINATION DATE],ROW($B86)-ROW($B$8))),"NE",IF(NOT(ISERROR(MATCH(R$8,L_HOLS,0))),"H",IF(INDEX(L_WKNDVAL,WEEKDAY(R$8,1))=1,"WKND",INDEX(T_LEAVE[LEAVE CODE],SUMPRODUCT(--(T_LEAVE[NAME]=$B86),--(T_LEAVE[DATE]&lt;=R$8),--(T_LEAVE[DATE]&gt;=R$8),ROW(T_LEAVE[LEAVE CODE]))-ROW(T_LEAVE[#Headers]))))))),"")</f>
        <v/>
      </c>
      <c r="S86" s="75" t="str">
        <f>IFERROR(IF(S$8="","NA",IF(S$8&lt;INDEX(T_EMP[START DATE],ROW($B86)-ROW($B$8)),"NE",IF(AND(INDEX(T_EMP[TERMINATION DATE],ROW($B86)-ROW($B$8))&gt;0,S$8&gt;INDEX(T_EMP[TERMINATION DATE],ROW($B86)-ROW($B$8))),"NE",IF(NOT(ISERROR(MATCH(S$8,L_HOLS,0))),"H",IF(INDEX(L_WKNDVAL,WEEKDAY(S$8,1))=1,"WKND",INDEX(T_LEAVE[LEAVE CODE],SUMPRODUCT(--(T_LEAVE[NAME]=$B86),--(T_LEAVE[DATE]&lt;=S$8),--(T_LEAVE[DATE]&gt;=S$8),ROW(T_LEAVE[LEAVE CODE]))-ROW(T_LEAVE[#Headers]))))))),"")</f>
        <v/>
      </c>
      <c r="T86" s="75" t="str">
        <f>IFERROR(IF(T$8="","NA",IF(T$8&lt;INDEX(T_EMP[START DATE],ROW($B86)-ROW($B$8)),"NE",IF(AND(INDEX(T_EMP[TERMINATION DATE],ROW($B86)-ROW($B$8))&gt;0,T$8&gt;INDEX(T_EMP[TERMINATION DATE],ROW($B86)-ROW($B$8))),"NE",IF(NOT(ISERROR(MATCH(T$8,L_HOLS,0))),"H",IF(INDEX(L_WKNDVAL,WEEKDAY(T$8,1))=1,"WKND",INDEX(T_LEAVE[LEAVE CODE],SUMPRODUCT(--(T_LEAVE[NAME]=$B86),--(T_LEAVE[DATE]&lt;=T$8),--(T_LEAVE[DATE]&gt;=T$8),ROW(T_LEAVE[LEAVE CODE]))-ROW(T_LEAVE[#Headers]))))))),"")</f>
        <v/>
      </c>
      <c r="U86" s="75" t="str">
        <f>IFERROR(IF(U$8="","NA",IF(U$8&lt;INDEX(T_EMP[START DATE],ROW($B86)-ROW($B$8)),"NE",IF(AND(INDEX(T_EMP[TERMINATION DATE],ROW($B86)-ROW($B$8))&gt;0,U$8&gt;INDEX(T_EMP[TERMINATION DATE],ROW($B86)-ROW($B$8))),"NE",IF(NOT(ISERROR(MATCH(U$8,L_HOLS,0))),"H",IF(INDEX(L_WKNDVAL,WEEKDAY(U$8,1))=1,"WKND",INDEX(T_LEAVE[LEAVE CODE],SUMPRODUCT(--(T_LEAVE[NAME]=$B86),--(T_LEAVE[DATE]&lt;=U$8),--(T_LEAVE[DATE]&gt;=U$8),ROW(T_LEAVE[LEAVE CODE]))-ROW(T_LEAVE[#Headers]))))))),"")</f>
        <v/>
      </c>
      <c r="V86" s="75" t="str">
        <f>IFERROR(IF(V$8="","NA",IF(V$8&lt;INDEX(T_EMP[START DATE],ROW($B86)-ROW($B$8)),"NE",IF(AND(INDEX(T_EMP[TERMINATION DATE],ROW($B86)-ROW($B$8))&gt;0,V$8&gt;INDEX(T_EMP[TERMINATION DATE],ROW($B86)-ROW($B$8))),"NE",IF(NOT(ISERROR(MATCH(V$8,L_HOLS,0))),"H",IF(INDEX(L_WKNDVAL,WEEKDAY(V$8,1))=1,"WKND",INDEX(T_LEAVE[LEAVE CODE],SUMPRODUCT(--(T_LEAVE[NAME]=$B86),--(T_LEAVE[DATE]&lt;=V$8),--(T_LEAVE[DATE]&gt;=V$8),ROW(T_LEAVE[LEAVE CODE]))-ROW(T_LEAVE[#Headers]))))))),"")</f>
        <v/>
      </c>
      <c r="W86" s="75" t="str">
        <f>IFERROR(IF(W$8="","NA",IF(W$8&lt;INDEX(T_EMP[START DATE],ROW($B86)-ROW($B$8)),"NE",IF(AND(INDEX(T_EMP[TERMINATION DATE],ROW($B86)-ROW($B$8))&gt;0,W$8&gt;INDEX(T_EMP[TERMINATION DATE],ROW($B86)-ROW($B$8))),"NE",IF(NOT(ISERROR(MATCH(W$8,L_HOLS,0))),"H",IF(INDEX(L_WKNDVAL,WEEKDAY(W$8,1))=1,"WKND",INDEX(T_LEAVE[LEAVE CODE],SUMPRODUCT(--(T_LEAVE[NAME]=$B86),--(T_LEAVE[DATE]&lt;=W$8),--(T_LEAVE[DATE]&gt;=W$8),ROW(T_LEAVE[LEAVE CODE]))-ROW(T_LEAVE[#Headers]))))))),"")</f>
        <v/>
      </c>
      <c r="X86" s="75" t="str">
        <f>IFERROR(IF(X$8="","NA",IF(X$8&lt;INDEX(T_EMP[START DATE],ROW($B86)-ROW($B$8)),"NE",IF(AND(INDEX(T_EMP[TERMINATION DATE],ROW($B86)-ROW($B$8))&gt;0,X$8&gt;INDEX(T_EMP[TERMINATION DATE],ROW($B86)-ROW($B$8))),"NE",IF(NOT(ISERROR(MATCH(X$8,L_HOLS,0))),"H",IF(INDEX(L_WKNDVAL,WEEKDAY(X$8,1))=1,"WKND",INDEX(T_LEAVE[LEAVE CODE],SUMPRODUCT(--(T_LEAVE[NAME]=$B86),--(T_LEAVE[DATE]&lt;=X$8),--(T_LEAVE[DATE]&gt;=X$8),ROW(T_LEAVE[LEAVE CODE]))-ROW(T_LEAVE[#Headers]))))))),"")</f>
        <v/>
      </c>
      <c r="Y86" s="75" t="str">
        <f>IFERROR(IF(Y$8="","NA",IF(Y$8&lt;INDEX(T_EMP[START DATE],ROW($B86)-ROW($B$8)),"NE",IF(AND(INDEX(T_EMP[TERMINATION DATE],ROW($B86)-ROW($B$8))&gt;0,Y$8&gt;INDEX(T_EMP[TERMINATION DATE],ROW($B86)-ROW($B$8))),"NE",IF(NOT(ISERROR(MATCH(Y$8,L_HOLS,0))),"H",IF(INDEX(L_WKNDVAL,WEEKDAY(Y$8,1))=1,"WKND",INDEX(T_LEAVE[LEAVE CODE],SUMPRODUCT(--(T_LEAVE[NAME]=$B86),--(T_LEAVE[DATE]&lt;=Y$8),--(T_LEAVE[DATE]&gt;=Y$8),ROW(T_LEAVE[LEAVE CODE]))-ROW(T_LEAVE[#Headers]))))))),"")</f>
        <v/>
      </c>
      <c r="Z86" s="75" t="str">
        <f>IFERROR(IF(Z$8="","NA",IF(Z$8&lt;INDEX(T_EMP[START DATE],ROW($B86)-ROW($B$8)),"NE",IF(AND(INDEX(T_EMP[TERMINATION DATE],ROW($B86)-ROW($B$8))&gt;0,Z$8&gt;INDEX(T_EMP[TERMINATION DATE],ROW($B86)-ROW($B$8))),"NE",IF(NOT(ISERROR(MATCH(Z$8,L_HOLS,0))),"H",IF(INDEX(L_WKNDVAL,WEEKDAY(Z$8,1))=1,"WKND",INDEX(T_LEAVE[LEAVE CODE],SUMPRODUCT(--(T_LEAVE[NAME]=$B86),--(T_LEAVE[DATE]&lt;=Z$8),--(T_LEAVE[DATE]&gt;=Z$8),ROW(T_LEAVE[LEAVE CODE]))-ROW(T_LEAVE[#Headers]))))))),"")</f>
        <v/>
      </c>
      <c r="AA86" s="75" t="str">
        <f>IFERROR(IF(AA$8="","NA",IF(AA$8&lt;INDEX(T_EMP[START DATE],ROW($B86)-ROW($B$8)),"NE",IF(AND(INDEX(T_EMP[TERMINATION DATE],ROW($B86)-ROW($B$8))&gt;0,AA$8&gt;INDEX(T_EMP[TERMINATION DATE],ROW($B86)-ROW($B$8))),"NE",IF(NOT(ISERROR(MATCH(AA$8,L_HOLS,0))),"H",IF(INDEX(L_WKNDVAL,WEEKDAY(AA$8,1))=1,"WKND",INDEX(T_LEAVE[LEAVE CODE],SUMPRODUCT(--(T_LEAVE[NAME]=$B86),--(T_LEAVE[DATE]&lt;=AA$8),--(T_LEAVE[DATE]&gt;=AA$8),ROW(T_LEAVE[LEAVE CODE]))-ROW(T_LEAVE[#Headers]))))))),"")</f>
        <v/>
      </c>
      <c r="AB86" s="75" t="str">
        <f>IFERROR(IF(AB$8="","NA",IF(AB$8&lt;INDEX(T_EMP[START DATE],ROW($B86)-ROW($B$8)),"NE",IF(AND(INDEX(T_EMP[TERMINATION DATE],ROW($B86)-ROW($B$8))&gt;0,AB$8&gt;INDEX(T_EMP[TERMINATION DATE],ROW($B86)-ROW($B$8))),"NE",IF(NOT(ISERROR(MATCH(AB$8,L_HOLS,0))),"H",IF(INDEX(L_WKNDVAL,WEEKDAY(AB$8,1))=1,"WKND",INDEX(T_LEAVE[LEAVE CODE],SUMPRODUCT(--(T_LEAVE[NAME]=$B86),--(T_LEAVE[DATE]&lt;=AB$8),--(T_LEAVE[DATE]&gt;=AB$8),ROW(T_LEAVE[LEAVE CODE]))-ROW(T_LEAVE[#Headers]))))))),"")</f>
        <v/>
      </c>
      <c r="AC86" s="75" t="str">
        <f>IFERROR(IF(AC$8="","NA",IF(AC$8&lt;INDEX(T_EMP[START DATE],ROW($B86)-ROW($B$8)),"NE",IF(AND(INDEX(T_EMP[TERMINATION DATE],ROW($B86)-ROW($B$8))&gt;0,AC$8&gt;INDEX(T_EMP[TERMINATION DATE],ROW($B86)-ROW($B$8))),"NE",IF(NOT(ISERROR(MATCH(AC$8,L_HOLS,0))),"H",IF(INDEX(L_WKNDVAL,WEEKDAY(AC$8,1))=1,"WKND",INDEX(T_LEAVE[LEAVE CODE],SUMPRODUCT(--(T_LEAVE[NAME]=$B86),--(T_LEAVE[DATE]&lt;=AC$8),--(T_LEAVE[DATE]&gt;=AC$8),ROW(T_LEAVE[LEAVE CODE]))-ROW(T_LEAVE[#Headers]))))))),"")</f>
        <v/>
      </c>
      <c r="AD86" s="75" t="str">
        <f>IFERROR(IF(AD$8="","NA",IF(AD$8&lt;INDEX(T_EMP[START DATE],ROW($B86)-ROW($B$8)),"NE",IF(AND(INDEX(T_EMP[TERMINATION DATE],ROW($B86)-ROW($B$8))&gt;0,AD$8&gt;INDEX(T_EMP[TERMINATION DATE],ROW($B86)-ROW($B$8))),"NE",IF(NOT(ISERROR(MATCH(AD$8,L_HOLS,0))),"H",IF(INDEX(L_WKNDVAL,WEEKDAY(AD$8,1))=1,"WKND",INDEX(T_LEAVE[LEAVE CODE],SUMPRODUCT(--(T_LEAVE[NAME]=$B86),--(T_LEAVE[DATE]&lt;=AD$8),--(T_LEAVE[DATE]&gt;=AD$8),ROW(T_LEAVE[LEAVE CODE]))-ROW(T_LEAVE[#Headers]))))))),"")</f>
        <v/>
      </c>
      <c r="AE86" s="75" t="str">
        <f>IFERROR(IF(AE$8="","NA",IF(AE$8&lt;INDEX(T_EMP[START DATE],ROW($B86)-ROW($B$8)),"NE",IF(AND(INDEX(T_EMP[TERMINATION DATE],ROW($B86)-ROW($B$8))&gt;0,AE$8&gt;INDEX(T_EMP[TERMINATION DATE],ROW($B86)-ROW($B$8))),"NE",IF(NOT(ISERROR(MATCH(AE$8,L_HOLS,0))),"H",IF(INDEX(L_WKNDVAL,WEEKDAY(AE$8,1))=1,"WKND",INDEX(T_LEAVE[LEAVE CODE],SUMPRODUCT(--(T_LEAVE[NAME]=$B86),--(T_LEAVE[DATE]&lt;=AE$8),--(T_LEAVE[DATE]&gt;=AE$8),ROW(T_LEAVE[LEAVE CODE]))-ROW(T_LEAVE[#Headers]))))))),"")</f>
        <v/>
      </c>
      <c r="AF86" s="75" t="str">
        <f>IFERROR(IF(AF$8="","NA",IF(AF$8&lt;INDEX(T_EMP[START DATE],ROW($B86)-ROW($B$8)),"NE",IF(AND(INDEX(T_EMP[TERMINATION DATE],ROW($B86)-ROW($B$8))&gt;0,AF$8&gt;INDEX(T_EMP[TERMINATION DATE],ROW($B86)-ROW($B$8))),"NE",IF(NOT(ISERROR(MATCH(AF$8,L_HOLS,0))),"H",IF(INDEX(L_WKNDVAL,WEEKDAY(AF$8,1))=1,"WKND",INDEX(T_LEAVE[LEAVE CODE],SUMPRODUCT(--(T_LEAVE[NAME]=$B86),--(T_LEAVE[DATE]&lt;=AF$8),--(T_LEAVE[DATE]&gt;=AF$8),ROW(T_LEAVE[LEAVE CODE]))-ROW(T_LEAVE[#Headers]))))))),"")</f>
        <v/>
      </c>
      <c r="AG86" s="75" t="str">
        <f>IFERROR(IF(AG$8="","NA",IF(AG$8&lt;INDEX(T_EMP[START DATE],ROW($B86)-ROW($B$8)),"NE",IF(AND(INDEX(T_EMP[TERMINATION DATE],ROW($B86)-ROW($B$8))&gt;0,AG$8&gt;INDEX(T_EMP[TERMINATION DATE],ROW($B86)-ROW($B$8))),"NE",IF(NOT(ISERROR(MATCH(AG$8,L_HOLS,0))),"H",IF(INDEX(L_WKNDVAL,WEEKDAY(AG$8,1))=1,"WKND",INDEX(T_LEAVE[LEAVE CODE],SUMPRODUCT(--(T_LEAVE[NAME]=$B86),--(T_LEAVE[DATE]&lt;=AG$8),--(T_LEAVE[DATE]&gt;=AG$8),ROW(T_LEAVE[LEAVE CODE]))-ROW(T_LEAVE[#Headers]))))))),"")</f>
        <v/>
      </c>
      <c r="AH86" s="75" t="str">
        <f>IFERROR(IF(AH$8="","NA",IF(AH$8&lt;INDEX(T_EMP[START DATE],ROW($B86)-ROW($B$8)),"NE",IF(AND(INDEX(T_EMP[TERMINATION DATE],ROW($B86)-ROW($B$8))&gt;0,AH$8&gt;INDEX(T_EMP[TERMINATION DATE],ROW($B86)-ROW($B$8))),"NE",IF(NOT(ISERROR(MATCH(AH$8,L_HOLS,0))),"H",IF(INDEX(L_WKNDVAL,WEEKDAY(AH$8,1))=1,"WKND",INDEX(T_LEAVE[LEAVE CODE],SUMPRODUCT(--(T_LEAVE[NAME]=$B86),--(T_LEAVE[DATE]&lt;=AH$8),--(T_LEAVE[DATE]&gt;=AH$8),ROW(T_LEAVE[LEAVE CODE]))-ROW(T_LEAVE[#Headers]))))))),"")</f>
        <v/>
      </c>
      <c r="AJ86" s="88">
        <f>IF(OR($B86="",AJ$8=""),"",COUNTIFS($D86:$AH86,AJ$8)*INDEX(T_LEAVETYPE[DAY VALUE],1))</f>
        <v>0</v>
      </c>
      <c r="AK86" s="88">
        <f>IF(OR($B86="",AK$8=""),"",COUNTIFS($D86:$AH86,AK$8)*INDEX(T_LEAVETYPE[DAY VALUE],1))</f>
        <v>0</v>
      </c>
      <c r="AL86" s="88">
        <f>IF(OR($B86="",AL$8=""),"",COUNTIFS($D86:$AH86,AL$8)*INDEX(T_LEAVETYPE[DAY VALUE],1))</f>
        <v>0</v>
      </c>
      <c r="AM86" s="88">
        <f>IF(OR($B86="",AM$8=""),"",COUNTIFS($D86:$AH86,AM$8)*INDEX(T_LEAVETYPE[DAY VALUE],1))</f>
        <v>0</v>
      </c>
      <c r="AN86" s="88">
        <f>IF(OR($B86="",AN$8=""),"",COUNTIFS($D86:$AH86,AN$8)*INDEX(T_LEAVETYPE[DAY VALUE],1))</f>
        <v>0</v>
      </c>
      <c r="AO86" s="88">
        <f>IF(OR($B86="",AO$8=""),"",COUNTIFS($D86:$AH86,AO$8)*INDEX(T_LEAVETYPE[DAY VALUE],6))</f>
        <v>0</v>
      </c>
      <c r="AP86" s="88">
        <f>IF(OR($B86="",AP$8=""),"",COUNTIFS($D86:$AH86,AP$8)*INDEX(T_LEAVETYPE[DAY VALUE],7))</f>
        <v>0</v>
      </c>
      <c r="AQ86" s="88">
        <f>IF(OR($B86="",AQ$8=""),"",COUNTIFS($D86:$AH86,AQ$8)*INDEX(T_LEAVETYPE[DAY VALUE],8))</f>
        <v>0</v>
      </c>
      <c r="AR86" s="89">
        <f t="shared" si="5"/>
        <v>0</v>
      </c>
    </row>
    <row r="87" spans="1:44" x14ac:dyDescent="0.25">
      <c r="A87" s="90">
        <f t="shared" si="4"/>
        <v>79</v>
      </c>
      <c r="B87" s="74" t="str">
        <f>IFERROR(INDEX(T_EMP[NAME],ROW(B87)-ROW($B$8)),"")</f>
        <v>AGUILAN, BERNADETTE</v>
      </c>
      <c r="C87" s="91" t="str">
        <f>IFERROR(INDEX(T_EMP[DEPARTMENT],ROW(B87)-ROW($C$8)),"")</f>
        <v>IB SUPPORT</v>
      </c>
      <c r="D87" s="75" t="str">
        <f>IFERROR(IF(D$8="","NA",IF(D$8&lt;INDEX(T_EMP[START DATE],ROW($B87)-ROW($B$8)),"NE",IF(AND(INDEX(T_EMP[TERMINATION DATE],ROW($B87)-ROW($B$8))&gt;0,D$8&gt;INDEX(T_EMP[TERMINATION DATE],ROW($B87)-ROW($B$8))),"NE",IF(NOT(ISERROR(MATCH(D$8,L_HOLS,0))),"H",IF(INDEX(L_WKNDVAL,WEEKDAY(D$8,1))=1,"WKND",INDEX(T_LEAVE[LEAVE CODE],SUMPRODUCT(--(T_LEAVE[NAME]=$B87),--(T_LEAVE[DATE]&lt;=D$8),--(T_LEAVE[DATE]&gt;=D$8),ROW(T_LEAVE[LEAVE CODE]))-ROW(T_LEAVE[#Headers]))))))),"")</f>
        <v>H</v>
      </c>
      <c r="E87" s="75" t="str">
        <f>IFERROR(IF(E$8="","NA",IF(E$8&lt;INDEX(T_EMP[START DATE],ROW($B87)-ROW($B$8)),"NE",IF(AND(INDEX(T_EMP[TERMINATION DATE],ROW($B87)-ROW($B$8))&gt;0,E$8&gt;INDEX(T_EMP[TERMINATION DATE],ROW($B87)-ROW($B$8))),"NE",IF(NOT(ISERROR(MATCH(E$8,L_HOLS,0))),"H",IF(INDEX(L_WKNDVAL,WEEKDAY(E$8,1))=1,"WKND",INDEX(T_LEAVE[LEAVE CODE],SUMPRODUCT(--(T_LEAVE[NAME]=$B87),--(T_LEAVE[DATE]&lt;=E$8),--(T_LEAVE[DATE]&gt;=E$8),ROW(T_LEAVE[LEAVE CODE]))-ROW(T_LEAVE[#Headers]))))))),"")</f>
        <v/>
      </c>
      <c r="F87" s="75" t="str">
        <f>IFERROR(IF(F$8="","NA",IF(F$8&lt;INDEX(T_EMP[START DATE],ROW($B87)-ROW($B$8)),"NE",IF(AND(INDEX(T_EMP[TERMINATION DATE],ROW($B87)-ROW($B$8))&gt;0,F$8&gt;INDEX(T_EMP[TERMINATION DATE],ROW($B87)-ROW($B$8))),"NE",IF(NOT(ISERROR(MATCH(F$8,L_HOLS,0))),"H",IF(INDEX(L_WKNDVAL,WEEKDAY(F$8,1))=1,"WKND",INDEX(T_LEAVE[LEAVE CODE],SUMPRODUCT(--(T_LEAVE[NAME]=$B87),--(T_LEAVE[DATE]&lt;=F$8),--(T_LEAVE[DATE]&gt;=F$8),ROW(T_LEAVE[LEAVE CODE]))-ROW(T_LEAVE[#Headers]))))))),"")</f>
        <v/>
      </c>
      <c r="G87" s="75" t="str">
        <f>IFERROR(IF(G$8="","NA",IF(G$8&lt;INDEX(T_EMP[START DATE],ROW($B87)-ROW($B$8)),"NE",IF(AND(INDEX(T_EMP[TERMINATION DATE],ROW($B87)-ROW($B$8))&gt;0,G$8&gt;INDEX(T_EMP[TERMINATION DATE],ROW($B87)-ROW($B$8))),"NE",IF(NOT(ISERROR(MATCH(G$8,L_HOLS,0))),"H",IF(INDEX(L_WKNDVAL,WEEKDAY(G$8,1))=1,"WKND",INDEX(T_LEAVE[LEAVE CODE],SUMPRODUCT(--(T_LEAVE[NAME]=$B87),--(T_LEAVE[DATE]&lt;=G$8),--(T_LEAVE[DATE]&gt;=G$8),ROW(T_LEAVE[LEAVE CODE]))-ROW(T_LEAVE[#Headers]))))))),"")</f>
        <v/>
      </c>
      <c r="H87" s="75" t="str">
        <f>IFERROR(IF(H$8="","NA",IF(H$8&lt;INDEX(T_EMP[START DATE],ROW($B87)-ROW($B$8)),"NE",IF(AND(INDEX(T_EMP[TERMINATION DATE],ROW($B87)-ROW($B$8))&gt;0,H$8&gt;INDEX(T_EMP[TERMINATION DATE],ROW($B87)-ROW($B$8))),"NE",IF(NOT(ISERROR(MATCH(H$8,L_HOLS,0))),"H",IF(INDEX(L_WKNDVAL,WEEKDAY(H$8,1))=1,"WKND",INDEX(T_LEAVE[LEAVE CODE],SUMPRODUCT(--(T_LEAVE[NAME]=$B87),--(T_LEAVE[DATE]&lt;=H$8),--(T_LEAVE[DATE]&gt;=H$8),ROW(T_LEAVE[LEAVE CODE]))-ROW(T_LEAVE[#Headers]))))))),"")</f>
        <v/>
      </c>
      <c r="I87" s="75" t="str">
        <f>IFERROR(IF(I$8="","NA",IF(I$8&lt;INDEX(T_EMP[START DATE],ROW($B87)-ROW($B$8)),"NE",IF(AND(INDEX(T_EMP[TERMINATION DATE],ROW($B87)-ROW($B$8))&gt;0,I$8&gt;INDEX(T_EMP[TERMINATION DATE],ROW($B87)-ROW($B$8))),"NE",IF(NOT(ISERROR(MATCH(I$8,L_HOLS,0))),"H",IF(INDEX(L_WKNDVAL,WEEKDAY(I$8,1))=1,"WKND",INDEX(T_LEAVE[LEAVE CODE],SUMPRODUCT(--(T_LEAVE[NAME]=$B87),--(T_LEAVE[DATE]&lt;=I$8),--(T_LEAVE[DATE]&gt;=I$8),ROW(T_LEAVE[LEAVE CODE]))-ROW(T_LEAVE[#Headers]))))))),"")</f>
        <v/>
      </c>
      <c r="J87" s="75" t="str">
        <f>IFERROR(IF(J$8="","NA",IF(J$8&lt;INDEX(T_EMP[START DATE],ROW($B87)-ROW($B$8)),"NE",IF(AND(INDEX(T_EMP[TERMINATION DATE],ROW($B87)-ROW($B$8))&gt;0,J$8&gt;INDEX(T_EMP[TERMINATION DATE],ROW($B87)-ROW($B$8))),"NE",IF(NOT(ISERROR(MATCH(J$8,L_HOLS,0))),"H",IF(INDEX(L_WKNDVAL,WEEKDAY(J$8,1))=1,"WKND",INDEX(T_LEAVE[LEAVE CODE],SUMPRODUCT(--(T_LEAVE[NAME]=$B87),--(T_LEAVE[DATE]&lt;=J$8),--(T_LEAVE[DATE]&gt;=J$8),ROW(T_LEAVE[LEAVE CODE]))-ROW(T_LEAVE[#Headers]))))))),"")</f>
        <v/>
      </c>
      <c r="K87" s="75" t="str">
        <f>IFERROR(IF(K$8="","NA",IF(K$8&lt;INDEX(T_EMP[START DATE],ROW($B87)-ROW($B$8)),"NE",IF(AND(INDEX(T_EMP[TERMINATION DATE],ROW($B87)-ROW($B$8))&gt;0,K$8&gt;INDEX(T_EMP[TERMINATION DATE],ROW($B87)-ROW($B$8))),"NE",IF(NOT(ISERROR(MATCH(K$8,L_HOLS,0))),"H",IF(INDEX(L_WKNDVAL,WEEKDAY(K$8,1))=1,"WKND",INDEX(T_LEAVE[LEAVE CODE],SUMPRODUCT(--(T_LEAVE[NAME]=$B87),--(T_LEAVE[DATE]&lt;=K$8),--(T_LEAVE[DATE]&gt;=K$8),ROW(T_LEAVE[LEAVE CODE]))-ROW(T_LEAVE[#Headers]))))))),"")</f>
        <v/>
      </c>
      <c r="L87" s="75" t="str">
        <f>IFERROR(IF(L$8="","NA",IF(L$8&lt;INDEX(T_EMP[START DATE],ROW($B87)-ROW($B$8)),"NE",IF(AND(INDEX(T_EMP[TERMINATION DATE],ROW($B87)-ROW($B$8))&gt;0,L$8&gt;INDEX(T_EMP[TERMINATION DATE],ROW($B87)-ROW($B$8))),"NE",IF(NOT(ISERROR(MATCH(L$8,L_HOLS,0))),"H",IF(INDEX(L_WKNDVAL,WEEKDAY(L$8,1))=1,"WKND",INDEX(T_LEAVE[LEAVE CODE],SUMPRODUCT(--(T_LEAVE[NAME]=$B87),--(T_LEAVE[DATE]&lt;=L$8),--(T_LEAVE[DATE]&gt;=L$8),ROW(T_LEAVE[LEAVE CODE]))-ROW(T_LEAVE[#Headers]))))))),"")</f>
        <v/>
      </c>
      <c r="M87" s="75" t="str">
        <f>IFERROR(IF(M$8="","NA",IF(M$8&lt;INDEX(T_EMP[START DATE],ROW($B87)-ROW($B$8)),"NE",IF(AND(INDEX(T_EMP[TERMINATION DATE],ROW($B87)-ROW($B$8))&gt;0,M$8&gt;INDEX(T_EMP[TERMINATION DATE],ROW($B87)-ROW($B$8))),"NE",IF(NOT(ISERROR(MATCH(M$8,L_HOLS,0))),"H",IF(INDEX(L_WKNDVAL,WEEKDAY(M$8,1))=1,"WKND",INDEX(T_LEAVE[LEAVE CODE],SUMPRODUCT(--(T_LEAVE[NAME]=$B87),--(T_LEAVE[DATE]&lt;=M$8),--(T_LEAVE[DATE]&gt;=M$8),ROW(T_LEAVE[LEAVE CODE]))-ROW(T_LEAVE[#Headers]))))))),"")</f>
        <v/>
      </c>
      <c r="N87" s="75" t="str">
        <f>IFERROR(IF(N$8="","NA",IF(N$8&lt;INDEX(T_EMP[START DATE],ROW($B87)-ROW($B$8)),"NE",IF(AND(INDEX(T_EMP[TERMINATION DATE],ROW($B87)-ROW($B$8))&gt;0,N$8&gt;INDEX(T_EMP[TERMINATION DATE],ROW($B87)-ROW($B$8))),"NE",IF(NOT(ISERROR(MATCH(N$8,L_HOLS,0))),"H",IF(INDEX(L_WKNDVAL,WEEKDAY(N$8,1))=1,"WKND",INDEX(T_LEAVE[LEAVE CODE],SUMPRODUCT(--(T_LEAVE[NAME]=$B87),--(T_LEAVE[DATE]&lt;=N$8),--(T_LEAVE[DATE]&gt;=N$8),ROW(T_LEAVE[LEAVE CODE]))-ROW(T_LEAVE[#Headers]))))))),"")</f>
        <v/>
      </c>
      <c r="O87" s="75" t="str">
        <f>IFERROR(IF(O$8="","NA",IF(O$8&lt;INDEX(T_EMP[START DATE],ROW($B87)-ROW($B$8)),"NE",IF(AND(INDEX(T_EMP[TERMINATION DATE],ROW($B87)-ROW($B$8))&gt;0,O$8&gt;INDEX(T_EMP[TERMINATION DATE],ROW($B87)-ROW($B$8))),"NE",IF(NOT(ISERROR(MATCH(O$8,L_HOLS,0))),"H",IF(INDEX(L_WKNDVAL,WEEKDAY(O$8,1))=1,"WKND",INDEX(T_LEAVE[LEAVE CODE],SUMPRODUCT(--(T_LEAVE[NAME]=$B87),--(T_LEAVE[DATE]&lt;=O$8),--(T_LEAVE[DATE]&gt;=O$8),ROW(T_LEAVE[LEAVE CODE]))-ROW(T_LEAVE[#Headers]))))))),"")</f>
        <v/>
      </c>
      <c r="P87" s="75" t="str">
        <f>IFERROR(IF(P$8="","NA",IF(P$8&lt;INDEX(T_EMP[START DATE],ROW($B87)-ROW($B$8)),"NE",IF(AND(INDEX(T_EMP[TERMINATION DATE],ROW($B87)-ROW($B$8))&gt;0,P$8&gt;INDEX(T_EMP[TERMINATION DATE],ROW($B87)-ROW($B$8))),"NE",IF(NOT(ISERROR(MATCH(P$8,L_HOLS,0))),"H",IF(INDEX(L_WKNDVAL,WEEKDAY(P$8,1))=1,"WKND",INDEX(T_LEAVE[LEAVE CODE],SUMPRODUCT(--(T_LEAVE[NAME]=$B87),--(T_LEAVE[DATE]&lt;=P$8),--(T_LEAVE[DATE]&gt;=P$8),ROW(T_LEAVE[LEAVE CODE]))-ROW(T_LEAVE[#Headers]))))))),"")</f>
        <v>H</v>
      </c>
      <c r="Q87" s="75" t="str">
        <f>IFERROR(IF(Q$8="","NA",IF(Q$8&lt;INDEX(T_EMP[START DATE],ROW($B87)-ROW($B$8)),"NE",IF(AND(INDEX(T_EMP[TERMINATION DATE],ROW($B87)-ROW($B$8))&gt;0,Q$8&gt;INDEX(T_EMP[TERMINATION DATE],ROW($B87)-ROW($B$8))),"NE",IF(NOT(ISERROR(MATCH(Q$8,L_HOLS,0))),"H",IF(INDEX(L_WKNDVAL,WEEKDAY(Q$8,1))=1,"WKND",INDEX(T_LEAVE[LEAVE CODE],SUMPRODUCT(--(T_LEAVE[NAME]=$B87),--(T_LEAVE[DATE]&lt;=Q$8),--(T_LEAVE[DATE]&gt;=Q$8),ROW(T_LEAVE[LEAVE CODE]))-ROW(T_LEAVE[#Headers]))))))),"")</f>
        <v/>
      </c>
      <c r="R87" s="75" t="str">
        <f>IFERROR(IF(R$8="","NA",IF(R$8&lt;INDEX(T_EMP[START DATE],ROW($B87)-ROW($B$8)),"NE",IF(AND(INDEX(T_EMP[TERMINATION DATE],ROW($B87)-ROW($B$8))&gt;0,R$8&gt;INDEX(T_EMP[TERMINATION DATE],ROW($B87)-ROW($B$8))),"NE",IF(NOT(ISERROR(MATCH(R$8,L_HOLS,0))),"H",IF(INDEX(L_WKNDVAL,WEEKDAY(R$8,1))=1,"WKND",INDEX(T_LEAVE[LEAVE CODE],SUMPRODUCT(--(T_LEAVE[NAME]=$B87),--(T_LEAVE[DATE]&lt;=R$8),--(T_LEAVE[DATE]&gt;=R$8),ROW(T_LEAVE[LEAVE CODE]))-ROW(T_LEAVE[#Headers]))))))),"")</f>
        <v/>
      </c>
      <c r="S87" s="75" t="str">
        <f>IFERROR(IF(S$8="","NA",IF(S$8&lt;INDEX(T_EMP[START DATE],ROW($B87)-ROW($B$8)),"NE",IF(AND(INDEX(T_EMP[TERMINATION DATE],ROW($B87)-ROW($B$8))&gt;0,S$8&gt;INDEX(T_EMP[TERMINATION DATE],ROW($B87)-ROW($B$8))),"NE",IF(NOT(ISERROR(MATCH(S$8,L_HOLS,0))),"H",IF(INDEX(L_WKNDVAL,WEEKDAY(S$8,1))=1,"WKND",INDEX(T_LEAVE[LEAVE CODE],SUMPRODUCT(--(T_LEAVE[NAME]=$B87),--(T_LEAVE[DATE]&lt;=S$8),--(T_LEAVE[DATE]&gt;=S$8),ROW(T_LEAVE[LEAVE CODE]))-ROW(T_LEAVE[#Headers]))))))),"")</f>
        <v/>
      </c>
      <c r="T87" s="75" t="str">
        <f>IFERROR(IF(T$8="","NA",IF(T$8&lt;INDEX(T_EMP[START DATE],ROW($B87)-ROW($B$8)),"NE",IF(AND(INDEX(T_EMP[TERMINATION DATE],ROW($B87)-ROW($B$8))&gt;0,T$8&gt;INDEX(T_EMP[TERMINATION DATE],ROW($B87)-ROW($B$8))),"NE",IF(NOT(ISERROR(MATCH(T$8,L_HOLS,0))),"H",IF(INDEX(L_WKNDVAL,WEEKDAY(T$8,1))=1,"WKND",INDEX(T_LEAVE[LEAVE CODE],SUMPRODUCT(--(T_LEAVE[NAME]=$B87),--(T_LEAVE[DATE]&lt;=T$8),--(T_LEAVE[DATE]&gt;=T$8),ROW(T_LEAVE[LEAVE CODE]))-ROW(T_LEAVE[#Headers]))))))),"")</f>
        <v/>
      </c>
      <c r="U87" s="75" t="str">
        <f>IFERROR(IF(U$8="","NA",IF(U$8&lt;INDEX(T_EMP[START DATE],ROW($B87)-ROW($B$8)),"NE",IF(AND(INDEX(T_EMP[TERMINATION DATE],ROW($B87)-ROW($B$8))&gt;0,U$8&gt;INDEX(T_EMP[TERMINATION DATE],ROW($B87)-ROW($B$8))),"NE",IF(NOT(ISERROR(MATCH(U$8,L_HOLS,0))),"H",IF(INDEX(L_WKNDVAL,WEEKDAY(U$8,1))=1,"WKND",INDEX(T_LEAVE[LEAVE CODE],SUMPRODUCT(--(T_LEAVE[NAME]=$B87),--(T_LEAVE[DATE]&lt;=U$8),--(T_LEAVE[DATE]&gt;=U$8),ROW(T_LEAVE[LEAVE CODE]))-ROW(T_LEAVE[#Headers]))))))),"")</f>
        <v/>
      </c>
      <c r="V87" s="75" t="str">
        <f>IFERROR(IF(V$8="","NA",IF(V$8&lt;INDEX(T_EMP[START DATE],ROW($B87)-ROW($B$8)),"NE",IF(AND(INDEX(T_EMP[TERMINATION DATE],ROW($B87)-ROW($B$8))&gt;0,V$8&gt;INDEX(T_EMP[TERMINATION DATE],ROW($B87)-ROW($B$8))),"NE",IF(NOT(ISERROR(MATCH(V$8,L_HOLS,0))),"H",IF(INDEX(L_WKNDVAL,WEEKDAY(V$8,1))=1,"WKND",INDEX(T_LEAVE[LEAVE CODE],SUMPRODUCT(--(T_LEAVE[NAME]=$B87),--(T_LEAVE[DATE]&lt;=V$8),--(T_LEAVE[DATE]&gt;=V$8),ROW(T_LEAVE[LEAVE CODE]))-ROW(T_LEAVE[#Headers]))))))),"")</f>
        <v/>
      </c>
      <c r="W87" s="75" t="str">
        <f>IFERROR(IF(W$8="","NA",IF(W$8&lt;INDEX(T_EMP[START DATE],ROW($B87)-ROW($B$8)),"NE",IF(AND(INDEX(T_EMP[TERMINATION DATE],ROW($B87)-ROW($B$8))&gt;0,W$8&gt;INDEX(T_EMP[TERMINATION DATE],ROW($B87)-ROW($B$8))),"NE",IF(NOT(ISERROR(MATCH(W$8,L_HOLS,0))),"H",IF(INDEX(L_WKNDVAL,WEEKDAY(W$8,1))=1,"WKND",INDEX(T_LEAVE[LEAVE CODE],SUMPRODUCT(--(T_LEAVE[NAME]=$B87),--(T_LEAVE[DATE]&lt;=W$8),--(T_LEAVE[DATE]&gt;=W$8),ROW(T_LEAVE[LEAVE CODE]))-ROW(T_LEAVE[#Headers]))))))),"")</f>
        <v/>
      </c>
      <c r="X87" s="75" t="str">
        <f>IFERROR(IF(X$8="","NA",IF(X$8&lt;INDEX(T_EMP[START DATE],ROW($B87)-ROW($B$8)),"NE",IF(AND(INDEX(T_EMP[TERMINATION DATE],ROW($B87)-ROW($B$8))&gt;0,X$8&gt;INDEX(T_EMP[TERMINATION DATE],ROW($B87)-ROW($B$8))),"NE",IF(NOT(ISERROR(MATCH(X$8,L_HOLS,0))),"H",IF(INDEX(L_WKNDVAL,WEEKDAY(X$8,1))=1,"WKND",INDEX(T_LEAVE[LEAVE CODE],SUMPRODUCT(--(T_LEAVE[NAME]=$B87),--(T_LEAVE[DATE]&lt;=X$8),--(T_LEAVE[DATE]&gt;=X$8),ROW(T_LEAVE[LEAVE CODE]))-ROW(T_LEAVE[#Headers]))))))),"")</f>
        <v/>
      </c>
      <c r="Y87" s="75" t="str">
        <f>IFERROR(IF(Y$8="","NA",IF(Y$8&lt;INDEX(T_EMP[START DATE],ROW($B87)-ROW($B$8)),"NE",IF(AND(INDEX(T_EMP[TERMINATION DATE],ROW($B87)-ROW($B$8))&gt;0,Y$8&gt;INDEX(T_EMP[TERMINATION DATE],ROW($B87)-ROW($B$8))),"NE",IF(NOT(ISERROR(MATCH(Y$8,L_HOLS,0))),"H",IF(INDEX(L_WKNDVAL,WEEKDAY(Y$8,1))=1,"WKND",INDEX(T_LEAVE[LEAVE CODE],SUMPRODUCT(--(T_LEAVE[NAME]=$B87),--(T_LEAVE[DATE]&lt;=Y$8),--(T_LEAVE[DATE]&gt;=Y$8),ROW(T_LEAVE[LEAVE CODE]))-ROW(T_LEAVE[#Headers]))))))),"")</f>
        <v/>
      </c>
      <c r="Z87" s="75" t="str">
        <f>IFERROR(IF(Z$8="","NA",IF(Z$8&lt;INDEX(T_EMP[START DATE],ROW($B87)-ROW($B$8)),"NE",IF(AND(INDEX(T_EMP[TERMINATION DATE],ROW($B87)-ROW($B$8))&gt;0,Z$8&gt;INDEX(T_EMP[TERMINATION DATE],ROW($B87)-ROW($B$8))),"NE",IF(NOT(ISERROR(MATCH(Z$8,L_HOLS,0))),"H",IF(INDEX(L_WKNDVAL,WEEKDAY(Z$8,1))=1,"WKND",INDEX(T_LEAVE[LEAVE CODE],SUMPRODUCT(--(T_LEAVE[NAME]=$B87),--(T_LEAVE[DATE]&lt;=Z$8),--(T_LEAVE[DATE]&gt;=Z$8),ROW(T_LEAVE[LEAVE CODE]))-ROW(T_LEAVE[#Headers]))))))),"")</f>
        <v/>
      </c>
      <c r="AA87" s="75" t="str">
        <f>IFERROR(IF(AA$8="","NA",IF(AA$8&lt;INDEX(T_EMP[START DATE],ROW($B87)-ROW($B$8)),"NE",IF(AND(INDEX(T_EMP[TERMINATION DATE],ROW($B87)-ROW($B$8))&gt;0,AA$8&gt;INDEX(T_EMP[TERMINATION DATE],ROW($B87)-ROW($B$8))),"NE",IF(NOT(ISERROR(MATCH(AA$8,L_HOLS,0))),"H",IF(INDEX(L_WKNDVAL,WEEKDAY(AA$8,1))=1,"WKND",INDEX(T_LEAVE[LEAVE CODE],SUMPRODUCT(--(T_LEAVE[NAME]=$B87),--(T_LEAVE[DATE]&lt;=AA$8),--(T_LEAVE[DATE]&gt;=AA$8),ROW(T_LEAVE[LEAVE CODE]))-ROW(T_LEAVE[#Headers]))))))),"")</f>
        <v/>
      </c>
      <c r="AB87" s="75" t="str">
        <f>IFERROR(IF(AB$8="","NA",IF(AB$8&lt;INDEX(T_EMP[START DATE],ROW($B87)-ROW($B$8)),"NE",IF(AND(INDEX(T_EMP[TERMINATION DATE],ROW($B87)-ROW($B$8))&gt;0,AB$8&gt;INDEX(T_EMP[TERMINATION DATE],ROW($B87)-ROW($B$8))),"NE",IF(NOT(ISERROR(MATCH(AB$8,L_HOLS,0))),"H",IF(INDEX(L_WKNDVAL,WEEKDAY(AB$8,1))=1,"WKND",INDEX(T_LEAVE[LEAVE CODE],SUMPRODUCT(--(T_LEAVE[NAME]=$B87),--(T_LEAVE[DATE]&lt;=AB$8),--(T_LEAVE[DATE]&gt;=AB$8),ROW(T_LEAVE[LEAVE CODE]))-ROW(T_LEAVE[#Headers]))))))),"")</f>
        <v/>
      </c>
      <c r="AC87" s="75" t="str">
        <f>IFERROR(IF(AC$8="","NA",IF(AC$8&lt;INDEX(T_EMP[START DATE],ROW($B87)-ROW($B$8)),"NE",IF(AND(INDEX(T_EMP[TERMINATION DATE],ROW($B87)-ROW($B$8))&gt;0,AC$8&gt;INDEX(T_EMP[TERMINATION DATE],ROW($B87)-ROW($B$8))),"NE",IF(NOT(ISERROR(MATCH(AC$8,L_HOLS,0))),"H",IF(INDEX(L_WKNDVAL,WEEKDAY(AC$8,1))=1,"WKND",INDEX(T_LEAVE[LEAVE CODE],SUMPRODUCT(--(T_LEAVE[NAME]=$B87),--(T_LEAVE[DATE]&lt;=AC$8),--(T_LEAVE[DATE]&gt;=AC$8),ROW(T_LEAVE[LEAVE CODE]))-ROW(T_LEAVE[#Headers]))))))),"")</f>
        <v/>
      </c>
      <c r="AD87" s="75" t="str">
        <f>IFERROR(IF(AD$8="","NA",IF(AD$8&lt;INDEX(T_EMP[START DATE],ROW($B87)-ROW($B$8)),"NE",IF(AND(INDEX(T_EMP[TERMINATION DATE],ROW($B87)-ROW($B$8))&gt;0,AD$8&gt;INDEX(T_EMP[TERMINATION DATE],ROW($B87)-ROW($B$8))),"NE",IF(NOT(ISERROR(MATCH(AD$8,L_HOLS,0))),"H",IF(INDEX(L_WKNDVAL,WEEKDAY(AD$8,1))=1,"WKND",INDEX(T_LEAVE[LEAVE CODE],SUMPRODUCT(--(T_LEAVE[NAME]=$B87),--(T_LEAVE[DATE]&lt;=AD$8),--(T_LEAVE[DATE]&gt;=AD$8),ROW(T_LEAVE[LEAVE CODE]))-ROW(T_LEAVE[#Headers]))))))),"")</f>
        <v/>
      </c>
      <c r="AE87" s="75" t="str">
        <f>IFERROR(IF(AE$8="","NA",IF(AE$8&lt;INDEX(T_EMP[START DATE],ROW($B87)-ROW($B$8)),"NE",IF(AND(INDEX(T_EMP[TERMINATION DATE],ROW($B87)-ROW($B$8))&gt;0,AE$8&gt;INDEX(T_EMP[TERMINATION DATE],ROW($B87)-ROW($B$8))),"NE",IF(NOT(ISERROR(MATCH(AE$8,L_HOLS,0))),"H",IF(INDEX(L_WKNDVAL,WEEKDAY(AE$8,1))=1,"WKND",INDEX(T_LEAVE[LEAVE CODE],SUMPRODUCT(--(T_LEAVE[NAME]=$B87),--(T_LEAVE[DATE]&lt;=AE$8),--(T_LEAVE[DATE]&gt;=AE$8),ROW(T_LEAVE[LEAVE CODE]))-ROW(T_LEAVE[#Headers]))))))),"")</f>
        <v/>
      </c>
      <c r="AF87" s="75" t="str">
        <f>IFERROR(IF(AF$8="","NA",IF(AF$8&lt;INDEX(T_EMP[START DATE],ROW($B87)-ROW($B$8)),"NE",IF(AND(INDEX(T_EMP[TERMINATION DATE],ROW($B87)-ROW($B$8))&gt;0,AF$8&gt;INDEX(T_EMP[TERMINATION DATE],ROW($B87)-ROW($B$8))),"NE",IF(NOT(ISERROR(MATCH(AF$8,L_HOLS,0))),"H",IF(INDEX(L_WKNDVAL,WEEKDAY(AF$8,1))=1,"WKND",INDEX(T_LEAVE[LEAVE CODE],SUMPRODUCT(--(T_LEAVE[NAME]=$B87),--(T_LEAVE[DATE]&lt;=AF$8),--(T_LEAVE[DATE]&gt;=AF$8),ROW(T_LEAVE[LEAVE CODE]))-ROW(T_LEAVE[#Headers]))))))),"")</f>
        <v/>
      </c>
      <c r="AG87" s="75" t="str">
        <f>IFERROR(IF(AG$8="","NA",IF(AG$8&lt;INDEX(T_EMP[START DATE],ROW($B87)-ROW($B$8)),"NE",IF(AND(INDEX(T_EMP[TERMINATION DATE],ROW($B87)-ROW($B$8))&gt;0,AG$8&gt;INDEX(T_EMP[TERMINATION DATE],ROW($B87)-ROW($B$8))),"NE",IF(NOT(ISERROR(MATCH(AG$8,L_HOLS,0))),"H",IF(INDEX(L_WKNDVAL,WEEKDAY(AG$8,1))=1,"WKND",INDEX(T_LEAVE[LEAVE CODE],SUMPRODUCT(--(T_LEAVE[NAME]=$B87),--(T_LEAVE[DATE]&lt;=AG$8),--(T_LEAVE[DATE]&gt;=AG$8),ROW(T_LEAVE[LEAVE CODE]))-ROW(T_LEAVE[#Headers]))))))),"")</f>
        <v/>
      </c>
      <c r="AH87" s="75" t="str">
        <f>IFERROR(IF(AH$8="","NA",IF(AH$8&lt;INDEX(T_EMP[START DATE],ROW($B87)-ROW($B$8)),"NE",IF(AND(INDEX(T_EMP[TERMINATION DATE],ROW($B87)-ROW($B$8))&gt;0,AH$8&gt;INDEX(T_EMP[TERMINATION DATE],ROW($B87)-ROW($B$8))),"NE",IF(NOT(ISERROR(MATCH(AH$8,L_HOLS,0))),"H",IF(INDEX(L_WKNDVAL,WEEKDAY(AH$8,1))=1,"WKND",INDEX(T_LEAVE[LEAVE CODE],SUMPRODUCT(--(T_LEAVE[NAME]=$B87),--(T_LEAVE[DATE]&lt;=AH$8),--(T_LEAVE[DATE]&gt;=AH$8),ROW(T_LEAVE[LEAVE CODE]))-ROW(T_LEAVE[#Headers]))))))),"")</f>
        <v/>
      </c>
      <c r="AJ87" s="88">
        <f>IF(OR($B87="",AJ$8=""),"",COUNTIFS($D87:$AH87,AJ$8)*INDEX(T_LEAVETYPE[DAY VALUE],1))</f>
        <v>0</v>
      </c>
      <c r="AK87" s="88">
        <f>IF(OR($B87="",AK$8=""),"",COUNTIFS($D87:$AH87,AK$8)*INDEX(T_LEAVETYPE[DAY VALUE],1))</f>
        <v>0</v>
      </c>
      <c r="AL87" s="88">
        <f>IF(OR($B87="",AL$8=""),"",COUNTIFS($D87:$AH87,AL$8)*INDEX(T_LEAVETYPE[DAY VALUE],1))</f>
        <v>0</v>
      </c>
      <c r="AM87" s="88">
        <f>IF(OR($B87="",AM$8=""),"",COUNTIFS($D87:$AH87,AM$8)*INDEX(T_LEAVETYPE[DAY VALUE],1))</f>
        <v>0</v>
      </c>
      <c r="AN87" s="88">
        <f>IF(OR($B87="",AN$8=""),"",COUNTIFS($D87:$AH87,AN$8)*INDEX(T_LEAVETYPE[DAY VALUE],1))</f>
        <v>0</v>
      </c>
      <c r="AO87" s="88">
        <f>IF(OR($B87="",AO$8=""),"",COUNTIFS($D87:$AH87,AO$8)*INDEX(T_LEAVETYPE[DAY VALUE],6))</f>
        <v>0</v>
      </c>
      <c r="AP87" s="88">
        <f>IF(OR($B87="",AP$8=""),"",COUNTIFS($D87:$AH87,AP$8)*INDEX(T_LEAVETYPE[DAY VALUE],7))</f>
        <v>0</v>
      </c>
      <c r="AQ87" s="88">
        <f>IF(OR($B87="",AQ$8=""),"",COUNTIFS($D87:$AH87,AQ$8)*INDEX(T_LEAVETYPE[DAY VALUE],8))</f>
        <v>0</v>
      </c>
      <c r="AR87" s="89">
        <f t="shared" si="5"/>
        <v>0</v>
      </c>
    </row>
    <row r="88" spans="1:44" x14ac:dyDescent="0.25">
      <c r="A88" s="90">
        <f t="shared" si="4"/>
        <v>80</v>
      </c>
      <c r="B88" s="74" t="str">
        <f>IFERROR(INDEX(T_EMP[NAME],ROW(B88)-ROW($B$8)),"")</f>
        <v>ANGELES, RODEL</v>
      </c>
      <c r="C88" s="91" t="str">
        <f>IFERROR(INDEX(T_EMP[DEPARTMENT],ROW(B88)-ROW($C$8)),"")</f>
        <v>IB SUPPORT</v>
      </c>
      <c r="D88" s="75" t="str">
        <f>IFERROR(IF(D$8="","NA",IF(D$8&lt;INDEX(T_EMP[START DATE],ROW($B88)-ROW($B$8)),"NE",IF(AND(INDEX(T_EMP[TERMINATION DATE],ROW($B88)-ROW($B$8))&gt;0,D$8&gt;INDEX(T_EMP[TERMINATION DATE],ROW($B88)-ROW($B$8))),"NE",IF(NOT(ISERROR(MATCH(D$8,L_HOLS,0))),"H",IF(INDEX(L_WKNDVAL,WEEKDAY(D$8,1))=1,"WKND",INDEX(T_LEAVE[LEAVE CODE],SUMPRODUCT(--(T_LEAVE[NAME]=$B88),--(T_LEAVE[DATE]&lt;=D$8),--(T_LEAVE[DATE]&gt;=D$8),ROW(T_LEAVE[LEAVE CODE]))-ROW(T_LEAVE[#Headers]))))))),"")</f>
        <v>H</v>
      </c>
      <c r="E88" s="75" t="str">
        <f>IFERROR(IF(E$8="","NA",IF(E$8&lt;INDEX(T_EMP[START DATE],ROW($B88)-ROW($B$8)),"NE",IF(AND(INDEX(T_EMP[TERMINATION DATE],ROW($B88)-ROW($B$8))&gt;0,E$8&gt;INDEX(T_EMP[TERMINATION DATE],ROW($B88)-ROW($B$8))),"NE",IF(NOT(ISERROR(MATCH(E$8,L_HOLS,0))),"H",IF(INDEX(L_WKNDVAL,WEEKDAY(E$8,1))=1,"WKND",INDEX(T_LEAVE[LEAVE CODE],SUMPRODUCT(--(T_LEAVE[NAME]=$B88),--(T_LEAVE[DATE]&lt;=E$8),--(T_LEAVE[DATE]&gt;=E$8),ROW(T_LEAVE[LEAVE CODE]))-ROW(T_LEAVE[#Headers]))))))),"")</f>
        <v/>
      </c>
      <c r="F88" s="75" t="str">
        <f>IFERROR(IF(F$8="","NA",IF(F$8&lt;INDEX(T_EMP[START DATE],ROW($B88)-ROW($B$8)),"NE",IF(AND(INDEX(T_EMP[TERMINATION DATE],ROW($B88)-ROW($B$8))&gt;0,F$8&gt;INDEX(T_EMP[TERMINATION DATE],ROW($B88)-ROW($B$8))),"NE",IF(NOT(ISERROR(MATCH(F$8,L_HOLS,0))),"H",IF(INDEX(L_WKNDVAL,WEEKDAY(F$8,1))=1,"WKND",INDEX(T_LEAVE[LEAVE CODE],SUMPRODUCT(--(T_LEAVE[NAME]=$B88),--(T_LEAVE[DATE]&lt;=F$8),--(T_LEAVE[DATE]&gt;=F$8),ROW(T_LEAVE[LEAVE CODE]))-ROW(T_LEAVE[#Headers]))))))),"")</f>
        <v/>
      </c>
      <c r="G88" s="75" t="str">
        <f>IFERROR(IF(G$8="","NA",IF(G$8&lt;INDEX(T_EMP[START DATE],ROW($B88)-ROW($B$8)),"NE",IF(AND(INDEX(T_EMP[TERMINATION DATE],ROW($B88)-ROW($B$8))&gt;0,G$8&gt;INDEX(T_EMP[TERMINATION DATE],ROW($B88)-ROW($B$8))),"NE",IF(NOT(ISERROR(MATCH(G$8,L_HOLS,0))),"H",IF(INDEX(L_WKNDVAL,WEEKDAY(G$8,1))=1,"WKND",INDEX(T_LEAVE[LEAVE CODE],SUMPRODUCT(--(T_LEAVE[NAME]=$B88),--(T_LEAVE[DATE]&lt;=G$8),--(T_LEAVE[DATE]&gt;=G$8),ROW(T_LEAVE[LEAVE CODE]))-ROW(T_LEAVE[#Headers]))))))),"")</f>
        <v/>
      </c>
      <c r="H88" s="75" t="str">
        <f>IFERROR(IF(H$8="","NA",IF(H$8&lt;INDEX(T_EMP[START DATE],ROW($B88)-ROW($B$8)),"NE",IF(AND(INDEX(T_EMP[TERMINATION DATE],ROW($B88)-ROW($B$8))&gt;0,H$8&gt;INDEX(T_EMP[TERMINATION DATE],ROW($B88)-ROW($B$8))),"NE",IF(NOT(ISERROR(MATCH(H$8,L_HOLS,0))),"H",IF(INDEX(L_WKNDVAL,WEEKDAY(H$8,1))=1,"WKND",INDEX(T_LEAVE[LEAVE CODE],SUMPRODUCT(--(T_LEAVE[NAME]=$B88),--(T_LEAVE[DATE]&lt;=H$8),--(T_LEAVE[DATE]&gt;=H$8),ROW(T_LEAVE[LEAVE CODE]))-ROW(T_LEAVE[#Headers]))))))),"")</f>
        <v/>
      </c>
      <c r="I88" s="75" t="str">
        <f>IFERROR(IF(I$8="","NA",IF(I$8&lt;INDEX(T_EMP[START DATE],ROW($B88)-ROW($B$8)),"NE",IF(AND(INDEX(T_EMP[TERMINATION DATE],ROW($B88)-ROW($B$8))&gt;0,I$8&gt;INDEX(T_EMP[TERMINATION DATE],ROW($B88)-ROW($B$8))),"NE",IF(NOT(ISERROR(MATCH(I$8,L_HOLS,0))),"H",IF(INDEX(L_WKNDVAL,WEEKDAY(I$8,1))=1,"WKND",INDEX(T_LEAVE[LEAVE CODE],SUMPRODUCT(--(T_LEAVE[NAME]=$B88),--(T_LEAVE[DATE]&lt;=I$8),--(T_LEAVE[DATE]&gt;=I$8),ROW(T_LEAVE[LEAVE CODE]))-ROW(T_LEAVE[#Headers]))))))),"")</f>
        <v/>
      </c>
      <c r="J88" s="75" t="str">
        <f>IFERROR(IF(J$8="","NA",IF(J$8&lt;INDEX(T_EMP[START DATE],ROW($B88)-ROW($B$8)),"NE",IF(AND(INDEX(T_EMP[TERMINATION DATE],ROW($B88)-ROW($B$8))&gt;0,J$8&gt;INDEX(T_EMP[TERMINATION DATE],ROW($B88)-ROW($B$8))),"NE",IF(NOT(ISERROR(MATCH(J$8,L_HOLS,0))),"H",IF(INDEX(L_WKNDVAL,WEEKDAY(J$8,1))=1,"WKND",INDEX(T_LEAVE[LEAVE CODE],SUMPRODUCT(--(T_LEAVE[NAME]=$B88),--(T_LEAVE[DATE]&lt;=J$8),--(T_LEAVE[DATE]&gt;=J$8),ROW(T_LEAVE[LEAVE CODE]))-ROW(T_LEAVE[#Headers]))))))),"")</f>
        <v/>
      </c>
      <c r="K88" s="75" t="str">
        <f>IFERROR(IF(K$8="","NA",IF(K$8&lt;INDEX(T_EMP[START DATE],ROW($B88)-ROW($B$8)),"NE",IF(AND(INDEX(T_EMP[TERMINATION DATE],ROW($B88)-ROW($B$8))&gt;0,K$8&gt;INDEX(T_EMP[TERMINATION DATE],ROW($B88)-ROW($B$8))),"NE",IF(NOT(ISERROR(MATCH(K$8,L_HOLS,0))),"H",IF(INDEX(L_WKNDVAL,WEEKDAY(K$8,1))=1,"WKND",INDEX(T_LEAVE[LEAVE CODE],SUMPRODUCT(--(T_LEAVE[NAME]=$B88),--(T_LEAVE[DATE]&lt;=K$8),--(T_LEAVE[DATE]&gt;=K$8),ROW(T_LEAVE[LEAVE CODE]))-ROW(T_LEAVE[#Headers]))))))),"")</f>
        <v/>
      </c>
      <c r="L88" s="75" t="str">
        <f>IFERROR(IF(L$8="","NA",IF(L$8&lt;INDEX(T_EMP[START DATE],ROW($B88)-ROW($B$8)),"NE",IF(AND(INDEX(T_EMP[TERMINATION DATE],ROW($B88)-ROW($B$8))&gt;0,L$8&gt;INDEX(T_EMP[TERMINATION DATE],ROW($B88)-ROW($B$8))),"NE",IF(NOT(ISERROR(MATCH(L$8,L_HOLS,0))),"H",IF(INDEX(L_WKNDVAL,WEEKDAY(L$8,1))=1,"WKND",INDEX(T_LEAVE[LEAVE CODE],SUMPRODUCT(--(T_LEAVE[NAME]=$B88),--(T_LEAVE[DATE]&lt;=L$8),--(T_LEAVE[DATE]&gt;=L$8),ROW(T_LEAVE[LEAVE CODE]))-ROW(T_LEAVE[#Headers]))))))),"")</f>
        <v/>
      </c>
      <c r="M88" s="75" t="str">
        <f>IFERROR(IF(M$8="","NA",IF(M$8&lt;INDEX(T_EMP[START DATE],ROW($B88)-ROW($B$8)),"NE",IF(AND(INDEX(T_EMP[TERMINATION DATE],ROW($B88)-ROW($B$8))&gt;0,M$8&gt;INDEX(T_EMP[TERMINATION DATE],ROW($B88)-ROW($B$8))),"NE",IF(NOT(ISERROR(MATCH(M$8,L_HOLS,0))),"H",IF(INDEX(L_WKNDVAL,WEEKDAY(M$8,1))=1,"WKND",INDEX(T_LEAVE[LEAVE CODE],SUMPRODUCT(--(T_LEAVE[NAME]=$B88),--(T_LEAVE[DATE]&lt;=M$8),--(T_LEAVE[DATE]&gt;=M$8),ROW(T_LEAVE[LEAVE CODE]))-ROW(T_LEAVE[#Headers]))))))),"")</f>
        <v/>
      </c>
      <c r="N88" s="75" t="str">
        <f>IFERROR(IF(N$8="","NA",IF(N$8&lt;INDEX(T_EMP[START DATE],ROW($B88)-ROW($B$8)),"NE",IF(AND(INDEX(T_EMP[TERMINATION DATE],ROW($B88)-ROW($B$8))&gt;0,N$8&gt;INDEX(T_EMP[TERMINATION DATE],ROW($B88)-ROW($B$8))),"NE",IF(NOT(ISERROR(MATCH(N$8,L_HOLS,0))),"H",IF(INDEX(L_WKNDVAL,WEEKDAY(N$8,1))=1,"WKND",INDEX(T_LEAVE[LEAVE CODE],SUMPRODUCT(--(T_LEAVE[NAME]=$B88),--(T_LEAVE[DATE]&lt;=N$8),--(T_LEAVE[DATE]&gt;=N$8),ROW(T_LEAVE[LEAVE CODE]))-ROW(T_LEAVE[#Headers]))))))),"")</f>
        <v/>
      </c>
      <c r="O88" s="75" t="str">
        <f>IFERROR(IF(O$8="","NA",IF(O$8&lt;INDEX(T_EMP[START DATE],ROW($B88)-ROW($B$8)),"NE",IF(AND(INDEX(T_EMP[TERMINATION DATE],ROW($B88)-ROW($B$8))&gt;0,O$8&gt;INDEX(T_EMP[TERMINATION DATE],ROW($B88)-ROW($B$8))),"NE",IF(NOT(ISERROR(MATCH(O$8,L_HOLS,0))),"H",IF(INDEX(L_WKNDVAL,WEEKDAY(O$8,1))=1,"WKND",INDEX(T_LEAVE[LEAVE CODE],SUMPRODUCT(--(T_LEAVE[NAME]=$B88),--(T_LEAVE[DATE]&lt;=O$8),--(T_LEAVE[DATE]&gt;=O$8),ROW(T_LEAVE[LEAVE CODE]))-ROW(T_LEAVE[#Headers]))))))),"")</f>
        <v/>
      </c>
      <c r="P88" s="75" t="str">
        <f>IFERROR(IF(P$8="","NA",IF(P$8&lt;INDEX(T_EMP[START DATE],ROW($B88)-ROW($B$8)),"NE",IF(AND(INDEX(T_EMP[TERMINATION DATE],ROW($B88)-ROW($B$8))&gt;0,P$8&gt;INDEX(T_EMP[TERMINATION DATE],ROW($B88)-ROW($B$8))),"NE",IF(NOT(ISERROR(MATCH(P$8,L_HOLS,0))),"H",IF(INDEX(L_WKNDVAL,WEEKDAY(P$8,1))=1,"WKND",INDEX(T_LEAVE[LEAVE CODE],SUMPRODUCT(--(T_LEAVE[NAME]=$B88),--(T_LEAVE[DATE]&lt;=P$8),--(T_LEAVE[DATE]&gt;=P$8),ROW(T_LEAVE[LEAVE CODE]))-ROW(T_LEAVE[#Headers]))))))),"")</f>
        <v>H</v>
      </c>
      <c r="Q88" s="75" t="str">
        <f>IFERROR(IF(Q$8="","NA",IF(Q$8&lt;INDEX(T_EMP[START DATE],ROW($B88)-ROW($B$8)),"NE",IF(AND(INDEX(T_EMP[TERMINATION DATE],ROW($B88)-ROW($B$8))&gt;0,Q$8&gt;INDEX(T_EMP[TERMINATION DATE],ROW($B88)-ROW($B$8))),"NE",IF(NOT(ISERROR(MATCH(Q$8,L_HOLS,0))),"H",IF(INDEX(L_WKNDVAL,WEEKDAY(Q$8,1))=1,"WKND",INDEX(T_LEAVE[LEAVE CODE],SUMPRODUCT(--(T_LEAVE[NAME]=$B88),--(T_LEAVE[DATE]&lt;=Q$8),--(T_LEAVE[DATE]&gt;=Q$8),ROW(T_LEAVE[LEAVE CODE]))-ROW(T_LEAVE[#Headers]))))))),"")</f>
        <v/>
      </c>
      <c r="R88" s="75" t="str">
        <f>IFERROR(IF(R$8="","NA",IF(R$8&lt;INDEX(T_EMP[START DATE],ROW($B88)-ROW($B$8)),"NE",IF(AND(INDEX(T_EMP[TERMINATION DATE],ROW($B88)-ROW($B$8))&gt;0,R$8&gt;INDEX(T_EMP[TERMINATION DATE],ROW($B88)-ROW($B$8))),"NE",IF(NOT(ISERROR(MATCH(R$8,L_HOLS,0))),"H",IF(INDEX(L_WKNDVAL,WEEKDAY(R$8,1))=1,"WKND",INDEX(T_LEAVE[LEAVE CODE],SUMPRODUCT(--(T_LEAVE[NAME]=$B88),--(T_LEAVE[DATE]&lt;=R$8),--(T_LEAVE[DATE]&gt;=R$8),ROW(T_LEAVE[LEAVE CODE]))-ROW(T_LEAVE[#Headers]))))))),"")</f>
        <v/>
      </c>
      <c r="S88" s="75" t="str">
        <f>IFERROR(IF(S$8="","NA",IF(S$8&lt;INDEX(T_EMP[START DATE],ROW($B88)-ROW($B$8)),"NE",IF(AND(INDEX(T_EMP[TERMINATION DATE],ROW($B88)-ROW($B$8))&gt;0,S$8&gt;INDEX(T_EMP[TERMINATION DATE],ROW($B88)-ROW($B$8))),"NE",IF(NOT(ISERROR(MATCH(S$8,L_HOLS,0))),"H",IF(INDEX(L_WKNDVAL,WEEKDAY(S$8,1))=1,"WKND",INDEX(T_LEAVE[LEAVE CODE],SUMPRODUCT(--(T_LEAVE[NAME]=$B88),--(T_LEAVE[DATE]&lt;=S$8),--(T_LEAVE[DATE]&gt;=S$8),ROW(T_LEAVE[LEAVE CODE]))-ROW(T_LEAVE[#Headers]))))))),"")</f>
        <v/>
      </c>
      <c r="T88" s="75" t="str">
        <f>IFERROR(IF(T$8="","NA",IF(T$8&lt;INDEX(T_EMP[START DATE],ROW($B88)-ROW($B$8)),"NE",IF(AND(INDEX(T_EMP[TERMINATION DATE],ROW($B88)-ROW($B$8))&gt;0,T$8&gt;INDEX(T_EMP[TERMINATION DATE],ROW($B88)-ROW($B$8))),"NE",IF(NOT(ISERROR(MATCH(T$8,L_HOLS,0))),"H",IF(INDEX(L_WKNDVAL,WEEKDAY(T$8,1))=1,"WKND",INDEX(T_LEAVE[LEAVE CODE],SUMPRODUCT(--(T_LEAVE[NAME]=$B88),--(T_LEAVE[DATE]&lt;=T$8),--(T_LEAVE[DATE]&gt;=T$8),ROW(T_LEAVE[LEAVE CODE]))-ROW(T_LEAVE[#Headers]))))))),"")</f>
        <v/>
      </c>
      <c r="U88" s="75" t="str">
        <f>IFERROR(IF(U$8="","NA",IF(U$8&lt;INDEX(T_EMP[START DATE],ROW($B88)-ROW($B$8)),"NE",IF(AND(INDEX(T_EMP[TERMINATION DATE],ROW($B88)-ROW($B$8))&gt;0,U$8&gt;INDEX(T_EMP[TERMINATION DATE],ROW($B88)-ROW($B$8))),"NE",IF(NOT(ISERROR(MATCH(U$8,L_HOLS,0))),"H",IF(INDEX(L_WKNDVAL,WEEKDAY(U$8,1))=1,"WKND",INDEX(T_LEAVE[LEAVE CODE],SUMPRODUCT(--(T_LEAVE[NAME]=$B88),--(T_LEAVE[DATE]&lt;=U$8),--(T_LEAVE[DATE]&gt;=U$8),ROW(T_LEAVE[LEAVE CODE]))-ROW(T_LEAVE[#Headers]))))))),"")</f>
        <v/>
      </c>
      <c r="V88" s="75" t="str">
        <f>IFERROR(IF(V$8="","NA",IF(V$8&lt;INDEX(T_EMP[START DATE],ROW($B88)-ROW($B$8)),"NE",IF(AND(INDEX(T_EMP[TERMINATION DATE],ROW($B88)-ROW($B$8))&gt;0,V$8&gt;INDEX(T_EMP[TERMINATION DATE],ROW($B88)-ROW($B$8))),"NE",IF(NOT(ISERROR(MATCH(V$8,L_HOLS,0))),"H",IF(INDEX(L_WKNDVAL,WEEKDAY(V$8,1))=1,"WKND",INDEX(T_LEAVE[LEAVE CODE],SUMPRODUCT(--(T_LEAVE[NAME]=$B88),--(T_LEAVE[DATE]&lt;=V$8),--(T_LEAVE[DATE]&gt;=V$8),ROW(T_LEAVE[LEAVE CODE]))-ROW(T_LEAVE[#Headers]))))))),"")</f>
        <v/>
      </c>
      <c r="W88" s="75" t="str">
        <f>IFERROR(IF(W$8="","NA",IF(W$8&lt;INDEX(T_EMP[START DATE],ROW($B88)-ROW($B$8)),"NE",IF(AND(INDEX(T_EMP[TERMINATION DATE],ROW($B88)-ROW($B$8))&gt;0,W$8&gt;INDEX(T_EMP[TERMINATION DATE],ROW($B88)-ROW($B$8))),"NE",IF(NOT(ISERROR(MATCH(W$8,L_HOLS,0))),"H",IF(INDEX(L_WKNDVAL,WEEKDAY(W$8,1))=1,"WKND",INDEX(T_LEAVE[LEAVE CODE],SUMPRODUCT(--(T_LEAVE[NAME]=$B88),--(T_LEAVE[DATE]&lt;=W$8),--(T_LEAVE[DATE]&gt;=W$8),ROW(T_LEAVE[LEAVE CODE]))-ROW(T_LEAVE[#Headers]))))))),"")</f>
        <v/>
      </c>
      <c r="X88" s="75" t="str">
        <f>IFERROR(IF(X$8="","NA",IF(X$8&lt;INDEX(T_EMP[START DATE],ROW($B88)-ROW($B$8)),"NE",IF(AND(INDEX(T_EMP[TERMINATION DATE],ROW($B88)-ROW($B$8))&gt;0,X$8&gt;INDEX(T_EMP[TERMINATION DATE],ROW($B88)-ROW($B$8))),"NE",IF(NOT(ISERROR(MATCH(X$8,L_HOLS,0))),"H",IF(INDEX(L_WKNDVAL,WEEKDAY(X$8,1))=1,"WKND",INDEX(T_LEAVE[LEAVE CODE],SUMPRODUCT(--(T_LEAVE[NAME]=$B88),--(T_LEAVE[DATE]&lt;=X$8),--(T_LEAVE[DATE]&gt;=X$8),ROW(T_LEAVE[LEAVE CODE]))-ROW(T_LEAVE[#Headers]))))))),"")</f>
        <v/>
      </c>
      <c r="Y88" s="75" t="str">
        <f>IFERROR(IF(Y$8="","NA",IF(Y$8&lt;INDEX(T_EMP[START DATE],ROW($B88)-ROW($B$8)),"NE",IF(AND(INDEX(T_EMP[TERMINATION DATE],ROW($B88)-ROW($B$8))&gt;0,Y$8&gt;INDEX(T_EMP[TERMINATION DATE],ROW($B88)-ROW($B$8))),"NE",IF(NOT(ISERROR(MATCH(Y$8,L_HOLS,0))),"H",IF(INDEX(L_WKNDVAL,WEEKDAY(Y$8,1))=1,"WKND",INDEX(T_LEAVE[LEAVE CODE],SUMPRODUCT(--(T_LEAVE[NAME]=$B88),--(T_LEAVE[DATE]&lt;=Y$8),--(T_LEAVE[DATE]&gt;=Y$8),ROW(T_LEAVE[LEAVE CODE]))-ROW(T_LEAVE[#Headers]))))))),"")</f>
        <v/>
      </c>
      <c r="Z88" s="75" t="str">
        <f>IFERROR(IF(Z$8="","NA",IF(Z$8&lt;INDEX(T_EMP[START DATE],ROW($B88)-ROW($B$8)),"NE",IF(AND(INDEX(T_EMP[TERMINATION DATE],ROW($B88)-ROW($B$8))&gt;0,Z$8&gt;INDEX(T_EMP[TERMINATION DATE],ROW($B88)-ROW($B$8))),"NE",IF(NOT(ISERROR(MATCH(Z$8,L_HOLS,0))),"H",IF(INDEX(L_WKNDVAL,WEEKDAY(Z$8,1))=1,"WKND",INDEX(T_LEAVE[LEAVE CODE],SUMPRODUCT(--(T_LEAVE[NAME]=$B88),--(T_LEAVE[DATE]&lt;=Z$8),--(T_LEAVE[DATE]&gt;=Z$8),ROW(T_LEAVE[LEAVE CODE]))-ROW(T_LEAVE[#Headers]))))))),"")</f>
        <v/>
      </c>
      <c r="AA88" s="75" t="str">
        <f>IFERROR(IF(AA$8="","NA",IF(AA$8&lt;INDEX(T_EMP[START DATE],ROW($B88)-ROW($B$8)),"NE",IF(AND(INDEX(T_EMP[TERMINATION DATE],ROW($B88)-ROW($B$8))&gt;0,AA$8&gt;INDEX(T_EMP[TERMINATION DATE],ROW($B88)-ROW($B$8))),"NE",IF(NOT(ISERROR(MATCH(AA$8,L_HOLS,0))),"H",IF(INDEX(L_WKNDVAL,WEEKDAY(AA$8,1))=1,"WKND",INDEX(T_LEAVE[LEAVE CODE],SUMPRODUCT(--(T_LEAVE[NAME]=$B88),--(T_LEAVE[DATE]&lt;=AA$8),--(T_LEAVE[DATE]&gt;=AA$8),ROW(T_LEAVE[LEAVE CODE]))-ROW(T_LEAVE[#Headers]))))))),"")</f>
        <v/>
      </c>
      <c r="AB88" s="75" t="str">
        <f>IFERROR(IF(AB$8="","NA",IF(AB$8&lt;INDEX(T_EMP[START DATE],ROW($B88)-ROW($B$8)),"NE",IF(AND(INDEX(T_EMP[TERMINATION DATE],ROW($B88)-ROW($B$8))&gt;0,AB$8&gt;INDEX(T_EMP[TERMINATION DATE],ROW($B88)-ROW($B$8))),"NE",IF(NOT(ISERROR(MATCH(AB$8,L_HOLS,0))),"H",IF(INDEX(L_WKNDVAL,WEEKDAY(AB$8,1))=1,"WKND",INDEX(T_LEAVE[LEAVE CODE],SUMPRODUCT(--(T_LEAVE[NAME]=$B88),--(T_LEAVE[DATE]&lt;=AB$8),--(T_LEAVE[DATE]&gt;=AB$8),ROW(T_LEAVE[LEAVE CODE]))-ROW(T_LEAVE[#Headers]))))))),"")</f>
        <v/>
      </c>
      <c r="AC88" s="75" t="str">
        <f>IFERROR(IF(AC$8="","NA",IF(AC$8&lt;INDEX(T_EMP[START DATE],ROW($B88)-ROW($B$8)),"NE",IF(AND(INDEX(T_EMP[TERMINATION DATE],ROW($B88)-ROW($B$8))&gt;0,AC$8&gt;INDEX(T_EMP[TERMINATION DATE],ROW($B88)-ROW($B$8))),"NE",IF(NOT(ISERROR(MATCH(AC$8,L_HOLS,0))),"H",IF(INDEX(L_WKNDVAL,WEEKDAY(AC$8,1))=1,"WKND",INDEX(T_LEAVE[LEAVE CODE],SUMPRODUCT(--(T_LEAVE[NAME]=$B88),--(T_LEAVE[DATE]&lt;=AC$8),--(T_LEAVE[DATE]&gt;=AC$8),ROW(T_LEAVE[LEAVE CODE]))-ROW(T_LEAVE[#Headers]))))))),"")</f>
        <v/>
      </c>
      <c r="AD88" s="75" t="str">
        <f>IFERROR(IF(AD$8="","NA",IF(AD$8&lt;INDEX(T_EMP[START DATE],ROW($B88)-ROW($B$8)),"NE",IF(AND(INDEX(T_EMP[TERMINATION DATE],ROW($B88)-ROW($B$8))&gt;0,AD$8&gt;INDEX(T_EMP[TERMINATION DATE],ROW($B88)-ROW($B$8))),"NE",IF(NOT(ISERROR(MATCH(AD$8,L_HOLS,0))),"H",IF(INDEX(L_WKNDVAL,WEEKDAY(AD$8,1))=1,"WKND",INDEX(T_LEAVE[LEAVE CODE],SUMPRODUCT(--(T_LEAVE[NAME]=$B88),--(T_LEAVE[DATE]&lt;=AD$8),--(T_LEAVE[DATE]&gt;=AD$8),ROW(T_LEAVE[LEAVE CODE]))-ROW(T_LEAVE[#Headers]))))))),"")</f>
        <v/>
      </c>
      <c r="AE88" s="75" t="str">
        <f>IFERROR(IF(AE$8="","NA",IF(AE$8&lt;INDEX(T_EMP[START DATE],ROW($B88)-ROW($B$8)),"NE",IF(AND(INDEX(T_EMP[TERMINATION DATE],ROW($B88)-ROW($B$8))&gt;0,AE$8&gt;INDEX(T_EMP[TERMINATION DATE],ROW($B88)-ROW($B$8))),"NE",IF(NOT(ISERROR(MATCH(AE$8,L_HOLS,0))),"H",IF(INDEX(L_WKNDVAL,WEEKDAY(AE$8,1))=1,"WKND",INDEX(T_LEAVE[LEAVE CODE],SUMPRODUCT(--(T_LEAVE[NAME]=$B88),--(T_LEAVE[DATE]&lt;=AE$8),--(T_LEAVE[DATE]&gt;=AE$8),ROW(T_LEAVE[LEAVE CODE]))-ROW(T_LEAVE[#Headers]))))))),"")</f>
        <v/>
      </c>
      <c r="AF88" s="75" t="str">
        <f>IFERROR(IF(AF$8="","NA",IF(AF$8&lt;INDEX(T_EMP[START DATE],ROW($B88)-ROW($B$8)),"NE",IF(AND(INDEX(T_EMP[TERMINATION DATE],ROW($B88)-ROW($B$8))&gt;0,AF$8&gt;INDEX(T_EMP[TERMINATION DATE],ROW($B88)-ROW($B$8))),"NE",IF(NOT(ISERROR(MATCH(AF$8,L_HOLS,0))),"H",IF(INDEX(L_WKNDVAL,WEEKDAY(AF$8,1))=1,"WKND",INDEX(T_LEAVE[LEAVE CODE],SUMPRODUCT(--(T_LEAVE[NAME]=$B88),--(T_LEAVE[DATE]&lt;=AF$8),--(T_LEAVE[DATE]&gt;=AF$8),ROW(T_LEAVE[LEAVE CODE]))-ROW(T_LEAVE[#Headers]))))))),"")</f>
        <v/>
      </c>
      <c r="AG88" s="75" t="str">
        <f>IFERROR(IF(AG$8="","NA",IF(AG$8&lt;INDEX(T_EMP[START DATE],ROW($B88)-ROW($B$8)),"NE",IF(AND(INDEX(T_EMP[TERMINATION DATE],ROW($B88)-ROW($B$8))&gt;0,AG$8&gt;INDEX(T_EMP[TERMINATION DATE],ROW($B88)-ROW($B$8))),"NE",IF(NOT(ISERROR(MATCH(AG$8,L_HOLS,0))),"H",IF(INDEX(L_WKNDVAL,WEEKDAY(AG$8,1))=1,"WKND",INDEX(T_LEAVE[LEAVE CODE],SUMPRODUCT(--(T_LEAVE[NAME]=$B88),--(T_LEAVE[DATE]&lt;=AG$8),--(T_LEAVE[DATE]&gt;=AG$8),ROW(T_LEAVE[LEAVE CODE]))-ROW(T_LEAVE[#Headers]))))))),"")</f>
        <v/>
      </c>
      <c r="AH88" s="75" t="str">
        <f>IFERROR(IF(AH$8="","NA",IF(AH$8&lt;INDEX(T_EMP[START DATE],ROW($B88)-ROW($B$8)),"NE",IF(AND(INDEX(T_EMP[TERMINATION DATE],ROW($B88)-ROW($B$8))&gt;0,AH$8&gt;INDEX(T_EMP[TERMINATION DATE],ROW($B88)-ROW($B$8))),"NE",IF(NOT(ISERROR(MATCH(AH$8,L_HOLS,0))),"H",IF(INDEX(L_WKNDVAL,WEEKDAY(AH$8,1))=1,"WKND",INDEX(T_LEAVE[LEAVE CODE],SUMPRODUCT(--(T_LEAVE[NAME]=$B88),--(T_LEAVE[DATE]&lt;=AH$8),--(T_LEAVE[DATE]&gt;=AH$8),ROW(T_LEAVE[LEAVE CODE]))-ROW(T_LEAVE[#Headers]))))))),"")</f>
        <v/>
      </c>
      <c r="AJ88" s="88">
        <f>IF(OR($B88="",AJ$8=""),"",COUNTIFS($D88:$AH88,AJ$8)*INDEX(T_LEAVETYPE[DAY VALUE],1))</f>
        <v>0</v>
      </c>
      <c r="AK88" s="88">
        <f>IF(OR($B88="",AK$8=""),"",COUNTIFS($D88:$AH88,AK$8)*INDEX(T_LEAVETYPE[DAY VALUE],1))</f>
        <v>0</v>
      </c>
      <c r="AL88" s="88">
        <f>IF(OR($B88="",AL$8=""),"",COUNTIFS($D88:$AH88,AL$8)*INDEX(T_LEAVETYPE[DAY VALUE],1))</f>
        <v>0</v>
      </c>
      <c r="AM88" s="88">
        <f>IF(OR($B88="",AM$8=""),"",COUNTIFS($D88:$AH88,AM$8)*INDEX(T_LEAVETYPE[DAY VALUE],1))</f>
        <v>0</v>
      </c>
      <c r="AN88" s="88">
        <f>IF(OR($B88="",AN$8=""),"",COUNTIFS($D88:$AH88,AN$8)*INDEX(T_LEAVETYPE[DAY VALUE],1))</f>
        <v>0</v>
      </c>
      <c r="AO88" s="88">
        <f>IF(OR($B88="",AO$8=""),"",COUNTIFS($D88:$AH88,AO$8)*INDEX(T_LEAVETYPE[DAY VALUE],6))</f>
        <v>0</v>
      </c>
      <c r="AP88" s="88">
        <f>IF(OR($B88="",AP$8=""),"",COUNTIFS($D88:$AH88,AP$8)*INDEX(T_LEAVETYPE[DAY VALUE],7))</f>
        <v>0</v>
      </c>
      <c r="AQ88" s="88">
        <f>IF(OR($B88="",AQ$8=""),"",COUNTIFS($D88:$AH88,AQ$8)*INDEX(T_LEAVETYPE[DAY VALUE],8))</f>
        <v>0</v>
      </c>
      <c r="AR88" s="89">
        <f t="shared" si="5"/>
        <v>0</v>
      </c>
    </row>
    <row r="89" spans="1:44" x14ac:dyDescent="0.25">
      <c r="A89" s="90">
        <f t="shared" si="4"/>
        <v>81</v>
      </c>
      <c r="B89" s="74" t="str">
        <f>IFERROR(INDEX(T_EMP[NAME],ROW(B89)-ROW($B$8)),"")</f>
        <v>VILLAMAR, FRANCES</v>
      </c>
      <c r="C89" s="91" t="str">
        <f>IFERROR(INDEX(T_EMP[DEPARTMENT],ROW(B89)-ROW($C$8)),"")</f>
        <v>OB SALES</v>
      </c>
      <c r="D89" s="75" t="str">
        <f>IFERROR(IF(D$8="","NA",IF(D$8&lt;INDEX(T_EMP[START DATE],ROW($B89)-ROW($B$8)),"NE",IF(AND(INDEX(T_EMP[TERMINATION DATE],ROW($B89)-ROW($B$8))&gt;0,D$8&gt;INDEX(T_EMP[TERMINATION DATE],ROW($B89)-ROW($B$8))),"NE",IF(NOT(ISERROR(MATCH(D$8,L_HOLS,0))),"H",IF(INDEX(L_WKNDVAL,WEEKDAY(D$8,1))=1,"WKND",INDEX(T_LEAVE[LEAVE CODE],SUMPRODUCT(--(T_LEAVE[NAME]=$B89),--(T_LEAVE[DATE]&lt;=D$8),--(T_LEAVE[DATE]&gt;=D$8),ROW(T_LEAVE[LEAVE CODE]))-ROW(T_LEAVE[#Headers]))))))),"")</f>
        <v>H</v>
      </c>
      <c r="E89" s="75" t="str">
        <f>IFERROR(IF(E$8="","NA",IF(E$8&lt;INDEX(T_EMP[START DATE],ROW($B89)-ROW($B$8)),"NE",IF(AND(INDEX(T_EMP[TERMINATION DATE],ROW($B89)-ROW($B$8))&gt;0,E$8&gt;INDEX(T_EMP[TERMINATION DATE],ROW($B89)-ROW($B$8))),"NE",IF(NOT(ISERROR(MATCH(E$8,L_HOLS,0))),"H",IF(INDEX(L_WKNDVAL,WEEKDAY(E$8,1))=1,"WKND",INDEX(T_LEAVE[LEAVE CODE],SUMPRODUCT(--(T_LEAVE[NAME]=$B89),--(T_LEAVE[DATE]&lt;=E$8),--(T_LEAVE[DATE]&gt;=E$8),ROW(T_LEAVE[LEAVE CODE]))-ROW(T_LEAVE[#Headers]))))))),"")</f>
        <v/>
      </c>
      <c r="F89" s="75" t="str">
        <f>IFERROR(IF(F$8="","NA",IF(F$8&lt;INDEX(T_EMP[START DATE],ROW($B89)-ROW($B$8)),"NE",IF(AND(INDEX(T_EMP[TERMINATION DATE],ROW($B89)-ROW($B$8))&gt;0,F$8&gt;INDEX(T_EMP[TERMINATION DATE],ROW($B89)-ROW($B$8))),"NE",IF(NOT(ISERROR(MATCH(F$8,L_HOLS,0))),"H",IF(INDEX(L_WKNDVAL,WEEKDAY(F$8,1))=1,"WKND",INDEX(T_LEAVE[LEAVE CODE],SUMPRODUCT(--(T_LEAVE[NAME]=$B89),--(T_LEAVE[DATE]&lt;=F$8),--(T_LEAVE[DATE]&gt;=F$8),ROW(T_LEAVE[LEAVE CODE]))-ROW(T_LEAVE[#Headers]))))))),"")</f>
        <v/>
      </c>
      <c r="G89" s="75" t="str">
        <f>IFERROR(IF(G$8="","NA",IF(G$8&lt;INDEX(T_EMP[START DATE],ROW($B89)-ROW($B$8)),"NE",IF(AND(INDEX(T_EMP[TERMINATION DATE],ROW($B89)-ROW($B$8))&gt;0,G$8&gt;INDEX(T_EMP[TERMINATION DATE],ROW($B89)-ROW($B$8))),"NE",IF(NOT(ISERROR(MATCH(G$8,L_HOLS,0))),"H",IF(INDEX(L_WKNDVAL,WEEKDAY(G$8,1))=1,"WKND",INDEX(T_LEAVE[LEAVE CODE],SUMPRODUCT(--(T_LEAVE[NAME]=$B89),--(T_LEAVE[DATE]&lt;=G$8),--(T_LEAVE[DATE]&gt;=G$8),ROW(T_LEAVE[LEAVE CODE]))-ROW(T_LEAVE[#Headers]))))))),"")</f>
        <v/>
      </c>
      <c r="H89" s="75" t="str">
        <f>IFERROR(IF(H$8="","NA",IF(H$8&lt;INDEX(T_EMP[START DATE],ROW($B89)-ROW($B$8)),"NE",IF(AND(INDEX(T_EMP[TERMINATION DATE],ROW($B89)-ROW($B$8))&gt;0,H$8&gt;INDEX(T_EMP[TERMINATION DATE],ROW($B89)-ROW($B$8))),"NE",IF(NOT(ISERROR(MATCH(H$8,L_HOLS,0))),"H",IF(INDEX(L_WKNDVAL,WEEKDAY(H$8,1))=1,"WKND",INDEX(T_LEAVE[LEAVE CODE],SUMPRODUCT(--(T_LEAVE[NAME]=$B89),--(T_LEAVE[DATE]&lt;=H$8),--(T_LEAVE[DATE]&gt;=H$8),ROW(T_LEAVE[LEAVE CODE]))-ROW(T_LEAVE[#Headers]))))))),"")</f>
        <v/>
      </c>
      <c r="I89" s="75" t="str">
        <f>IFERROR(IF(I$8="","NA",IF(I$8&lt;INDEX(T_EMP[START DATE],ROW($B89)-ROW($B$8)),"NE",IF(AND(INDEX(T_EMP[TERMINATION DATE],ROW($B89)-ROW($B$8))&gt;0,I$8&gt;INDEX(T_EMP[TERMINATION DATE],ROW($B89)-ROW($B$8))),"NE",IF(NOT(ISERROR(MATCH(I$8,L_HOLS,0))),"H",IF(INDEX(L_WKNDVAL,WEEKDAY(I$8,1))=1,"WKND",INDEX(T_LEAVE[LEAVE CODE],SUMPRODUCT(--(T_LEAVE[NAME]=$B89),--(T_LEAVE[DATE]&lt;=I$8),--(T_LEAVE[DATE]&gt;=I$8),ROW(T_LEAVE[LEAVE CODE]))-ROW(T_LEAVE[#Headers]))))))),"")</f>
        <v/>
      </c>
      <c r="J89" s="75" t="str">
        <f>IFERROR(IF(J$8="","NA",IF(J$8&lt;INDEX(T_EMP[START DATE],ROW($B89)-ROW($B$8)),"NE",IF(AND(INDEX(T_EMP[TERMINATION DATE],ROW($B89)-ROW($B$8))&gt;0,J$8&gt;INDEX(T_EMP[TERMINATION DATE],ROW($B89)-ROW($B$8))),"NE",IF(NOT(ISERROR(MATCH(J$8,L_HOLS,0))),"H",IF(INDEX(L_WKNDVAL,WEEKDAY(J$8,1))=1,"WKND",INDEX(T_LEAVE[LEAVE CODE],SUMPRODUCT(--(T_LEAVE[NAME]=$B89),--(T_LEAVE[DATE]&lt;=J$8),--(T_LEAVE[DATE]&gt;=J$8),ROW(T_LEAVE[LEAVE CODE]))-ROW(T_LEAVE[#Headers]))))))),"")</f>
        <v/>
      </c>
      <c r="K89" s="75" t="str">
        <f>IFERROR(IF(K$8="","NA",IF(K$8&lt;INDEX(T_EMP[START DATE],ROW($B89)-ROW($B$8)),"NE",IF(AND(INDEX(T_EMP[TERMINATION DATE],ROW($B89)-ROW($B$8))&gt;0,K$8&gt;INDEX(T_EMP[TERMINATION DATE],ROW($B89)-ROW($B$8))),"NE",IF(NOT(ISERROR(MATCH(K$8,L_HOLS,0))),"H",IF(INDEX(L_WKNDVAL,WEEKDAY(K$8,1))=1,"WKND",INDEX(T_LEAVE[LEAVE CODE],SUMPRODUCT(--(T_LEAVE[NAME]=$B89),--(T_LEAVE[DATE]&lt;=K$8),--(T_LEAVE[DATE]&gt;=K$8),ROW(T_LEAVE[LEAVE CODE]))-ROW(T_LEAVE[#Headers]))))))),"")</f>
        <v/>
      </c>
      <c r="L89" s="75" t="str">
        <f>IFERROR(IF(L$8="","NA",IF(L$8&lt;INDEX(T_EMP[START DATE],ROW($B89)-ROW($B$8)),"NE",IF(AND(INDEX(T_EMP[TERMINATION DATE],ROW($B89)-ROW($B$8))&gt;0,L$8&gt;INDEX(T_EMP[TERMINATION DATE],ROW($B89)-ROW($B$8))),"NE",IF(NOT(ISERROR(MATCH(L$8,L_HOLS,0))),"H",IF(INDEX(L_WKNDVAL,WEEKDAY(L$8,1))=1,"WKND",INDEX(T_LEAVE[LEAVE CODE],SUMPRODUCT(--(T_LEAVE[NAME]=$B89),--(T_LEAVE[DATE]&lt;=L$8),--(T_LEAVE[DATE]&gt;=L$8),ROW(T_LEAVE[LEAVE CODE]))-ROW(T_LEAVE[#Headers]))))))),"")</f>
        <v/>
      </c>
      <c r="M89" s="75" t="str">
        <f>IFERROR(IF(M$8="","NA",IF(M$8&lt;INDEX(T_EMP[START DATE],ROW($B89)-ROW($B$8)),"NE",IF(AND(INDEX(T_EMP[TERMINATION DATE],ROW($B89)-ROW($B$8))&gt;0,M$8&gt;INDEX(T_EMP[TERMINATION DATE],ROW($B89)-ROW($B$8))),"NE",IF(NOT(ISERROR(MATCH(M$8,L_HOLS,0))),"H",IF(INDEX(L_WKNDVAL,WEEKDAY(M$8,1))=1,"WKND",INDEX(T_LEAVE[LEAVE CODE],SUMPRODUCT(--(T_LEAVE[NAME]=$B89),--(T_LEAVE[DATE]&lt;=M$8),--(T_LEAVE[DATE]&gt;=M$8),ROW(T_LEAVE[LEAVE CODE]))-ROW(T_LEAVE[#Headers]))))))),"")</f>
        <v/>
      </c>
      <c r="N89" s="75" t="str">
        <f>IFERROR(IF(N$8="","NA",IF(N$8&lt;INDEX(T_EMP[START DATE],ROW($B89)-ROW($B$8)),"NE",IF(AND(INDEX(T_EMP[TERMINATION DATE],ROW($B89)-ROW($B$8))&gt;0,N$8&gt;INDEX(T_EMP[TERMINATION DATE],ROW($B89)-ROW($B$8))),"NE",IF(NOT(ISERROR(MATCH(N$8,L_HOLS,0))),"H",IF(INDEX(L_WKNDVAL,WEEKDAY(N$8,1))=1,"WKND",INDEX(T_LEAVE[LEAVE CODE],SUMPRODUCT(--(T_LEAVE[NAME]=$B89),--(T_LEAVE[DATE]&lt;=N$8),--(T_LEAVE[DATE]&gt;=N$8),ROW(T_LEAVE[LEAVE CODE]))-ROW(T_LEAVE[#Headers]))))))),"")</f>
        <v/>
      </c>
      <c r="O89" s="75" t="str">
        <f>IFERROR(IF(O$8="","NA",IF(O$8&lt;INDEX(T_EMP[START DATE],ROW($B89)-ROW($B$8)),"NE",IF(AND(INDEX(T_EMP[TERMINATION DATE],ROW($B89)-ROW($B$8))&gt;0,O$8&gt;INDEX(T_EMP[TERMINATION DATE],ROW($B89)-ROW($B$8))),"NE",IF(NOT(ISERROR(MATCH(O$8,L_HOLS,0))),"H",IF(INDEX(L_WKNDVAL,WEEKDAY(O$8,1))=1,"WKND",INDEX(T_LEAVE[LEAVE CODE],SUMPRODUCT(--(T_LEAVE[NAME]=$B89),--(T_LEAVE[DATE]&lt;=O$8),--(T_LEAVE[DATE]&gt;=O$8),ROW(T_LEAVE[LEAVE CODE]))-ROW(T_LEAVE[#Headers]))))))),"")</f>
        <v/>
      </c>
      <c r="P89" s="75" t="str">
        <f>IFERROR(IF(P$8="","NA",IF(P$8&lt;INDEX(T_EMP[START DATE],ROW($B89)-ROW($B$8)),"NE",IF(AND(INDEX(T_EMP[TERMINATION DATE],ROW($B89)-ROW($B$8))&gt;0,P$8&gt;INDEX(T_EMP[TERMINATION DATE],ROW($B89)-ROW($B$8))),"NE",IF(NOT(ISERROR(MATCH(P$8,L_HOLS,0))),"H",IF(INDEX(L_WKNDVAL,WEEKDAY(P$8,1))=1,"WKND",INDEX(T_LEAVE[LEAVE CODE],SUMPRODUCT(--(T_LEAVE[NAME]=$B89),--(T_LEAVE[DATE]&lt;=P$8),--(T_LEAVE[DATE]&gt;=P$8),ROW(T_LEAVE[LEAVE CODE]))-ROW(T_LEAVE[#Headers]))))))),"")</f>
        <v>H</v>
      </c>
      <c r="Q89" s="75" t="str">
        <f>IFERROR(IF(Q$8="","NA",IF(Q$8&lt;INDEX(T_EMP[START DATE],ROW($B89)-ROW($B$8)),"NE",IF(AND(INDEX(T_EMP[TERMINATION DATE],ROW($B89)-ROW($B$8))&gt;0,Q$8&gt;INDEX(T_EMP[TERMINATION DATE],ROW($B89)-ROW($B$8))),"NE",IF(NOT(ISERROR(MATCH(Q$8,L_HOLS,0))),"H",IF(INDEX(L_WKNDVAL,WEEKDAY(Q$8,1))=1,"WKND",INDEX(T_LEAVE[LEAVE CODE],SUMPRODUCT(--(T_LEAVE[NAME]=$B89),--(T_LEAVE[DATE]&lt;=Q$8),--(T_LEAVE[DATE]&gt;=Q$8),ROW(T_LEAVE[LEAVE CODE]))-ROW(T_LEAVE[#Headers]))))))),"")</f>
        <v/>
      </c>
      <c r="R89" s="75" t="str">
        <f>IFERROR(IF(R$8="","NA",IF(R$8&lt;INDEX(T_EMP[START DATE],ROW($B89)-ROW($B$8)),"NE",IF(AND(INDEX(T_EMP[TERMINATION DATE],ROW($B89)-ROW($B$8))&gt;0,R$8&gt;INDEX(T_EMP[TERMINATION DATE],ROW($B89)-ROW($B$8))),"NE",IF(NOT(ISERROR(MATCH(R$8,L_HOLS,0))),"H",IF(INDEX(L_WKNDVAL,WEEKDAY(R$8,1))=1,"WKND",INDEX(T_LEAVE[LEAVE CODE],SUMPRODUCT(--(T_LEAVE[NAME]=$B89),--(T_LEAVE[DATE]&lt;=R$8),--(T_LEAVE[DATE]&gt;=R$8),ROW(T_LEAVE[LEAVE CODE]))-ROW(T_LEAVE[#Headers]))))))),"")</f>
        <v/>
      </c>
      <c r="S89" s="75" t="str">
        <f>IFERROR(IF(S$8="","NA",IF(S$8&lt;INDEX(T_EMP[START DATE],ROW($B89)-ROW($B$8)),"NE",IF(AND(INDEX(T_EMP[TERMINATION DATE],ROW($B89)-ROW($B$8))&gt;0,S$8&gt;INDEX(T_EMP[TERMINATION DATE],ROW($B89)-ROW($B$8))),"NE",IF(NOT(ISERROR(MATCH(S$8,L_HOLS,0))),"H",IF(INDEX(L_WKNDVAL,WEEKDAY(S$8,1))=1,"WKND",INDEX(T_LEAVE[LEAVE CODE],SUMPRODUCT(--(T_LEAVE[NAME]=$B89),--(T_LEAVE[DATE]&lt;=S$8),--(T_LEAVE[DATE]&gt;=S$8),ROW(T_LEAVE[LEAVE CODE]))-ROW(T_LEAVE[#Headers]))))))),"")</f>
        <v/>
      </c>
      <c r="T89" s="75" t="str">
        <f>IFERROR(IF(T$8="","NA",IF(T$8&lt;INDEX(T_EMP[START DATE],ROW($B89)-ROW($B$8)),"NE",IF(AND(INDEX(T_EMP[TERMINATION DATE],ROW($B89)-ROW($B$8))&gt;0,T$8&gt;INDEX(T_EMP[TERMINATION DATE],ROW($B89)-ROW($B$8))),"NE",IF(NOT(ISERROR(MATCH(T$8,L_HOLS,0))),"H",IF(INDEX(L_WKNDVAL,WEEKDAY(T$8,1))=1,"WKND",INDEX(T_LEAVE[LEAVE CODE],SUMPRODUCT(--(T_LEAVE[NAME]=$B89),--(T_LEAVE[DATE]&lt;=T$8),--(T_LEAVE[DATE]&gt;=T$8),ROW(T_LEAVE[LEAVE CODE]))-ROW(T_LEAVE[#Headers]))))))),"")</f>
        <v/>
      </c>
      <c r="U89" s="75" t="str">
        <f>IFERROR(IF(U$8="","NA",IF(U$8&lt;INDEX(T_EMP[START DATE],ROW($B89)-ROW($B$8)),"NE",IF(AND(INDEX(T_EMP[TERMINATION DATE],ROW($B89)-ROW($B$8))&gt;0,U$8&gt;INDEX(T_EMP[TERMINATION DATE],ROW($B89)-ROW($B$8))),"NE",IF(NOT(ISERROR(MATCH(U$8,L_HOLS,0))),"H",IF(INDEX(L_WKNDVAL,WEEKDAY(U$8,1))=1,"WKND",INDEX(T_LEAVE[LEAVE CODE],SUMPRODUCT(--(T_LEAVE[NAME]=$B89),--(T_LEAVE[DATE]&lt;=U$8),--(T_LEAVE[DATE]&gt;=U$8),ROW(T_LEAVE[LEAVE CODE]))-ROW(T_LEAVE[#Headers]))))))),"")</f>
        <v/>
      </c>
      <c r="V89" s="75" t="str">
        <f>IFERROR(IF(V$8="","NA",IF(V$8&lt;INDEX(T_EMP[START DATE],ROW($B89)-ROW($B$8)),"NE",IF(AND(INDEX(T_EMP[TERMINATION DATE],ROW($B89)-ROW($B$8))&gt;0,V$8&gt;INDEX(T_EMP[TERMINATION DATE],ROW($B89)-ROW($B$8))),"NE",IF(NOT(ISERROR(MATCH(V$8,L_HOLS,0))),"H",IF(INDEX(L_WKNDVAL,WEEKDAY(V$8,1))=1,"WKND",INDEX(T_LEAVE[LEAVE CODE],SUMPRODUCT(--(T_LEAVE[NAME]=$B89),--(T_LEAVE[DATE]&lt;=V$8),--(T_LEAVE[DATE]&gt;=V$8),ROW(T_LEAVE[LEAVE CODE]))-ROW(T_LEAVE[#Headers]))))))),"")</f>
        <v/>
      </c>
      <c r="W89" s="75" t="str">
        <f>IFERROR(IF(W$8="","NA",IF(W$8&lt;INDEX(T_EMP[START DATE],ROW($B89)-ROW($B$8)),"NE",IF(AND(INDEX(T_EMP[TERMINATION DATE],ROW($B89)-ROW($B$8))&gt;0,W$8&gt;INDEX(T_EMP[TERMINATION DATE],ROW($B89)-ROW($B$8))),"NE",IF(NOT(ISERROR(MATCH(W$8,L_HOLS,0))),"H",IF(INDEX(L_WKNDVAL,WEEKDAY(W$8,1))=1,"WKND",INDEX(T_LEAVE[LEAVE CODE],SUMPRODUCT(--(T_LEAVE[NAME]=$B89),--(T_LEAVE[DATE]&lt;=W$8),--(T_LEAVE[DATE]&gt;=W$8),ROW(T_LEAVE[LEAVE CODE]))-ROW(T_LEAVE[#Headers]))))))),"")</f>
        <v/>
      </c>
      <c r="X89" s="75" t="str">
        <f>IFERROR(IF(X$8="","NA",IF(X$8&lt;INDEX(T_EMP[START DATE],ROW($B89)-ROW($B$8)),"NE",IF(AND(INDEX(T_EMP[TERMINATION DATE],ROW($B89)-ROW($B$8))&gt;0,X$8&gt;INDEX(T_EMP[TERMINATION DATE],ROW($B89)-ROW($B$8))),"NE",IF(NOT(ISERROR(MATCH(X$8,L_HOLS,0))),"H",IF(INDEX(L_WKNDVAL,WEEKDAY(X$8,1))=1,"WKND",INDEX(T_LEAVE[LEAVE CODE],SUMPRODUCT(--(T_LEAVE[NAME]=$B89),--(T_LEAVE[DATE]&lt;=X$8),--(T_LEAVE[DATE]&gt;=X$8),ROW(T_LEAVE[LEAVE CODE]))-ROW(T_LEAVE[#Headers]))))))),"")</f>
        <v/>
      </c>
      <c r="Y89" s="75" t="str">
        <f>IFERROR(IF(Y$8="","NA",IF(Y$8&lt;INDEX(T_EMP[START DATE],ROW($B89)-ROW($B$8)),"NE",IF(AND(INDEX(T_EMP[TERMINATION DATE],ROW($B89)-ROW($B$8))&gt;0,Y$8&gt;INDEX(T_EMP[TERMINATION DATE],ROW($B89)-ROW($B$8))),"NE",IF(NOT(ISERROR(MATCH(Y$8,L_HOLS,0))),"H",IF(INDEX(L_WKNDVAL,WEEKDAY(Y$8,1))=1,"WKND",INDEX(T_LEAVE[LEAVE CODE],SUMPRODUCT(--(T_LEAVE[NAME]=$B89),--(T_LEAVE[DATE]&lt;=Y$8),--(T_LEAVE[DATE]&gt;=Y$8),ROW(T_LEAVE[LEAVE CODE]))-ROW(T_LEAVE[#Headers]))))))),"")</f>
        <v/>
      </c>
      <c r="Z89" s="75" t="str">
        <f>IFERROR(IF(Z$8="","NA",IF(Z$8&lt;INDEX(T_EMP[START DATE],ROW($B89)-ROW($B$8)),"NE",IF(AND(INDEX(T_EMP[TERMINATION DATE],ROW($B89)-ROW($B$8))&gt;0,Z$8&gt;INDEX(T_EMP[TERMINATION DATE],ROW($B89)-ROW($B$8))),"NE",IF(NOT(ISERROR(MATCH(Z$8,L_HOLS,0))),"H",IF(INDEX(L_WKNDVAL,WEEKDAY(Z$8,1))=1,"WKND",INDEX(T_LEAVE[LEAVE CODE],SUMPRODUCT(--(T_LEAVE[NAME]=$B89),--(T_LEAVE[DATE]&lt;=Z$8),--(T_LEAVE[DATE]&gt;=Z$8),ROW(T_LEAVE[LEAVE CODE]))-ROW(T_LEAVE[#Headers]))))))),"")</f>
        <v/>
      </c>
      <c r="AA89" s="75" t="str">
        <f>IFERROR(IF(AA$8="","NA",IF(AA$8&lt;INDEX(T_EMP[START DATE],ROW($B89)-ROW($B$8)),"NE",IF(AND(INDEX(T_EMP[TERMINATION DATE],ROW($B89)-ROW($B$8))&gt;0,AA$8&gt;INDEX(T_EMP[TERMINATION DATE],ROW($B89)-ROW($B$8))),"NE",IF(NOT(ISERROR(MATCH(AA$8,L_HOLS,0))),"H",IF(INDEX(L_WKNDVAL,WEEKDAY(AA$8,1))=1,"WKND",INDEX(T_LEAVE[LEAVE CODE],SUMPRODUCT(--(T_LEAVE[NAME]=$B89),--(T_LEAVE[DATE]&lt;=AA$8),--(T_LEAVE[DATE]&gt;=AA$8),ROW(T_LEAVE[LEAVE CODE]))-ROW(T_LEAVE[#Headers]))))))),"")</f>
        <v/>
      </c>
      <c r="AB89" s="75" t="str">
        <f>IFERROR(IF(AB$8="","NA",IF(AB$8&lt;INDEX(T_EMP[START DATE],ROW($B89)-ROW($B$8)),"NE",IF(AND(INDEX(T_EMP[TERMINATION DATE],ROW($B89)-ROW($B$8))&gt;0,AB$8&gt;INDEX(T_EMP[TERMINATION DATE],ROW($B89)-ROW($B$8))),"NE",IF(NOT(ISERROR(MATCH(AB$8,L_HOLS,0))),"H",IF(INDEX(L_WKNDVAL,WEEKDAY(AB$8,1))=1,"WKND",INDEX(T_LEAVE[LEAVE CODE],SUMPRODUCT(--(T_LEAVE[NAME]=$B89),--(T_LEAVE[DATE]&lt;=AB$8),--(T_LEAVE[DATE]&gt;=AB$8),ROW(T_LEAVE[LEAVE CODE]))-ROW(T_LEAVE[#Headers]))))))),"")</f>
        <v/>
      </c>
      <c r="AC89" s="75" t="str">
        <f>IFERROR(IF(AC$8="","NA",IF(AC$8&lt;INDEX(T_EMP[START DATE],ROW($B89)-ROW($B$8)),"NE",IF(AND(INDEX(T_EMP[TERMINATION DATE],ROW($B89)-ROW($B$8))&gt;0,AC$8&gt;INDEX(T_EMP[TERMINATION DATE],ROW($B89)-ROW($B$8))),"NE",IF(NOT(ISERROR(MATCH(AC$8,L_HOLS,0))),"H",IF(INDEX(L_WKNDVAL,WEEKDAY(AC$8,1))=1,"WKND",INDEX(T_LEAVE[LEAVE CODE],SUMPRODUCT(--(T_LEAVE[NAME]=$B89),--(T_LEAVE[DATE]&lt;=AC$8),--(T_LEAVE[DATE]&gt;=AC$8),ROW(T_LEAVE[LEAVE CODE]))-ROW(T_LEAVE[#Headers]))))))),"")</f>
        <v/>
      </c>
      <c r="AD89" s="75" t="str">
        <f>IFERROR(IF(AD$8="","NA",IF(AD$8&lt;INDEX(T_EMP[START DATE],ROW($B89)-ROW($B$8)),"NE",IF(AND(INDEX(T_EMP[TERMINATION DATE],ROW($B89)-ROW($B$8))&gt;0,AD$8&gt;INDEX(T_EMP[TERMINATION DATE],ROW($B89)-ROW($B$8))),"NE",IF(NOT(ISERROR(MATCH(AD$8,L_HOLS,0))),"H",IF(INDEX(L_WKNDVAL,WEEKDAY(AD$8,1))=1,"WKND",INDEX(T_LEAVE[LEAVE CODE],SUMPRODUCT(--(T_LEAVE[NAME]=$B89),--(T_LEAVE[DATE]&lt;=AD$8),--(T_LEAVE[DATE]&gt;=AD$8),ROW(T_LEAVE[LEAVE CODE]))-ROW(T_LEAVE[#Headers]))))))),"")</f>
        <v/>
      </c>
      <c r="AE89" s="75" t="str">
        <f>IFERROR(IF(AE$8="","NA",IF(AE$8&lt;INDEX(T_EMP[START DATE],ROW($B89)-ROW($B$8)),"NE",IF(AND(INDEX(T_EMP[TERMINATION DATE],ROW($B89)-ROW($B$8))&gt;0,AE$8&gt;INDEX(T_EMP[TERMINATION DATE],ROW($B89)-ROW($B$8))),"NE",IF(NOT(ISERROR(MATCH(AE$8,L_HOLS,0))),"H",IF(INDEX(L_WKNDVAL,WEEKDAY(AE$8,1))=1,"WKND",INDEX(T_LEAVE[LEAVE CODE],SUMPRODUCT(--(T_LEAVE[NAME]=$B89),--(T_LEAVE[DATE]&lt;=AE$8),--(T_LEAVE[DATE]&gt;=AE$8),ROW(T_LEAVE[LEAVE CODE]))-ROW(T_LEAVE[#Headers]))))))),"")</f>
        <v/>
      </c>
      <c r="AF89" s="75" t="str">
        <f>IFERROR(IF(AF$8="","NA",IF(AF$8&lt;INDEX(T_EMP[START DATE],ROW($B89)-ROW($B$8)),"NE",IF(AND(INDEX(T_EMP[TERMINATION DATE],ROW($B89)-ROW($B$8))&gt;0,AF$8&gt;INDEX(T_EMP[TERMINATION DATE],ROW($B89)-ROW($B$8))),"NE",IF(NOT(ISERROR(MATCH(AF$8,L_HOLS,0))),"H",IF(INDEX(L_WKNDVAL,WEEKDAY(AF$8,1))=1,"WKND",INDEX(T_LEAVE[LEAVE CODE],SUMPRODUCT(--(T_LEAVE[NAME]=$B89),--(T_LEAVE[DATE]&lt;=AF$8),--(T_LEAVE[DATE]&gt;=AF$8),ROW(T_LEAVE[LEAVE CODE]))-ROW(T_LEAVE[#Headers]))))))),"")</f>
        <v/>
      </c>
      <c r="AG89" s="75" t="str">
        <f>IFERROR(IF(AG$8="","NA",IF(AG$8&lt;INDEX(T_EMP[START DATE],ROW($B89)-ROW($B$8)),"NE",IF(AND(INDEX(T_EMP[TERMINATION DATE],ROW($B89)-ROW($B$8))&gt;0,AG$8&gt;INDEX(T_EMP[TERMINATION DATE],ROW($B89)-ROW($B$8))),"NE",IF(NOT(ISERROR(MATCH(AG$8,L_HOLS,0))),"H",IF(INDEX(L_WKNDVAL,WEEKDAY(AG$8,1))=1,"WKND",INDEX(T_LEAVE[LEAVE CODE],SUMPRODUCT(--(T_LEAVE[NAME]=$B89),--(T_LEAVE[DATE]&lt;=AG$8),--(T_LEAVE[DATE]&gt;=AG$8),ROW(T_LEAVE[LEAVE CODE]))-ROW(T_LEAVE[#Headers]))))))),"")</f>
        <v/>
      </c>
      <c r="AH89" s="75" t="str">
        <f>IFERROR(IF(AH$8="","NA",IF(AH$8&lt;INDEX(T_EMP[START DATE],ROW($B89)-ROW($B$8)),"NE",IF(AND(INDEX(T_EMP[TERMINATION DATE],ROW($B89)-ROW($B$8))&gt;0,AH$8&gt;INDEX(T_EMP[TERMINATION DATE],ROW($B89)-ROW($B$8))),"NE",IF(NOT(ISERROR(MATCH(AH$8,L_HOLS,0))),"H",IF(INDEX(L_WKNDVAL,WEEKDAY(AH$8,1))=1,"WKND",INDEX(T_LEAVE[LEAVE CODE],SUMPRODUCT(--(T_LEAVE[NAME]=$B89),--(T_LEAVE[DATE]&lt;=AH$8),--(T_LEAVE[DATE]&gt;=AH$8),ROW(T_LEAVE[LEAVE CODE]))-ROW(T_LEAVE[#Headers]))))))),"")</f>
        <v/>
      </c>
      <c r="AJ89" s="88">
        <f>IF(OR($B89="",AJ$8=""),"",COUNTIFS($D89:$AH89,AJ$8)*INDEX(T_LEAVETYPE[DAY VALUE],1))</f>
        <v>0</v>
      </c>
      <c r="AK89" s="88">
        <f>IF(OR($B89="",AK$8=""),"",COUNTIFS($D89:$AH89,AK$8)*INDEX(T_LEAVETYPE[DAY VALUE],1))</f>
        <v>0</v>
      </c>
      <c r="AL89" s="88">
        <f>IF(OR($B89="",AL$8=""),"",COUNTIFS($D89:$AH89,AL$8)*INDEX(T_LEAVETYPE[DAY VALUE],1))</f>
        <v>0</v>
      </c>
      <c r="AM89" s="88">
        <f>IF(OR($B89="",AM$8=""),"",COUNTIFS($D89:$AH89,AM$8)*INDEX(T_LEAVETYPE[DAY VALUE],1))</f>
        <v>0</v>
      </c>
      <c r="AN89" s="88">
        <f>IF(OR($B89="",AN$8=""),"",COUNTIFS($D89:$AH89,AN$8)*INDEX(T_LEAVETYPE[DAY VALUE],1))</f>
        <v>0</v>
      </c>
      <c r="AO89" s="88">
        <f>IF(OR($B89="",AO$8=""),"",COUNTIFS($D89:$AH89,AO$8)*INDEX(T_LEAVETYPE[DAY VALUE],6))</f>
        <v>0</v>
      </c>
      <c r="AP89" s="88">
        <f>IF(OR($B89="",AP$8=""),"",COUNTIFS($D89:$AH89,AP$8)*INDEX(T_LEAVETYPE[DAY VALUE],7))</f>
        <v>0</v>
      </c>
      <c r="AQ89" s="88">
        <f>IF(OR($B89="",AQ$8=""),"",COUNTIFS($D89:$AH89,AQ$8)*INDEX(T_LEAVETYPE[DAY VALUE],8))</f>
        <v>0</v>
      </c>
      <c r="AR89" s="89">
        <f t="shared" si="5"/>
        <v>0</v>
      </c>
    </row>
    <row r="90" spans="1:44" x14ac:dyDescent="0.25">
      <c r="A90" s="90">
        <f t="shared" si="4"/>
        <v>82</v>
      </c>
      <c r="B90" s="74" t="str">
        <f>IFERROR(INDEX(T_EMP[NAME],ROW(B90)-ROW($B$8)),"")</f>
        <v>RIVERA, MARTIN</v>
      </c>
      <c r="C90" s="91" t="str">
        <f>IFERROR(INDEX(T_EMP[DEPARTMENT],ROW(B90)-ROW($C$8)),"")</f>
        <v>RESHIP</v>
      </c>
      <c r="D90" s="75" t="str">
        <f>IFERROR(IF(D$8="","NA",IF(D$8&lt;INDEX(T_EMP[START DATE],ROW($B90)-ROW($B$8)),"NE",IF(AND(INDEX(T_EMP[TERMINATION DATE],ROW($B90)-ROW($B$8))&gt;0,D$8&gt;INDEX(T_EMP[TERMINATION DATE],ROW($B90)-ROW($B$8))),"NE",IF(NOT(ISERROR(MATCH(D$8,L_HOLS,0))),"H",IF(INDEX(L_WKNDVAL,WEEKDAY(D$8,1))=1,"WKND",INDEX(T_LEAVE[LEAVE CODE],SUMPRODUCT(--(T_LEAVE[NAME]=$B90),--(T_LEAVE[DATE]&lt;=D$8),--(T_LEAVE[DATE]&gt;=D$8),ROW(T_LEAVE[LEAVE CODE]))-ROW(T_LEAVE[#Headers]))))))),"")</f>
        <v>H</v>
      </c>
      <c r="E90" s="75" t="str">
        <f>IFERROR(IF(E$8="","NA",IF(E$8&lt;INDEX(T_EMP[START DATE],ROW($B90)-ROW($B$8)),"NE",IF(AND(INDEX(T_EMP[TERMINATION DATE],ROW($B90)-ROW($B$8))&gt;0,E$8&gt;INDEX(T_EMP[TERMINATION DATE],ROW($B90)-ROW($B$8))),"NE",IF(NOT(ISERROR(MATCH(E$8,L_HOLS,0))),"H",IF(INDEX(L_WKNDVAL,WEEKDAY(E$8,1))=1,"WKND",INDEX(T_LEAVE[LEAVE CODE],SUMPRODUCT(--(T_LEAVE[NAME]=$B90),--(T_LEAVE[DATE]&lt;=E$8),--(T_LEAVE[DATE]&gt;=E$8),ROW(T_LEAVE[LEAVE CODE]))-ROW(T_LEAVE[#Headers]))))))),"")</f>
        <v/>
      </c>
      <c r="F90" s="75" t="str">
        <f>IFERROR(IF(F$8="","NA",IF(F$8&lt;INDEX(T_EMP[START DATE],ROW($B90)-ROW($B$8)),"NE",IF(AND(INDEX(T_EMP[TERMINATION DATE],ROW($B90)-ROW($B$8))&gt;0,F$8&gt;INDEX(T_EMP[TERMINATION DATE],ROW($B90)-ROW($B$8))),"NE",IF(NOT(ISERROR(MATCH(F$8,L_HOLS,0))),"H",IF(INDEX(L_WKNDVAL,WEEKDAY(F$8,1))=1,"WKND",INDEX(T_LEAVE[LEAVE CODE],SUMPRODUCT(--(T_LEAVE[NAME]=$B90),--(T_LEAVE[DATE]&lt;=F$8),--(T_LEAVE[DATE]&gt;=F$8),ROW(T_LEAVE[LEAVE CODE]))-ROW(T_LEAVE[#Headers]))))))),"")</f>
        <v/>
      </c>
      <c r="G90" s="75" t="str">
        <f>IFERROR(IF(G$8="","NA",IF(G$8&lt;INDEX(T_EMP[START DATE],ROW($B90)-ROW($B$8)),"NE",IF(AND(INDEX(T_EMP[TERMINATION DATE],ROW($B90)-ROW($B$8))&gt;0,G$8&gt;INDEX(T_EMP[TERMINATION DATE],ROW($B90)-ROW($B$8))),"NE",IF(NOT(ISERROR(MATCH(G$8,L_HOLS,0))),"H",IF(INDEX(L_WKNDVAL,WEEKDAY(G$8,1))=1,"WKND",INDEX(T_LEAVE[LEAVE CODE],SUMPRODUCT(--(T_LEAVE[NAME]=$B90),--(T_LEAVE[DATE]&lt;=G$8),--(T_LEAVE[DATE]&gt;=G$8),ROW(T_LEAVE[LEAVE CODE]))-ROW(T_LEAVE[#Headers]))))))),"")</f>
        <v/>
      </c>
      <c r="H90" s="75" t="str">
        <f>IFERROR(IF(H$8="","NA",IF(H$8&lt;INDEX(T_EMP[START DATE],ROW($B90)-ROW($B$8)),"NE",IF(AND(INDEX(T_EMP[TERMINATION DATE],ROW($B90)-ROW($B$8))&gt;0,H$8&gt;INDEX(T_EMP[TERMINATION DATE],ROW($B90)-ROW($B$8))),"NE",IF(NOT(ISERROR(MATCH(H$8,L_HOLS,0))),"H",IF(INDEX(L_WKNDVAL,WEEKDAY(H$8,1))=1,"WKND",INDEX(T_LEAVE[LEAVE CODE],SUMPRODUCT(--(T_LEAVE[NAME]=$B90),--(T_LEAVE[DATE]&lt;=H$8),--(T_LEAVE[DATE]&gt;=H$8),ROW(T_LEAVE[LEAVE CODE]))-ROW(T_LEAVE[#Headers]))))))),"")</f>
        <v/>
      </c>
      <c r="I90" s="75" t="str">
        <f>IFERROR(IF(I$8="","NA",IF(I$8&lt;INDEX(T_EMP[START DATE],ROW($B90)-ROW($B$8)),"NE",IF(AND(INDEX(T_EMP[TERMINATION DATE],ROW($B90)-ROW($B$8))&gt;0,I$8&gt;INDEX(T_EMP[TERMINATION DATE],ROW($B90)-ROW($B$8))),"NE",IF(NOT(ISERROR(MATCH(I$8,L_HOLS,0))),"H",IF(INDEX(L_WKNDVAL,WEEKDAY(I$8,1))=1,"WKND",INDEX(T_LEAVE[LEAVE CODE],SUMPRODUCT(--(T_LEAVE[NAME]=$B90),--(T_LEAVE[DATE]&lt;=I$8),--(T_LEAVE[DATE]&gt;=I$8),ROW(T_LEAVE[LEAVE CODE]))-ROW(T_LEAVE[#Headers]))))))),"")</f>
        <v/>
      </c>
      <c r="J90" s="75" t="str">
        <f>IFERROR(IF(J$8="","NA",IF(J$8&lt;INDEX(T_EMP[START DATE],ROW($B90)-ROW($B$8)),"NE",IF(AND(INDEX(T_EMP[TERMINATION DATE],ROW($B90)-ROW($B$8))&gt;0,J$8&gt;INDEX(T_EMP[TERMINATION DATE],ROW($B90)-ROW($B$8))),"NE",IF(NOT(ISERROR(MATCH(J$8,L_HOLS,0))),"H",IF(INDEX(L_WKNDVAL,WEEKDAY(J$8,1))=1,"WKND",INDEX(T_LEAVE[LEAVE CODE],SUMPRODUCT(--(T_LEAVE[NAME]=$B90),--(T_LEAVE[DATE]&lt;=J$8),--(T_LEAVE[DATE]&gt;=J$8),ROW(T_LEAVE[LEAVE CODE]))-ROW(T_LEAVE[#Headers]))))))),"")</f>
        <v/>
      </c>
      <c r="K90" s="75" t="str">
        <f>IFERROR(IF(K$8="","NA",IF(K$8&lt;INDEX(T_EMP[START DATE],ROW($B90)-ROW($B$8)),"NE",IF(AND(INDEX(T_EMP[TERMINATION DATE],ROW($B90)-ROW($B$8))&gt;0,K$8&gt;INDEX(T_EMP[TERMINATION DATE],ROW($B90)-ROW($B$8))),"NE",IF(NOT(ISERROR(MATCH(K$8,L_HOLS,0))),"H",IF(INDEX(L_WKNDVAL,WEEKDAY(K$8,1))=1,"WKND",INDEX(T_LEAVE[LEAVE CODE],SUMPRODUCT(--(T_LEAVE[NAME]=$B90),--(T_LEAVE[DATE]&lt;=K$8),--(T_LEAVE[DATE]&gt;=K$8),ROW(T_LEAVE[LEAVE CODE]))-ROW(T_LEAVE[#Headers]))))))),"")</f>
        <v/>
      </c>
      <c r="L90" s="75" t="str">
        <f>IFERROR(IF(L$8="","NA",IF(L$8&lt;INDEX(T_EMP[START DATE],ROW($B90)-ROW($B$8)),"NE",IF(AND(INDEX(T_EMP[TERMINATION DATE],ROW($B90)-ROW($B$8))&gt;0,L$8&gt;INDEX(T_EMP[TERMINATION DATE],ROW($B90)-ROW($B$8))),"NE",IF(NOT(ISERROR(MATCH(L$8,L_HOLS,0))),"H",IF(INDEX(L_WKNDVAL,WEEKDAY(L$8,1))=1,"WKND",INDEX(T_LEAVE[LEAVE CODE],SUMPRODUCT(--(T_LEAVE[NAME]=$B90),--(T_LEAVE[DATE]&lt;=L$8),--(T_LEAVE[DATE]&gt;=L$8),ROW(T_LEAVE[LEAVE CODE]))-ROW(T_LEAVE[#Headers]))))))),"")</f>
        <v/>
      </c>
      <c r="M90" s="75" t="str">
        <f>IFERROR(IF(M$8="","NA",IF(M$8&lt;INDEX(T_EMP[START DATE],ROW($B90)-ROW($B$8)),"NE",IF(AND(INDEX(T_EMP[TERMINATION DATE],ROW($B90)-ROW($B$8))&gt;0,M$8&gt;INDEX(T_EMP[TERMINATION DATE],ROW($B90)-ROW($B$8))),"NE",IF(NOT(ISERROR(MATCH(M$8,L_HOLS,0))),"H",IF(INDEX(L_WKNDVAL,WEEKDAY(M$8,1))=1,"WKND",INDEX(T_LEAVE[LEAVE CODE],SUMPRODUCT(--(T_LEAVE[NAME]=$B90),--(T_LEAVE[DATE]&lt;=M$8),--(T_LEAVE[DATE]&gt;=M$8),ROW(T_LEAVE[LEAVE CODE]))-ROW(T_LEAVE[#Headers]))))))),"")</f>
        <v/>
      </c>
      <c r="N90" s="75" t="str">
        <f>IFERROR(IF(N$8="","NA",IF(N$8&lt;INDEX(T_EMP[START DATE],ROW($B90)-ROW($B$8)),"NE",IF(AND(INDEX(T_EMP[TERMINATION DATE],ROW($B90)-ROW($B$8))&gt;0,N$8&gt;INDEX(T_EMP[TERMINATION DATE],ROW($B90)-ROW($B$8))),"NE",IF(NOT(ISERROR(MATCH(N$8,L_HOLS,0))),"H",IF(INDEX(L_WKNDVAL,WEEKDAY(N$8,1))=1,"WKND",INDEX(T_LEAVE[LEAVE CODE],SUMPRODUCT(--(T_LEAVE[NAME]=$B90),--(T_LEAVE[DATE]&lt;=N$8),--(T_LEAVE[DATE]&gt;=N$8),ROW(T_LEAVE[LEAVE CODE]))-ROW(T_LEAVE[#Headers]))))))),"")</f>
        <v/>
      </c>
      <c r="O90" s="75" t="str">
        <f>IFERROR(IF(O$8="","NA",IF(O$8&lt;INDEX(T_EMP[START DATE],ROW($B90)-ROW($B$8)),"NE",IF(AND(INDEX(T_EMP[TERMINATION DATE],ROW($B90)-ROW($B$8))&gt;0,O$8&gt;INDEX(T_EMP[TERMINATION DATE],ROW($B90)-ROW($B$8))),"NE",IF(NOT(ISERROR(MATCH(O$8,L_HOLS,0))),"H",IF(INDEX(L_WKNDVAL,WEEKDAY(O$8,1))=1,"WKND",INDEX(T_LEAVE[LEAVE CODE],SUMPRODUCT(--(T_LEAVE[NAME]=$B90),--(T_LEAVE[DATE]&lt;=O$8),--(T_LEAVE[DATE]&gt;=O$8),ROW(T_LEAVE[LEAVE CODE]))-ROW(T_LEAVE[#Headers]))))))),"")</f>
        <v/>
      </c>
      <c r="P90" s="75" t="str">
        <f>IFERROR(IF(P$8="","NA",IF(P$8&lt;INDEX(T_EMP[START DATE],ROW($B90)-ROW($B$8)),"NE",IF(AND(INDEX(T_EMP[TERMINATION DATE],ROW($B90)-ROW($B$8))&gt;0,P$8&gt;INDEX(T_EMP[TERMINATION DATE],ROW($B90)-ROW($B$8))),"NE",IF(NOT(ISERROR(MATCH(P$8,L_HOLS,0))),"H",IF(INDEX(L_WKNDVAL,WEEKDAY(P$8,1))=1,"WKND",INDEX(T_LEAVE[LEAVE CODE],SUMPRODUCT(--(T_LEAVE[NAME]=$B90),--(T_LEAVE[DATE]&lt;=P$8),--(T_LEAVE[DATE]&gt;=P$8),ROW(T_LEAVE[LEAVE CODE]))-ROW(T_LEAVE[#Headers]))))))),"")</f>
        <v>H</v>
      </c>
      <c r="Q90" s="75" t="str">
        <f>IFERROR(IF(Q$8="","NA",IF(Q$8&lt;INDEX(T_EMP[START DATE],ROW($B90)-ROW($B$8)),"NE",IF(AND(INDEX(T_EMP[TERMINATION DATE],ROW($B90)-ROW($B$8))&gt;0,Q$8&gt;INDEX(T_EMP[TERMINATION DATE],ROW($B90)-ROW($B$8))),"NE",IF(NOT(ISERROR(MATCH(Q$8,L_HOLS,0))),"H",IF(INDEX(L_WKNDVAL,WEEKDAY(Q$8,1))=1,"WKND",INDEX(T_LEAVE[LEAVE CODE],SUMPRODUCT(--(T_LEAVE[NAME]=$B90),--(T_LEAVE[DATE]&lt;=Q$8),--(T_LEAVE[DATE]&gt;=Q$8),ROW(T_LEAVE[LEAVE CODE]))-ROW(T_LEAVE[#Headers]))))))),"")</f>
        <v/>
      </c>
      <c r="R90" s="75" t="str">
        <f>IFERROR(IF(R$8="","NA",IF(R$8&lt;INDEX(T_EMP[START DATE],ROW($B90)-ROW($B$8)),"NE",IF(AND(INDEX(T_EMP[TERMINATION DATE],ROW($B90)-ROW($B$8))&gt;0,R$8&gt;INDEX(T_EMP[TERMINATION DATE],ROW($B90)-ROW($B$8))),"NE",IF(NOT(ISERROR(MATCH(R$8,L_HOLS,0))),"H",IF(INDEX(L_WKNDVAL,WEEKDAY(R$8,1))=1,"WKND",INDEX(T_LEAVE[LEAVE CODE],SUMPRODUCT(--(T_LEAVE[NAME]=$B90),--(T_LEAVE[DATE]&lt;=R$8),--(T_LEAVE[DATE]&gt;=R$8),ROW(T_LEAVE[LEAVE CODE]))-ROW(T_LEAVE[#Headers]))))))),"")</f>
        <v/>
      </c>
      <c r="S90" s="75" t="str">
        <f>IFERROR(IF(S$8="","NA",IF(S$8&lt;INDEX(T_EMP[START DATE],ROW($B90)-ROW($B$8)),"NE",IF(AND(INDEX(T_EMP[TERMINATION DATE],ROW($B90)-ROW($B$8))&gt;0,S$8&gt;INDEX(T_EMP[TERMINATION DATE],ROW($B90)-ROW($B$8))),"NE",IF(NOT(ISERROR(MATCH(S$8,L_HOLS,0))),"H",IF(INDEX(L_WKNDVAL,WEEKDAY(S$8,1))=1,"WKND",INDEX(T_LEAVE[LEAVE CODE],SUMPRODUCT(--(T_LEAVE[NAME]=$B90),--(T_LEAVE[DATE]&lt;=S$8),--(T_LEAVE[DATE]&gt;=S$8),ROW(T_LEAVE[LEAVE CODE]))-ROW(T_LEAVE[#Headers]))))))),"")</f>
        <v/>
      </c>
      <c r="T90" s="75" t="str">
        <f>IFERROR(IF(T$8="","NA",IF(T$8&lt;INDEX(T_EMP[START DATE],ROW($B90)-ROW($B$8)),"NE",IF(AND(INDEX(T_EMP[TERMINATION DATE],ROW($B90)-ROW($B$8))&gt;0,T$8&gt;INDEX(T_EMP[TERMINATION DATE],ROW($B90)-ROW($B$8))),"NE",IF(NOT(ISERROR(MATCH(T$8,L_HOLS,0))),"H",IF(INDEX(L_WKNDVAL,WEEKDAY(T$8,1))=1,"WKND",INDEX(T_LEAVE[LEAVE CODE],SUMPRODUCT(--(T_LEAVE[NAME]=$B90),--(T_LEAVE[DATE]&lt;=T$8),--(T_LEAVE[DATE]&gt;=T$8),ROW(T_LEAVE[LEAVE CODE]))-ROW(T_LEAVE[#Headers]))))))),"")</f>
        <v/>
      </c>
      <c r="U90" s="75" t="str">
        <f>IFERROR(IF(U$8="","NA",IF(U$8&lt;INDEX(T_EMP[START DATE],ROW($B90)-ROW($B$8)),"NE",IF(AND(INDEX(T_EMP[TERMINATION DATE],ROW($B90)-ROW($B$8))&gt;0,U$8&gt;INDEX(T_EMP[TERMINATION DATE],ROW($B90)-ROW($B$8))),"NE",IF(NOT(ISERROR(MATCH(U$8,L_HOLS,0))),"H",IF(INDEX(L_WKNDVAL,WEEKDAY(U$8,1))=1,"WKND",INDEX(T_LEAVE[LEAVE CODE],SUMPRODUCT(--(T_LEAVE[NAME]=$B90),--(T_LEAVE[DATE]&lt;=U$8),--(T_LEAVE[DATE]&gt;=U$8),ROW(T_LEAVE[LEAVE CODE]))-ROW(T_LEAVE[#Headers]))))))),"")</f>
        <v/>
      </c>
      <c r="V90" s="75" t="str">
        <f>IFERROR(IF(V$8="","NA",IF(V$8&lt;INDEX(T_EMP[START DATE],ROW($B90)-ROW($B$8)),"NE",IF(AND(INDEX(T_EMP[TERMINATION DATE],ROW($B90)-ROW($B$8))&gt;0,V$8&gt;INDEX(T_EMP[TERMINATION DATE],ROW($B90)-ROW($B$8))),"NE",IF(NOT(ISERROR(MATCH(V$8,L_HOLS,0))),"H",IF(INDEX(L_WKNDVAL,WEEKDAY(V$8,1))=1,"WKND",INDEX(T_LEAVE[LEAVE CODE],SUMPRODUCT(--(T_LEAVE[NAME]=$B90),--(T_LEAVE[DATE]&lt;=V$8),--(T_LEAVE[DATE]&gt;=V$8),ROW(T_LEAVE[LEAVE CODE]))-ROW(T_LEAVE[#Headers]))))))),"")</f>
        <v/>
      </c>
      <c r="W90" s="75" t="str">
        <f>IFERROR(IF(W$8="","NA",IF(W$8&lt;INDEX(T_EMP[START DATE],ROW($B90)-ROW($B$8)),"NE",IF(AND(INDEX(T_EMP[TERMINATION DATE],ROW($B90)-ROW($B$8))&gt;0,W$8&gt;INDEX(T_EMP[TERMINATION DATE],ROW($B90)-ROW($B$8))),"NE",IF(NOT(ISERROR(MATCH(W$8,L_HOLS,0))),"H",IF(INDEX(L_WKNDVAL,WEEKDAY(W$8,1))=1,"WKND",INDEX(T_LEAVE[LEAVE CODE],SUMPRODUCT(--(T_LEAVE[NAME]=$B90),--(T_LEAVE[DATE]&lt;=W$8),--(T_LEAVE[DATE]&gt;=W$8),ROW(T_LEAVE[LEAVE CODE]))-ROW(T_LEAVE[#Headers]))))))),"")</f>
        <v/>
      </c>
      <c r="X90" s="75" t="str">
        <f>IFERROR(IF(X$8="","NA",IF(X$8&lt;INDEX(T_EMP[START DATE],ROW($B90)-ROW($B$8)),"NE",IF(AND(INDEX(T_EMP[TERMINATION DATE],ROW($B90)-ROW($B$8))&gt;0,X$8&gt;INDEX(T_EMP[TERMINATION DATE],ROW($B90)-ROW($B$8))),"NE",IF(NOT(ISERROR(MATCH(X$8,L_HOLS,0))),"H",IF(INDEX(L_WKNDVAL,WEEKDAY(X$8,1))=1,"WKND",INDEX(T_LEAVE[LEAVE CODE],SUMPRODUCT(--(T_LEAVE[NAME]=$B90),--(T_LEAVE[DATE]&lt;=X$8),--(T_LEAVE[DATE]&gt;=X$8),ROW(T_LEAVE[LEAVE CODE]))-ROW(T_LEAVE[#Headers]))))))),"")</f>
        <v/>
      </c>
      <c r="Y90" s="75" t="str">
        <f>IFERROR(IF(Y$8="","NA",IF(Y$8&lt;INDEX(T_EMP[START DATE],ROW($B90)-ROW($B$8)),"NE",IF(AND(INDEX(T_EMP[TERMINATION DATE],ROW($B90)-ROW($B$8))&gt;0,Y$8&gt;INDEX(T_EMP[TERMINATION DATE],ROW($B90)-ROW($B$8))),"NE",IF(NOT(ISERROR(MATCH(Y$8,L_HOLS,0))),"H",IF(INDEX(L_WKNDVAL,WEEKDAY(Y$8,1))=1,"WKND",INDEX(T_LEAVE[LEAVE CODE],SUMPRODUCT(--(T_LEAVE[NAME]=$B90),--(T_LEAVE[DATE]&lt;=Y$8),--(T_LEAVE[DATE]&gt;=Y$8),ROW(T_LEAVE[LEAVE CODE]))-ROW(T_LEAVE[#Headers]))))))),"")</f>
        <v/>
      </c>
      <c r="Z90" s="75" t="str">
        <f>IFERROR(IF(Z$8="","NA",IF(Z$8&lt;INDEX(T_EMP[START DATE],ROW($B90)-ROW($B$8)),"NE",IF(AND(INDEX(T_EMP[TERMINATION DATE],ROW($B90)-ROW($B$8))&gt;0,Z$8&gt;INDEX(T_EMP[TERMINATION DATE],ROW($B90)-ROW($B$8))),"NE",IF(NOT(ISERROR(MATCH(Z$8,L_HOLS,0))),"H",IF(INDEX(L_WKNDVAL,WEEKDAY(Z$8,1))=1,"WKND",INDEX(T_LEAVE[LEAVE CODE],SUMPRODUCT(--(T_LEAVE[NAME]=$B90),--(T_LEAVE[DATE]&lt;=Z$8),--(T_LEAVE[DATE]&gt;=Z$8),ROW(T_LEAVE[LEAVE CODE]))-ROW(T_LEAVE[#Headers]))))))),"")</f>
        <v/>
      </c>
      <c r="AA90" s="75" t="str">
        <f>IFERROR(IF(AA$8="","NA",IF(AA$8&lt;INDEX(T_EMP[START DATE],ROW($B90)-ROW($B$8)),"NE",IF(AND(INDEX(T_EMP[TERMINATION DATE],ROW($B90)-ROW($B$8))&gt;0,AA$8&gt;INDEX(T_EMP[TERMINATION DATE],ROW($B90)-ROW($B$8))),"NE",IF(NOT(ISERROR(MATCH(AA$8,L_HOLS,0))),"H",IF(INDEX(L_WKNDVAL,WEEKDAY(AA$8,1))=1,"WKND",INDEX(T_LEAVE[LEAVE CODE],SUMPRODUCT(--(T_LEAVE[NAME]=$B90),--(T_LEAVE[DATE]&lt;=AA$8),--(T_LEAVE[DATE]&gt;=AA$8),ROW(T_LEAVE[LEAVE CODE]))-ROW(T_LEAVE[#Headers]))))))),"")</f>
        <v/>
      </c>
      <c r="AB90" s="75" t="str">
        <f>IFERROR(IF(AB$8="","NA",IF(AB$8&lt;INDEX(T_EMP[START DATE],ROW($B90)-ROW($B$8)),"NE",IF(AND(INDEX(T_EMP[TERMINATION DATE],ROW($B90)-ROW($B$8))&gt;0,AB$8&gt;INDEX(T_EMP[TERMINATION DATE],ROW($B90)-ROW($B$8))),"NE",IF(NOT(ISERROR(MATCH(AB$8,L_HOLS,0))),"H",IF(INDEX(L_WKNDVAL,WEEKDAY(AB$8,1))=1,"WKND",INDEX(T_LEAVE[LEAVE CODE],SUMPRODUCT(--(T_LEAVE[NAME]=$B90),--(T_LEAVE[DATE]&lt;=AB$8),--(T_LEAVE[DATE]&gt;=AB$8),ROW(T_LEAVE[LEAVE CODE]))-ROW(T_LEAVE[#Headers]))))))),"")</f>
        <v/>
      </c>
      <c r="AC90" s="75" t="str">
        <f>IFERROR(IF(AC$8="","NA",IF(AC$8&lt;INDEX(T_EMP[START DATE],ROW($B90)-ROW($B$8)),"NE",IF(AND(INDEX(T_EMP[TERMINATION DATE],ROW($B90)-ROW($B$8))&gt;0,AC$8&gt;INDEX(T_EMP[TERMINATION DATE],ROW($B90)-ROW($B$8))),"NE",IF(NOT(ISERROR(MATCH(AC$8,L_HOLS,0))),"H",IF(INDEX(L_WKNDVAL,WEEKDAY(AC$8,1))=1,"WKND",INDEX(T_LEAVE[LEAVE CODE],SUMPRODUCT(--(T_LEAVE[NAME]=$B90),--(T_LEAVE[DATE]&lt;=AC$8),--(T_LEAVE[DATE]&gt;=AC$8),ROW(T_LEAVE[LEAVE CODE]))-ROW(T_LEAVE[#Headers]))))))),"")</f>
        <v/>
      </c>
      <c r="AD90" s="75" t="str">
        <f>IFERROR(IF(AD$8="","NA",IF(AD$8&lt;INDEX(T_EMP[START DATE],ROW($B90)-ROW($B$8)),"NE",IF(AND(INDEX(T_EMP[TERMINATION DATE],ROW($B90)-ROW($B$8))&gt;0,AD$8&gt;INDEX(T_EMP[TERMINATION DATE],ROW($B90)-ROW($B$8))),"NE",IF(NOT(ISERROR(MATCH(AD$8,L_HOLS,0))),"H",IF(INDEX(L_WKNDVAL,WEEKDAY(AD$8,1))=1,"WKND",INDEX(T_LEAVE[LEAVE CODE],SUMPRODUCT(--(T_LEAVE[NAME]=$B90),--(T_LEAVE[DATE]&lt;=AD$8),--(T_LEAVE[DATE]&gt;=AD$8),ROW(T_LEAVE[LEAVE CODE]))-ROW(T_LEAVE[#Headers]))))))),"")</f>
        <v/>
      </c>
      <c r="AE90" s="75" t="str">
        <f>IFERROR(IF(AE$8="","NA",IF(AE$8&lt;INDEX(T_EMP[START DATE],ROW($B90)-ROW($B$8)),"NE",IF(AND(INDEX(T_EMP[TERMINATION DATE],ROW($B90)-ROW($B$8))&gt;0,AE$8&gt;INDEX(T_EMP[TERMINATION DATE],ROW($B90)-ROW($B$8))),"NE",IF(NOT(ISERROR(MATCH(AE$8,L_HOLS,0))),"H",IF(INDEX(L_WKNDVAL,WEEKDAY(AE$8,1))=1,"WKND",INDEX(T_LEAVE[LEAVE CODE],SUMPRODUCT(--(T_LEAVE[NAME]=$B90),--(T_LEAVE[DATE]&lt;=AE$8),--(T_LEAVE[DATE]&gt;=AE$8),ROW(T_LEAVE[LEAVE CODE]))-ROW(T_LEAVE[#Headers]))))))),"")</f>
        <v/>
      </c>
      <c r="AF90" s="75" t="str">
        <f>IFERROR(IF(AF$8="","NA",IF(AF$8&lt;INDEX(T_EMP[START DATE],ROW($B90)-ROW($B$8)),"NE",IF(AND(INDEX(T_EMP[TERMINATION DATE],ROW($B90)-ROW($B$8))&gt;0,AF$8&gt;INDEX(T_EMP[TERMINATION DATE],ROW($B90)-ROW($B$8))),"NE",IF(NOT(ISERROR(MATCH(AF$8,L_HOLS,0))),"H",IF(INDEX(L_WKNDVAL,WEEKDAY(AF$8,1))=1,"WKND",INDEX(T_LEAVE[LEAVE CODE],SUMPRODUCT(--(T_LEAVE[NAME]=$B90),--(T_LEAVE[DATE]&lt;=AF$8),--(T_LEAVE[DATE]&gt;=AF$8),ROW(T_LEAVE[LEAVE CODE]))-ROW(T_LEAVE[#Headers]))))))),"")</f>
        <v/>
      </c>
      <c r="AG90" s="75" t="str">
        <f>IFERROR(IF(AG$8="","NA",IF(AG$8&lt;INDEX(T_EMP[START DATE],ROW($B90)-ROW($B$8)),"NE",IF(AND(INDEX(T_EMP[TERMINATION DATE],ROW($B90)-ROW($B$8))&gt;0,AG$8&gt;INDEX(T_EMP[TERMINATION DATE],ROW($B90)-ROW($B$8))),"NE",IF(NOT(ISERROR(MATCH(AG$8,L_HOLS,0))),"H",IF(INDEX(L_WKNDVAL,WEEKDAY(AG$8,1))=1,"WKND",INDEX(T_LEAVE[LEAVE CODE],SUMPRODUCT(--(T_LEAVE[NAME]=$B90),--(T_LEAVE[DATE]&lt;=AG$8),--(T_LEAVE[DATE]&gt;=AG$8),ROW(T_LEAVE[LEAVE CODE]))-ROW(T_LEAVE[#Headers]))))))),"")</f>
        <v/>
      </c>
      <c r="AH90" s="75" t="str">
        <f>IFERROR(IF(AH$8="","NA",IF(AH$8&lt;INDEX(T_EMP[START DATE],ROW($B90)-ROW($B$8)),"NE",IF(AND(INDEX(T_EMP[TERMINATION DATE],ROW($B90)-ROW($B$8))&gt;0,AH$8&gt;INDEX(T_EMP[TERMINATION DATE],ROW($B90)-ROW($B$8))),"NE",IF(NOT(ISERROR(MATCH(AH$8,L_HOLS,0))),"H",IF(INDEX(L_WKNDVAL,WEEKDAY(AH$8,1))=1,"WKND",INDEX(T_LEAVE[LEAVE CODE],SUMPRODUCT(--(T_LEAVE[NAME]=$B90),--(T_LEAVE[DATE]&lt;=AH$8),--(T_LEAVE[DATE]&gt;=AH$8),ROW(T_LEAVE[LEAVE CODE]))-ROW(T_LEAVE[#Headers]))))))),"")</f>
        <v/>
      </c>
      <c r="AJ90" s="88">
        <f>IF(OR($B90="",AJ$8=""),"",COUNTIFS($D90:$AH90,AJ$8)*INDEX(T_LEAVETYPE[DAY VALUE],1))</f>
        <v>0</v>
      </c>
      <c r="AK90" s="88">
        <f>IF(OR($B90="",AK$8=""),"",COUNTIFS($D90:$AH90,AK$8)*INDEX(T_LEAVETYPE[DAY VALUE],1))</f>
        <v>0</v>
      </c>
      <c r="AL90" s="88">
        <f>IF(OR($B90="",AL$8=""),"",COUNTIFS($D90:$AH90,AL$8)*INDEX(T_LEAVETYPE[DAY VALUE],1))</f>
        <v>0</v>
      </c>
      <c r="AM90" s="88">
        <f>IF(OR($B90="",AM$8=""),"",COUNTIFS($D90:$AH90,AM$8)*INDEX(T_LEAVETYPE[DAY VALUE],1))</f>
        <v>0</v>
      </c>
      <c r="AN90" s="88">
        <f>IF(OR($B90="",AN$8=""),"",COUNTIFS($D90:$AH90,AN$8)*INDEX(T_LEAVETYPE[DAY VALUE],1))</f>
        <v>0</v>
      </c>
      <c r="AO90" s="88">
        <f>IF(OR($B90="",AO$8=""),"",COUNTIFS($D90:$AH90,AO$8)*INDEX(T_LEAVETYPE[DAY VALUE],6))</f>
        <v>0</v>
      </c>
      <c r="AP90" s="88">
        <f>IF(OR($B90="",AP$8=""),"",COUNTIFS($D90:$AH90,AP$8)*INDEX(T_LEAVETYPE[DAY VALUE],7))</f>
        <v>0</v>
      </c>
      <c r="AQ90" s="88">
        <f>IF(OR($B90="",AQ$8=""),"",COUNTIFS($D90:$AH90,AQ$8)*INDEX(T_LEAVETYPE[DAY VALUE],8))</f>
        <v>0</v>
      </c>
      <c r="AR90" s="89">
        <f t="shared" si="5"/>
        <v>0</v>
      </c>
    </row>
    <row r="91" spans="1:44" x14ac:dyDescent="0.25">
      <c r="A91" s="90">
        <f t="shared" si="4"/>
        <v>83</v>
      </c>
      <c r="B91" s="74" t="str">
        <f>IFERROR(INDEX(T_EMP[NAME],ROW(B91)-ROW($B$8)),"")</f>
        <v>MENDOZA-SARIP, KATHRINA</v>
      </c>
      <c r="C91" s="91" t="str">
        <f>IFERROR(INDEX(T_EMP[DEPARTMENT],ROW(B91)-ROW($C$8)),"")</f>
        <v>WFM</v>
      </c>
      <c r="D91" s="75" t="str">
        <f>IFERROR(IF(D$8="","NA",IF(D$8&lt;INDEX(T_EMP[START DATE],ROW($B91)-ROW($B$8)),"NE",IF(AND(INDEX(T_EMP[TERMINATION DATE],ROW($B91)-ROW($B$8))&gt;0,D$8&gt;INDEX(T_EMP[TERMINATION DATE],ROW($B91)-ROW($B$8))),"NE",IF(NOT(ISERROR(MATCH(D$8,L_HOLS,0))),"H",IF(INDEX(L_WKNDVAL,WEEKDAY(D$8,1))=1,"WKND",INDEX(T_LEAVE[LEAVE CODE],SUMPRODUCT(--(T_LEAVE[NAME]=$B91),--(T_LEAVE[DATE]&lt;=D$8),--(T_LEAVE[DATE]&gt;=D$8),ROW(T_LEAVE[LEAVE CODE]))-ROW(T_LEAVE[#Headers]))))))),"")</f>
        <v>H</v>
      </c>
      <c r="E91" s="75" t="str">
        <f>IFERROR(IF(E$8="","NA",IF(E$8&lt;INDEX(T_EMP[START DATE],ROW($B91)-ROW($B$8)),"NE",IF(AND(INDEX(T_EMP[TERMINATION DATE],ROW($B91)-ROW($B$8))&gt;0,E$8&gt;INDEX(T_EMP[TERMINATION DATE],ROW($B91)-ROW($B$8))),"NE",IF(NOT(ISERROR(MATCH(E$8,L_HOLS,0))),"H",IF(INDEX(L_WKNDVAL,WEEKDAY(E$8,1))=1,"WKND",INDEX(T_LEAVE[LEAVE CODE],SUMPRODUCT(--(T_LEAVE[NAME]=$B91),--(T_LEAVE[DATE]&lt;=E$8),--(T_LEAVE[DATE]&gt;=E$8),ROW(T_LEAVE[LEAVE CODE]))-ROW(T_LEAVE[#Headers]))))))),"")</f>
        <v/>
      </c>
      <c r="F91" s="75" t="str">
        <f>IFERROR(IF(F$8="","NA",IF(F$8&lt;INDEX(T_EMP[START DATE],ROW($B91)-ROW($B$8)),"NE",IF(AND(INDEX(T_EMP[TERMINATION DATE],ROW($B91)-ROW($B$8))&gt;0,F$8&gt;INDEX(T_EMP[TERMINATION DATE],ROW($B91)-ROW($B$8))),"NE",IF(NOT(ISERROR(MATCH(F$8,L_HOLS,0))),"H",IF(INDEX(L_WKNDVAL,WEEKDAY(F$8,1))=1,"WKND",INDEX(T_LEAVE[LEAVE CODE],SUMPRODUCT(--(T_LEAVE[NAME]=$B91),--(T_LEAVE[DATE]&lt;=F$8),--(T_LEAVE[DATE]&gt;=F$8),ROW(T_LEAVE[LEAVE CODE]))-ROW(T_LEAVE[#Headers]))))))),"")</f>
        <v/>
      </c>
      <c r="G91" s="75" t="str">
        <f>IFERROR(IF(G$8="","NA",IF(G$8&lt;INDEX(T_EMP[START DATE],ROW($B91)-ROW($B$8)),"NE",IF(AND(INDEX(T_EMP[TERMINATION DATE],ROW($B91)-ROW($B$8))&gt;0,G$8&gt;INDEX(T_EMP[TERMINATION DATE],ROW($B91)-ROW($B$8))),"NE",IF(NOT(ISERROR(MATCH(G$8,L_HOLS,0))),"H",IF(INDEX(L_WKNDVAL,WEEKDAY(G$8,1))=1,"WKND",INDEX(T_LEAVE[LEAVE CODE],SUMPRODUCT(--(T_LEAVE[NAME]=$B91),--(T_LEAVE[DATE]&lt;=G$8),--(T_LEAVE[DATE]&gt;=G$8),ROW(T_LEAVE[LEAVE CODE]))-ROW(T_LEAVE[#Headers]))))))),"")</f>
        <v/>
      </c>
      <c r="H91" s="75" t="str">
        <f>IFERROR(IF(H$8="","NA",IF(H$8&lt;INDEX(T_EMP[START DATE],ROW($B91)-ROW($B$8)),"NE",IF(AND(INDEX(T_EMP[TERMINATION DATE],ROW($B91)-ROW($B$8))&gt;0,H$8&gt;INDEX(T_EMP[TERMINATION DATE],ROW($B91)-ROW($B$8))),"NE",IF(NOT(ISERROR(MATCH(H$8,L_HOLS,0))),"H",IF(INDEX(L_WKNDVAL,WEEKDAY(H$8,1))=1,"WKND",INDEX(T_LEAVE[LEAVE CODE],SUMPRODUCT(--(T_LEAVE[NAME]=$B91),--(T_LEAVE[DATE]&lt;=H$8),--(T_LEAVE[DATE]&gt;=H$8),ROW(T_LEAVE[LEAVE CODE]))-ROW(T_LEAVE[#Headers]))))))),"")</f>
        <v/>
      </c>
      <c r="I91" s="75" t="str">
        <f>IFERROR(IF(I$8="","NA",IF(I$8&lt;INDEX(T_EMP[START DATE],ROW($B91)-ROW($B$8)),"NE",IF(AND(INDEX(T_EMP[TERMINATION DATE],ROW($B91)-ROW($B$8))&gt;0,I$8&gt;INDEX(T_EMP[TERMINATION DATE],ROW($B91)-ROW($B$8))),"NE",IF(NOT(ISERROR(MATCH(I$8,L_HOLS,0))),"H",IF(INDEX(L_WKNDVAL,WEEKDAY(I$8,1))=1,"WKND",INDEX(T_LEAVE[LEAVE CODE],SUMPRODUCT(--(T_LEAVE[NAME]=$B91),--(T_LEAVE[DATE]&lt;=I$8),--(T_LEAVE[DATE]&gt;=I$8),ROW(T_LEAVE[LEAVE CODE]))-ROW(T_LEAVE[#Headers]))))))),"")</f>
        <v/>
      </c>
      <c r="J91" s="75" t="str">
        <f>IFERROR(IF(J$8="","NA",IF(J$8&lt;INDEX(T_EMP[START DATE],ROW($B91)-ROW($B$8)),"NE",IF(AND(INDEX(T_EMP[TERMINATION DATE],ROW($B91)-ROW($B$8))&gt;0,J$8&gt;INDEX(T_EMP[TERMINATION DATE],ROW($B91)-ROW($B$8))),"NE",IF(NOT(ISERROR(MATCH(J$8,L_HOLS,0))),"H",IF(INDEX(L_WKNDVAL,WEEKDAY(J$8,1))=1,"WKND",INDEX(T_LEAVE[LEAVE CODE],SUMPRODUCT(--(T_LEAVE[NAME]=$B91),--(T_LEAVE[DATE]&lt;=J$8),--(T_LEAVE[DATE]&gt;=J$8),ROW(T_LEAVE[LEAVE CODE]))-ROW(T_LEAVE[#Headers]))))))),"")</f>
        <v/>
      </c>
      <c r="K91" s="75" t="str">
        <f>IFERROR(IF(K$8="","NA",IF(K$8&lt;INDEX(T_EMP[START DATE],ROW($B91)-ROW($B$8)),"NE",IF(AND(INDEX(T_EMP[TERMINATION DATE],ROW($B91)-ROW($B$8))&gt;0,K$8&gt;INDEX(T_EMP[TERMINATION DATE],ROW($B91)-ROW($B$8))),"NE",IF(NOT(ISERROR(MATCH(K$8,L_HOLS,0))),"H",IF(INDEX(L_WKNDVAL,WEEKDAY(K$8,1))=1,"WKND",INDEX(T_LEAVE[LEAVE CODE],SUMPRODUCT(--(T_LEAVE[NAME]=$B91),--(T_LEAVE[DATE]&lt;=K$8),--(T_LEAVE[DATE]&gt;=K$8),ROW(T_LEAVE[LEAVE CODE]))-ROW(T_LEAVE[#Headers]))))))),"")</f>
        <v/>
      </c>
      <c r="L91" s="75" t="str">
        <f>IFERROR(IF(L$8="","NA",IF(L$8&lt;INDEX(T_EMP[START DATE],ROW($B91)-ROW($B$8)),"NE",IF(AND(INDEX(T_EMP[TERMINATION DATE],ROW($B91)-ROW($B$8))&gt;0,L$8&gt;INDEX(T_EMP[TERMINATION DATE],ROW($B91)-ROW($B$8))),"NE",IF(NOT(ISERROR(MATCH(L$8,L_HOLS,0))),"H",IF(INDEX(L_WKNDVAL,WEEKDAY(L$8,1))=1,"WKND",INDEX(T_LEAVE[LEAVE CODE],SUMPRODUCT(--(T_LEAVE[NAME]=$B91),--(T_LEAVE[DATE]&lt;=L$8),--(T_LEAVE[DATE]&gt;=L$8),ROW(T_LEAVE[LEAVE CODE]))-ROW(T_LEAVE[#Headers]))))))),"")</f>
        <v/>
      </c>
      <c r="M91" s="75" t="str">
        <f>IFERROR(IF(M$8="","NA",IF(M$8&lt;INDEX(T_EMP[START DATE],ROW($B91)-ROW($B$8)),"NE",IF(AND(INDEX(T_EMP[TERMINATION DATE],ROW($B91)-ROW($B$8))&gt;0,M$8&gt;INDEX(T_EMP[TERMINATION DATE],ROW($B91)-ROW($B$8))),"NE",IF(NOT(ISERROR(MATCH(M$8,L_HOLS,0))),"H",IF(INDEX(L_WKNDVAL,WEEKDAY(M$8,1))=1,"WKND",INDEX(T_LEAVE[LEAVE CODE],SUMPRODUCT(--(T_LEAVE[NAME]=$B91),--(T_LEAVE[DATE]&lt;=M$8),--(T_LEAVE[DATE]&gt;=M$8),ROW(T_LEAVE[LEAVE CODE]))-ROW(T_LEAVE[#Headers]))))))),"")</f>
        <v/>
      </c>
      <c r="N91" s="75" t="str">
        <f>IFERROR(IF(N$8="","NA",IF(N$8&lt;INDEX(T_EMP[START DATE],ROW($B91)-ROW($B$8)),"NE",IF(AND(INDEX(T_EMP[TERMINATION DATE],ROW($B91)-ROW($B$8))&gt;0,N$8&gt;INDEX(T_EMP[TERMINATION DATE],ROW($B91)-ROW($B$8))),"NE",IF(NOT(ISERROR(MATCH(N$8,L_HOLS,0))),"H",IF(INDEX(L_WKNDVAL,WEEKDAY(N$8,1))=1,"WKND",INDEX(T_LEAVE[LEAVE CODE],SUMPRODUCT(--(T_LEAVE[NAME]=$B91),--(T_LEAVE[DATE]&lt;=N$8),--(T_LEAVE[DATE]&gt;=N$8),ROW(T_LEAVE[LEAVE CODE]))-ROW(T_LEAVE[#Headers]))))))),"")</f>
        <v/>
      </c>
      <c r="O91" s="75" t="str">
        <f>IFERROR(IF(O$8="","NA",IF(O$8&lt;INDEX(T_EMP[START DATE],ROW($B91)-ROW($B$8)),"NE",IF(AND(INDEX(T_EMP[TERMINATION DATE],ROW($B91)-ROW($B$8))&gt;0,O$8&gt;INDEX(T_EMP[TERMINATION DATE],ROW($B91)-ROW($B$8))),"NE",IF(NOT(ISERROR(MATCH(O$8,L_HOLS,0))),"H",IF(INDEX(L_WKNDVAL,WEEKDAY(O$8,1))=1,"WKND",INDEX(T_LEAVE[LEAVE CODE],SUMPRODUCT(--(T_LEAVE[NAME]=$B91),--(T_LEAVE[DATE]&lt;=O$8),--(T_LEAVE[DATE]&gt;=O$8),ROW(T_LEAVE[LEAVE CODE]))-ROW(T_LEAVE[#Headers]))))))),"")</f>
        <v/>
      </c>
      <c r="P91" s="75" t="str">
        <f>IFERROR(IF(P$8="","NA",IF(P$8&lt;INDEX(T_EMP[START DATE],ROW($B91)-ROW($B$8)),"NE",IF(AND(INDEX(T_EMP[TERMINATION DATE],ROW($B91)-ROW($B$8))&gt;0,P$8&gt;INDEX(T_EMP[TERMINATION DATE],ROW($B91)-ROW($B$8))),"NE",IF(NOT(ISERROR(MATCH(P$8,L_HOLS,0))),"H",IF(INDEX(L_WKNDVAL,WEEKDAY(P$8,1))=1,"WKND",INDEX(T_LEAVE[LEAVE CODE],SUMPRODUCT(--(T_LEAVE[NAME]=$B91),--(T_LEAVE[DATE]&lt;=P$8),--(T_LEAVE[DATE]&gt;=P$8),ROW(T_LEAVE[LEAVE CODE]))-ROW(T_LEAVE[#Headers]))))))),"")</f>
        <v>H</v>
      </c>
      <c r="Q91" s="75" t="str">
        <f>IFERROR(IF(Q$8="","NA",IF(Q$8&lt;INDEX(T_EMP[START DATE],ROW($B91)-ROW($B$8)),"NE",IF(AND(INDEX(T_EMP[TERMINATION DATE],ROW($B91)-ROW($B$8))&gt;0,Q$8&gt;INDEX(T_EMP[TERMINATION DATE],ROW($B91)-ROW($B$8))),"NE",IF(NOT(ISERROR(MATCH(Q$8,L_HOLS,0))),"H",IF(INDEX(L_WKNDVAL,WEEKDAY(Q$8,1))=1,"WKND",INDEX(T_LEAVE[LEAVE CODE],SUMPRODUCT(--(T_LEAVE[NAME]=$B91),--(T_LEAVE[DATE]&lt;=Q$8),--(T_LEAVE[DATE]&gt;=Q$8),ROW(T_LEAVE[LEAVE CODE]))-ROW(T_LEAVE[#Headers]))))))),"")</f>
        <v/>
      </c>
      <c r="R91" s="75" t="str">
        <f>IFERROR(IF(R$8="","NA",IF(R$8&lt;INDEX(T_EMP[START DATE],ROW($B91)-ROW($B$8)),"NE",IF(AND(INDEX(T_EMP[TERMINATION DATE],ROW($B91)-ROW($B$8))&gt;0,R$8&gt;INDEX(T_EMP[TERMINATION DATE],ROW($B91)-ROW($B$8))),"NE",IF(NOT(ISERROR(MATCH(R$8,L_HOLS,0))),"H",IF(INDEX(L_WKNDVAL,WEEKDAY(R$8,1))=1,"WKND",INDEX(T_LEAVE[LEAVE CODE],SUMPRODUCT(--(T_LEAVE[NAME]=$B91),--(T_LEAVE[DATE]&lt;=R$8),--(T_LEAVE[DATE]&gt;=R$8),ROW(T_LEAVE[LEAVE CODE]))-ROW(T_LEAVE[#Headers]))))))),"")</f>
        <v/>
      </c>
      <c r="S91" s="75" t="str">
        <f>IFERROR(IF(S$8="","NA",IF(S$8&lt;INDEX(T_EMP[START DATE],ROW($B91)-ROW($B$8)),"NE",IF(AND(INDEX(T_EMP[TERMINATION DATE],ROW($B91)-ROW($B$8))&gt;0,S$8&gt;INDEX(T_EMP[TERMINATION DATE],ROW($B91)-ROW($B$8))),"NE",IF(NOT(ISERROR(MATCH(S$8,L_HOLS,0))),"H",IF(INDEX(L_WKNDVAL,WEEKDAY(S$8,1))=1,"WKND",INDEX(T_LEAVE[LEAVE CODE],SUMPRODUCT(--(T_LEAVE[NAME]=$B91),--(T_LEAVE[DATE]&lt;=S$8),--(T_LEAVE[DATE]&gt;=S$8),ROW(T_LEAVE[LEAVE CODE]))-ROW(T_LEAVE[#Headers]))))))),"")</f>
        <v/>
      </c>
      <c r="T91" s="75" t="str">
        <f>IFERROR(IF(T$8="","NA",IF(T$8&lt;INDEX(T_EMP[START DATE],ROW($B91)-ROW($B$8)),"NE",IF(AND(INDEX(T_EMP[TERMINATION DATE],ROW($B91)-ROW($B$8))&gt;0,T$8&gt;INDEX(T_EMP[TERMINATION DATE],ROW($B91)-ROW($B$8))),"NE",IF(NOT(ISERROR(MATCH(T$8,L_HOLS,0))),"H",IF(INDEX(L_WKNDVAL,WEEKDAY(T$8,1))=1,"WKND",INDEX(T_LEAVE[LEAVE CODE],SUMPRODUCT(--(T_LEAVE[NAME]=$B91),--(T_LEAVE[DATE]&lt;=T$8),--(T_LEAVE[DATE]&gt;=T$8),ROW(T_LEAVE[LEAVE CODE]))-ROW(T_LEAVE[#Headers]))))))),"")</f>
        <v/>
      </c>
      <c r="U91" s="75" t="str">
        <f>IFERROR(IF(U$8="","NA",IF(U$8&lt;INDEX(T_EMP[START DATE],ROW($B91)-ROW($B$8)),"NE",IF(AND(INDEX(T_EMP[TERMINATION DATE],ROW($B91)-ROW($B$8))&gt;0,U$8&gt;INDEX(T_EMP[TERMINATION DATE],ROW($B91)-ROW($B$8))),"NE",IF(NOT(ISERROR(MATCH(U$8,L_HOLS,0))),"H",IF(INDEX(L_WKNDVAL,WEEKDAY(U$8,1))=1,"WKND",INDEX(T_LEAVE[LEAVE CODE],SUMPRODUCT(--(T_LEAVE[NAME]=$B91),--(T_LEAVE[DATE]&lt;=U$8),--(T_LEAVE[DATE]&gt;=U$8),ROW(T_LEAVE[LEAVE CODE]))-ROW(T_LEAVE[#Headers]))))))),"")</f>
        <v/>
      </c>
      <c r="V91" s="75" t="str">
        <f>IFERROR(IF(V$8="","NA",IF(V$8&lt;INDEX(T_EMP[START DATE],ROW($B91)-ROW($B$8)),"NE",IF(AND(INDEX(T_EMP[TERMINATION DATE],ROW($B91)-ROW($B$8))&gt;0,V$8&gt;INDEX(T_EMP[TERMINATION DATE],ROW($B91)-ROW($B$8))),"NE",IF(NOT(ISERROR(MATCH(V$8,L_HOLS,0))),"H",IF(INDEX(L_WKNDVAL,WEEKDAY(V$8,1))=1,"WKND",INDEX(T_LEAVE[LEAVE CODE],SUMPRODUCT(--(T_LEAVE[NAME]=$B91),--(T_LEAVE[DATE]&lt;=V$8),--(T_LEAVE[DATE]&gt;=V$8),ROW(T_LEAVE[LEAVE CODE]))-ROW(T_LEAVE[#Headers]))))))),"")</f>
        <v/>
      </c>
      <c r="W91" s="75" t="str">
        <f>IFERROR(IF(W$8="","NA",IF(W$8&lt;INDEX(T_EMP[START DATE],ROW($B91)-ROW($B$8)),"NE",IF(AND(INDEX(T_EMP[TERMINATION DATE],ROW($B91)-ROW($B$8))&gt;0,W$8&gt;INDEX(T_EMP[TERMINATION DATE],ROW($B91)-ROW($B$8))),"NE",IF(NOT(ISERROR(MATCH(W$8,L_HOLS,0))),"H",IF(INDEX(L_WKNDVAL,WEEKDAY(W$8,1))=1,"WKND",INDEX(T_LEAVE[LEAVE CODE],SUMPRODUCT(--(T_LEAVE[NAME]=$B91),--(T_LEAVE[DATE]&lt;=W$8),--(T_LEAVE[DATE]&gt;=W$8),ROW(T_LEAVE[LEAVE CODE]))-ROW(T_LEAVE[#Headers]))))))),"")</f>
        <v/>
      </c>
      <c r="X91" s="75" t="str">
        <f>IFERROR(IF(X$8="","NA",IF(X$8&lt;INDEX(T_EMP[START DATE],ROW($B91)-ROW($B$8)),"NE",IF(AND(INDEX(T_EMP[TERMINATION DATE],ROW($B91)-ROW($B$8))&gt;0,X$8&gt;INDEX(T_EMP[TERMINATION DATE],ROW($B91)-ROW($B$8))),"NE",IF(NOT(ISERROR(MATCH(X$8,L_HOLS,0))),"H",IF(INDEX(L_WKNDVAL,WEEKDAY(X$8,1))=1,"WKND",INDEX(T_LEAVE[LEAVE CODE],SUMPRODUCT(--(T_LEAVE[NAME]=$B91),--(T_LEAVE[DATE]&lt;=X$8),--(T_LEAVE[DATE]&gt;=X$8),ROW(T_LEAVE[LEAVE CODE]))-ROW(T_LEAVE[#Headers]))))))),"")</f>
        <v/>
      </c>
      <c r="Y91" s="75" t="str">
        <f>IFERROR(IF(Y$8="","NA",IF(Y$8&lt;INDEX(T_EMP[START DATE],ROW($B91)-ROW($B$8)),"NE",IF(AND(INDEX(T_EMP[TERMINATION DATE],ROW($B91)-ROW($B$8))&gt;0,Y$8&gt;INDEX(T_EMP[TERMINATION DATE],ROW($B91)-ROW($B$8))),"NE",IF(NOT(ISERROR(MATCH(Y$8,L_HOLS,0))),"H",IF(INDEX(L_WKNDVAL,WEEKDAY(Y$8,1))=1,"WKND",INDEX(T_LEAVE[LEAVE CODE],SUMPRODUCT(--(T_LEAVE[NAME]=$B91),--(T_LEAVE[DATE]&lt;=Y$8),--(T_LEAVE[DATE]&gt;=Y$8),ROW(T_LEAVE[LEAVE CODE]))-ROW(T_LEAVE[#Headers]))))))),"")</f>
        <v/>
      </c>
      <c r="Z91" s="75" t="str">
        <f>IFERROR(IF(Z$8="","NA",IF(Z$8&lt;INDEX(T_EMP[START DATE],ROW($B91)-ROW($B$8)),"NE",IF(AND(INDEX(T_EMP[TERMINATION DATE],ROW($B91)-ROW($B$8))&gt;0,Z$8&gt;INDEX(T_EMP[TERMINATION DATE],ROW($B91)-ROW($B$8))),"NE",IF(NOT(ISERROR(MATCH(Z$8,L_HOLS,0))),"H",IF(INDEX(L_WKNDVAL,WEEKDAY(Z$8,1))=1,"WKND",INDEX(T_LEAVE[LEAVE CODE],SUMPRODUCT(--(T_LEAVE[NAME]=$B91),--(T_LEAVE[DATE]&lt;=Z$8),--(T_LEAVE[DATE]&gt;=Z$8),ROW(T_LEAVE[LEAVE CODE]))-ROW(T_LEAVE[#Headers]))))))),"")</f>
        <v/>
      </c>
      <c r="AA91" s="75" t="str">
        <f>IFERROR(IF(AA$8="","NA",IF(AA$8&lt;INDEX(T_EMP[START DATE],ROW($B91)-ROW($B$8)),"NE",IF(AND(INDEX(T_EMP[TERMINATION DATE],ROW($B91)-ROW($B$8))&gt;0,AA$8&gt;INDEX(T_EMP[TERMINATION DATE],ROW($B91)-ROW($B$8))),"NE",IF(NOT(ISERROR(MATCH(AA$8,L_HOLS,0))),"H",IF(INDEX(L_WKNDVAL,WEEKDAY(AA$8,1))=1,"WKND",INDEX(T_LEAVE[LEAVE CODE],SUMPRODUCT(--(T_LEAVE[NAME]=$B91),--(T_LEAVE[DATE]&lt;=AA$8),--(T_LEAVE[DATE]&gt;=AA$8),ROW(T_LEAVE[LEAVE CODE]))-ROW(T_LEAVE[#Headers]))))))),"")</f>
        <v/>
      </c>
      <c r="AB91" s="75" t="str">
        <f>IFERROR(IF(AB$8="","NA",IF(AB$8&lt;INDEX(T_EMP[START DATE],ROW($B91)-ROW($B$8)),"NE",IF(AND(INDEX(T_EMP[TERMINATION DATE],ROW($B91)-ROW($B$8))&gt;0,AB$8&gt;INDEX(T_EMP[TERMINATION DATE],ROW($B91)-ROW($B$8))),"NE",IF(NOT(ISERROR(MATCH(AB$8,L_HOLS,0))),"H",IF(INDEX(L_WKNDVAL,WEEKDAY(AB$8,1))=1,"WKND",INDEX(T_LEAVE[LEAVE CODE],SUMPRODUCT(--(T_LEAVE[NAME]=$B91),--(T_LEAVE[DATE]&lt;=AB$8),--(T_LEAVE[DATE]&gt;=AB$8),ROW(T_LEAVE[LEAVE CODE]))-ROW(T_LEAVE[#Headers]))))))),"")</f>
        <v/>
      </c>
      <c r="AC91" s="75" t="str">
        <f>IFERROR(IF(AC$8="","NA",IF(AC$8&lt;INDEX(T_EMP[START DATE],ROW($B91)-ROW($B$8)),"NE",IF(AND(INDEX(T_EMP[TERMINATION DATE],ROW($B91)-ROW($B$8))&gt;0,AC$8&gt;INDEX(T_EMP[TERMINATION DATE],ROW($B91)-ROW($B$8))),"NE",IF(NOT(ISERROR(MATCH(AC$8,L_HOLS,0))),"H",IF(INDEX(L_WKNDVAL,WEEKDAY(AC$8,1))=1,"WKND",INDEX(T_LEAVE[LEAVE CODE],SUMPRODUCT(--(T_LEAVE[NAME]=$B91),--(T_LEAVE[DATE]&lt;=AC$8),--(T_LEAVE[DATE]&gt;=AC$8),ROW(T_LEAVE[LEAVE CODE]))-ROW(T_LEAVE[#Headers]))))))),"")</f>
        <v/>
      </c>
      <c r="AD91" s="75" t="str">
        <f>IFERROR(IF(AD$8="","NA",IF(AD$8&lt;INDEX(T_EMP[START DATE],ROW($B91)-ROW($B$8)),"NE",IF(AND(INDEX(T_EMP[TERMINATION DATE],ROW($B91)-ROW($B$8))&gt;0,AD$8&gt;INDEX(T_EMP[TERMINATION DATE],ROW($B91)-ROW($B$8))),"NE",IF(NOT(ISERROR(MATCH(AD$8,L_HOLS,0))),"H",IF(INDEX(L_WKNDVAL,WEEKDAY(AD$8,1))=1,"WKND",INDEX(T_LEAVE[LEAVE CODE],SUMPRODUCT(--(T_LEAVE[NAME]=$B91),--(T_LEAVE[DATE]&lt;=AD$8),--(T_LEAVE[DATE]&gt;=AD$8),ROW(T_LEAVE[LEAVE CODE]))-ROW(T_LEAVE[#Headers]))))))),"")</f>
        <v/>
      </c>
      <c r="AE91" s="75" t="str">
        <f>IFERROR(IF(AE$8="","NA",IF(AE$8&lt;INDEX(T_EMP[START DATE],ROW($B91)-ROW($B$8)),"NE",IF(AND(INDEX(T_EMP[TERMINATION DATE],ROW($B91)-ROW($B$8))&gt;0,AE$8&gt;INDEX(T_EMP[TERMINATION DATE],ROW($B91)-ROW($B$8))),"NE",IF(NOT(ISERROR(MATCH(AE$8,L_HOLS,0))),"H",IF(INDEX(L_WKNDVAL,WEEKDAY(AE$8,1))=1,"WKND",INDEX(T_LEAVE[LEAVE CODE],SUMPRODUCT(--(T_LEAVE[NAME]=$B91),--(T_LEAVE[DATE]&lt;=AE$8),--(T_LEAVE[DATE]&gt;=AE$8),ROW(T_LEAVE[LEAVE CODE]))-ROW(T_LEAVE[#Headers]))))))),"")</f>
        <v/>
      </c>
      <c r="AF91" s="75" t="str">
        <f>IFERROR(IF(AF$8="","NA",IF(AF$8&lt;INDEX(T_EMP[START DATE],ROW($B91)-ROW($B$8)),"NE",IF(AND(INDEX(T_EMP[TERMINATION DATE],ROW($B91)-ROW($B$8))&gt;0,AF$8&gt;INDEX(T_EMP[TERMINATION DATE],ROW($B91)-ROW($B$8))),"NE",IF(NOT(ISERROR(MATCH(AF$8,L_HOLS,0))),"H",IF(INDEX(L_WKNDVAL,WEEKDAY(AF$8,1))=1,"WKND",INDEX(T_LEAVE[LEAVE CODE],SUMPRODUCT(--(T_LEAVE[NAME]=$B91),--(T_LEAVE[DATE]&lt;=AF$8),--(T_LEAVE[DATE]&gt;=AF$8),ROW(T_LEAVE[LEAVE CODE]))-ROW(T_LEAVE[#Headers]))))))),"")</f>
        <v/>
      </c>
      <c r="AG91" s="75" t="str">
        <f>IFERROR(IF(AG$8="","NA",IF(AG$8&lt;INDEX(T_EMP[START DATE],ROW($B91)-ROW($B$8)),"NE",IF(AND(INDEX(T_EMP[TERMINATION DATE],ROW($B91)-ROW($B$8))&gt;0,AG$8&gt;INDEX(T_EMP[TERMINATION DATE],ROW($B91)-ROW($B$8))),"NE",IF(NOT(ISERROR(MATCH(AG$8,L_HOLS,0))),"H",IF(INDEX(L_WKNDVAL,WEEKDAY(AG$8,1))=1,"WKND",INDEX(T_LEAVE[LEAVE CODE],SUMPRODUCT(--(T_LEAVE[NAME]=$B91),--(T_LEAVE[DATE]&lt;=AG$8),--(T_LEAVE[DATE]&gt;=AG$8),ROW(T_LEAVE[LEAVE CODE]))-ROW(T_LEAVE[#Headers]))))))),"")</f>
        <v/>
      </c>
      <c r="AH91" s="75" t="str">
        <f>IFERROR(IF(AH$8="","NA",IF(AH$8&lt;INDEX(T_EMP[START DATE],ROW($B91)-ROW($B$8)),"NE",IF(AND(INDEX(T_EMP[TERMINATION DATE],ROW($B91)-ROW($B$8))&gt;0,AH$8&gt;INDEX(T_EMP[TERMINATION DATE],ROW($B91)-ROW($B$8))),"NE",IF(NOT(ISERROR(MATCH(AH$8,L_HOLS,0))),"H",IF(INDEX(L_WKNDVAL,WEEKDAY(AH$8,1))=1,"WKND",INDEX(T_LEAVE[LEAVE CODE],SUMPRODUCT(--(T_LEAVE[NAME]=$B91),--(T_LEAVE[DATE]&lt;=AH$8),--(T_LEAVE[DATE]&gt;=AH$8),ROW(T_LEAVE[LEAVE CODE]))-ROW(T_LEAVE[#Headers]))))))),"")</f>
        <v/>
      </c>
      <c r="AJ91" s="88">
        <f>IF(OR($B91="",AJ$8=""),"",COUNTIFS($D91:$AH91,AJ$8)*INDEX(T_LEAVETYPE[DAY VALUE],1))</f>
        <v>0</v>
      </c>
      <c r="AK91" s="88">
        <f>IF(OR($B91="",AK$8=""),"",COUNTIFS($D91:$AH91,AK$8)*INDEX(T_LEAVETYPE[DAY VALUE],1))</f>
        <v>0</v>
      </c>
      <c r="AL91" s="88">
        <f>IF(OR($B91="",AL$8=""),"",COUNTIFS($D91:$AH91,AL$8)*INDEX(T_LEAVETYPE[DAY VALUE],1))</f>
        <v>0</v>
      </c>
      <c r="AM91" s="88">
        <f>IF(OR($B91="",AM$8=""),"",COUNTIFS($D91:$AH91,AM$8)*INDEX(T_LEAVETYPE[DAY VALUE],1))</f>
        <v>0</v>
      </c>
      <c r="AN91" s="88">
        <f>IF(OR($B91="",AN$8=""),"",COUNTIFS($D91:$AH91,AN$8)*INDEX(T_LEAVETYPE[DAY VALUE],1))</f>
        <v>0</v>
      </c>
      <c r="AO91" s="88">
        <f>IF(OR($B91="",AO$8=""),"",COUNTIFS($D91:$AH91,AO$8)*INDEX(T_LEAVETYPE[DAY VALUE],6))</f>
        <v>0</v>
      </c>
      <c r="AP91" s="88">
        <f>IF(OR($B91="",AP$8=""),"",COUNTIFS($D91:$AH91,AP$8)*INDEX(T_LEAVETYPE[DAY VALUE],7))</f>
        <v>0</v>
      </c>
      <c r="AQ91" s="88">
        <f>IF(OR($B91="",AQ$8=""),"",COUNTIFS($D91:$AH91,AQ$8)*INDEX(T_LEAVETYPE[DAY VALUE],8))</f>
        <v>0</v>
      </c>
      <c r="AR91" s="89">
        <f t="shared" si="5"/>
        <v>0</v>
      </c>
    </row>
    <row r="92" spans="1:44" x14ac:dyDescent="0.25">
      <c r="A92" s="90">
        <f t="shared" si="4"/>
        <v>84</v>
      </c>
      <c r="B92" s="74" t="str">
        <f>IFERROR(INDEX(T_EMP[NAME],ROW(B92)-ROW($B$8)),"")</f>
        <v>BERNARDO, RIGEL KENT</v>
      </c>
      <c r="C92" s="91" t="str">
        <f>IFERROR(INDEX(T_EMP[DEPARTMENT],ROW(B92)-ROW($C$8)),"")</f>
        <v>WFM</v>
      </c>
      <c r="D92" s="75" t="str">
        <f>IFERROR(IF(D$8="","NA",IF(D$8&lt;INDEX(T_EMP[START DATE],ROW($B92)-ROW($B$8)),"NE",IF(AND(INDEX(T_EMP[TERMINATION DATE],ROW($B92)-ROW($B$8))&gt;0,D$8&gt;INDEX(T_EMP[TERMINATION DATE],ROW($B92)-ROW($B$8))),"NE",IF(NOT(ISERROR(MATCH(D$8,L_HOLS,0))),"H",IF(INDEX(L_WKNDVAL,WEEKDAY(D$8,1))=1,"WKND",INDEX(T_LEAVE[LEAVE CODE],SUMPRODUCT(--(T_LEAVE[NAME]=$B92),--(T_LEAVE[DATE]&lt;=D$8),--(T_LEAVE[DATE]&gt;=D$8),ROW(T_LEAVE[LEAVE CODE]))-ROW(T_LEAVE[#Headers]))))))),"")</f>
        <v>H</v>
      </c>
      <c r="E92" s="75" t="str">
        <f>IFERROR(IF(E$8="","NA",IF(E$8&lt;INDEX(T_EMP[START DATE],ROW($B92)-ROW($B$8)),"NE",IF(AND(INDEX(T_EMP[TERMINATION DATE],ROW($B92)-ROW($B$8))&gt;0,E$8&gt;INDEX(T_EMP[TERMINATION DATE],ROW($B92)-ROW($B$8))),"NE",IF(NOT(ISERROR(MATCH(E$8,L_HOLS,0))),"H",IF(INDEX(L_WKNDVAL,WEEKDAY(E$8,1))=1,"WKND",INDEX(T_LEAVE[LEAVE CODE],SUMPRODUCT(--(T_LEAVE[NAME]=$B92),--(T_LEAVE[DATE]&lt;=E$8),--(T_LEAVE[DATE]&gt;=E$8),ROW(T_LEAVE[LEAVE CODE]))-ROW(T_LEAVE[#Headers]))))))),"")</f>
        <v/>
      </c>
      <c r="F92" s="75" t="str">
        <f>IFERROR(IF(F$8="","NA",IF(F$8&lt;INDEX(T_EMP[START DATE],ROW($B92)-ROW($B$8)),"NE",IF(AND(INDEX(T_EMP[TERMINATION DATE],ROW($B92)-ROW($B$8))&gt;0,F$8&gt;INDEX(T_EMP[TERMINATION DATE],ROW($B92)-ROW($B$8))),"NE",IF(NOT(ISERROR(MATCH(F$8,L_HOLS,0))),"H",IF(INDEX(L_WKNDVAL,WEEKDAY(F$8,1))=1,"WKND",INDEX(T_LEAVE[LEAVE CODE],SUMPRODUCT(--(T_LEAVE[NAME]=$B92),--(T_LEAVE[DATE]&lt;=F$8),--(T_LEAVE[DATE]&gt;=F$8),ROW(T_LEAVE[LEAVE CODE]))-ROW(T_LEAVE[#Headers]))))))),"")</f>
        <v/>
      </c>
      <c r="G92" s="75" t="str">
        <f>IFERROR(IF(G$8="","NA",IF(G$8&lt;INDEX(T_EMP[START DATE],ROW($B92)-ROW($B$8)),"NE",IF(AND(INDEX(T_EMP[TERMINATION DATE],ROW($B92)-ROW($B$8))&gt;0,G$8&gt;INDEX(T_EMP[TERMINATION DATE],ROW($B92)-ROW($B$8))),"NE",IF(NOT(ISERROR(MATCH(G$8,L_HOLS,0))),"H",IF(INDEX(L_WKNDVAL,WEEKDAY(G$8,1))=1,"WKND",INDEX(T_LEAVE[LEAVE CODE],SUMPRODUCT(--(T_LEAVE[NAME]=$B92),--(T_LEAVE[DATE]&lt;=G$8),--(T_LEAVE[DATE]&gt;=G$8),ROW(T_LEAVE[LEAVE CODE]))-ROW(T_LEAVE[#Headers]))))))),"")</f>
        <v/>
      </c>
      <c r="H92" s="75" t="str">
        <f>IFERROR(IF(H$8="","NA",IF(H$8&lt;INDEX(T_EMP[START DATE],ROW($B92)-ROW($B$8)),"NE",IF(AND(INDEX(T_EMP[TERMINATION DATE],ROW($B92)-ROW($B$8))&gt;0,H$8&gt;INDEX(T_EMP[TERMINATION DATE],ROW($B92)-ROW($B$8))),"NE",IF(NOT(ISERROR(MATCH(H$8,L_HOLS,0))),"H",IF(INDEX(L_WKNDVAL,WEEKDAY(H$8,1))=1,"WKND",INDEX(T_LEAVE[LEAVE CODE],SUMPRODUCT(--(T_LEAVE[NAME]=$B92),--(T_LEAVE[DATE]&lt;=H$8),--(T_LEAVE[DATE]&gt;=H$8),ROW(T_LEAVE[LEAVE CODE]))-ROW(T_LEAVE[#Headers]))))))),"")</f>
        <v/>
      </c>
      <c r="I92" s="75" t="str">
        <f>IFERROR(IF(I$8="","NA",IF(I$8&lt;INDEX(T_EMP[START DATE],ROW($B92)-ROW($B$8)),"NE",IF(AND(INDEX(T_EMP[TERMINATION DATE],ROW($B92)-ROW($B$8))&gt;0,I$8&gt;INDEX(T_EMP[TERMINATION DATE],ROW($B92)-ROW($B$8))),"NE",IF(NOT(ISERROR(MATCH(I$8,L_HOLS,0))),"H",IF(INDEX(L_WKNDVAL,WEEKDAY(I$8,1))=1,"WKND",INDEX(T_LEAVE[LEAVE CODE],SUMPRODUCT(--(T_LEAVE[NAME]=$B92),--(T_LEAVE[DATE]&lt;=I$8),--(T_LEAVE[DATE]&gt;=I$8),ROW(T_LEAVE[LEAVE CODE]))-ROW(T_LEAVE[#Headers]))))))),"")</f>
        <v/>
      </c>
      <c r="J92" s="75" t="str">
        <f>IFERROR(IF(J$8="","NA",IF(J$8&lt;INDEX(T_EMP[START DATE],ROW($B92)-ROW($B$8)),"NE",IF(AND(INDEX(T_EMP[TERMINATION DATE],ROW($B92)-ROW($B$8))&gt;0,J$8&gt;INDEX(T_EMP[TERMINATION DATE],ROW($B92)-ROW($B$8))),"NE",IF(NOT(ISERROR(MATCH(J$8,L_HOLS,0))),"H",IF(INDEX(L_WKNDVAL,WEEKDAY(J$8,1))=1,"WKND",INDEX(T_LEAVE[LEAVE CODE],SUMPRODUCT(--(T_LEAVE[NAME]=$B92),--(T_LEAVE[DATE]&lt;=J$8),--(T_LEAVE[DATE]&gt;=J$8),ROW(T_LEAVE[LEAVE CODE]))-ROW(T_LEAVE[#Headers]))))))),"")</f>
        <v/>
      </c>
      <c r="K92" s="75" t="str">
        <f>IFERROR(IF(K$8="","NA",IF(K$8&lt;INDEX(T_EMP[START DATE],ROW($B92)-ROW($B$8)),"NE",IF(AND(INDEX(T_EMP[TERMINATION DATE],ROW($B92)-ROW($B$8))&gt;0,K$8&gt;INDEX(T_EMP[TERMINATION DATE],ROW($B92)-ROW($B$8))),"NE",IF(NOT(ISERROR(MATCH(K$8,L_HOLS,0))),"H",IF(INDEX(L_WKNDVAL,WEEKDAY(K$8,1))=1,"WKND",INDEX(T_LEAVE[LEAVE CODE],SUMPRODUCT(--(T_LEAVE[NAME]=$B92),--(T_LEAVE[DATE]&lt;=K$8),--(T_LEAVE[DATE]&gt;=K$8),ROW(T_LEAVE[LEAVE CODE]))-ROW(T_LEAVE[#Headers]))))))),"")</f>
        <v/>
      </c>
      <c r="L92" s="75" t="str">
        <f>IFERROR(IF(L$8="","NA",IF(L$8&lt;INDEX(T_EMP[START DATE],ROW($B92)-ROW($B$8)),"NE",IF(AND(INDEX(T_EMP[TERMINATION DATE],ROW($B92)-ROW($B$8))&gt;0,L$8&gt;INDEX(T_EMP[TERMINATION DATE],ROW($B92)-ROW($B$8))),"NE",IF(NOT(ISERROR(MATCH(L$8,L_HOLS,0))),"H",IF(INDEX(L_WKNDVAL,WEEKDAY(L$8,1))=1,"WKND",INDEX(T_LEAVE[LEAVE CODE],SUMPRODUCT(--(T_LEAVE[NAME]=$B92),--(T_LEAVE[DATE]&lt;=L$8),--(T_LEAVE[DATE]&gt;=L$8),ROW(T_LEAVE[LEAVE CODE]))-ROW(T_LEAVE[#Headers]))))))),"")</f>
        <v/>
      </c>
      <c r="M92" s="75" t="str">
        <f>IFERROR(IF(M$8="","NA",IF(M$8&lt;INDEX(T_EMP[START DATE],ROW($B92)-ROW($B$8)),"NE",IF(AND(INDEX(T_EMP[TERMINATION DATE],ROW($B92)-ROW($B$8))&gt;0,M$8&gt;INDEX(T_EMP[TERMINATION DATE],ROW($B92)-ROW($B$8))),"NE",IF(NOT(ISERROR(MATCH(M$8,L_HOLS,0))),"H",IF(INDEX(L_WKNDVAL,WEEKDAY(M$8,1))=1,"WKND",INDEX(T_LEAVE[LEAVE CODE],SUMPRODUCT(--(T_LEAVE[NAME]=$B92),--(T_LEAVE[DATE]&lt;=M$8),--(T_LEAVE[DATE]&gt;=M$8),ROW(T_LEAVE[LEAVE CODE]))-ROW(T_LEAVE[#Headers]))))))),"")</f>
        <v/>
      </c>
      <c r="N92" s="75" t="str">
        <f>IFERROR(IF(N$8="","NA",IF(N$8&lt;INDEX(T_EMP[START DATE],ROW($B92)-ROW($B$8)),"NE",IF(AND(INDEX(T_EMP[TERMINATION DATE],ROW($B92)-ROW($B$8))&gt;0,N$8&gt;INDEX(T_EMP[TERMINATION DATE],ROW($B92)-ROW($B$8))),"NE",IF(NOT(ISERROR(MATCH(N$8,L_HOLS,0))),"H",IF(INDEX(L_WKNDVAL,WEEKDAY(N$8,1))=1,"WKND",INDEX(T_LEAVE[LEAVE CODE],SUMPRODUCT(--(T_LEAVE[NAME]=$B92),--(T_LEAVE[DATE]&lt;=N$8),--(T_LEAVE[DATE]&gt;=N$8),ROW(T_LEAVE[LEAVE CODE]))-ROW(T_LEAVE[#Headers]))))))),"")</f>
        <v/>
      </c>
      <c r="O92" s="75" t="str">
        <f>IFERROR(IF(O$8="","NA",IF(O$8&lt;INDEX(T_EMP[START DATE],ROW($B92)-ROW($B$8)),"NE",IF(AND(INDEX(T_EMP[TERMINATION DATE],ROW($B92)-ROW($B$8))&gt;0,O$8&gt;INDEX(T_EMP[TERMINATION DATE],ROW($B92)-ROW($B$8))),"NE",IF(NOT(ISERROR(MATCH(O$8,L_HOLS,0))),"H",IF(INDEX(L_WKNDVAL,WEEKDAY(O$8,1))=1,"WKND",INDEX(T_LEAVE[LEAVE CODE],SUMPRODUCT(--(T_LEAVE[NAME]=$B92),--(T_LEAVE[DATE]&lt;=O$8),--(T_LEAVE[DATE]&gt;=O$8),ROW(T_LEAVE[LEAVE CODE]))-ROW(T_LEAVE[#Headers]))))))),"")</f>
        <v/>
      </c>
      <c r="P92" s="75" t="str">
        <f>IFERROR(IF(P$8="","NA",IF(P$8&lt;INDEX(T_EMP[START DATE],ROW($B92)-ROW($B$8)),"NE",IF(AND(INDEX(T_EMP[TERMINATION DATE],ROW($B92)-ROW($B$8))&gt;0,P$8&gt;INDEX(T_EMP[TERMINATION DATE],ROW($B92)-ROW($B$8))),"NE",IF(NOT(ISERROR(MATCH(P$8,L_HOLS,0))),"H",IF(INDEX(L_WKNDVAL,WEEKDAY(P$8,1))=1,"WKND",INDEX(T_LEAVE[LEAVE CODE],SUMPRODUCT(--(T_LEAVE[NAME]=$B92),--(T_LEAVE[DATE]&lt;=P$8),--(T_LEAVE[DATE]&gt;=P$8),ROW(T_LEAVE[LEAVE CODE]))-ROW(T_LEAVE[#Headers]))))))),"")</f>
        <v>H</v>
      </c>
      <c r="Q92" s="75" t="str">
        <f>IFERROR(IF(Q$8="","NA",IF(Q$8&lt;INDEX(T_EMP[START DATE],ROW($B92)-ROW($B$8)),"NE",IF(AND(INDEX(T_EMP[TERMINATION DATE],ROW($B92)-ROW($B$8))&gt;0,Q$8&gt;INDEX(T_EMP[TERMINATION DATE],ROW($B92)-ROW($B$8))),"NE",IF(NOT(ISERROR(MATCH(Q$8,L_HOLS,0))),"H",IF(INDEX(L_WKNDVAL,WEEKDAY(Q$8,1))=1,"WKND",INDEX(T_LEAVE[LEAVE CODE],SUMPRODUCT(--(T_LEAVE[NAME]=$B92),--(T_LEAVE[DATE]&lt;=Q$8),--(T_LEAVE[DATE]&gt;=Q$8),ROW(T_LEAVE[LEAVE CODE]))-ROW(T_LEAVE[#Headers]))))))),"")</f>
        <v/>
      </c>
      <c r="R92" s="75" t="str">
        <f>IFERROR(IF(R$8="","NA",IF(R$8&lt;INDEX(T_EMP[START DATE],ROW($B92)-ROW($B$8)),"NE",IF(AND(INDEX(T_EMP[TERMINATION DATE],ROW($B92)-ROW($B$8))&gt;0,R$8&gt;INDEX(T_EMP[TERMINATION DATE],ROW($B92)-ROW($B$8))),"NE",IF(NOT(ISERROR(MATCH(R$8,L_HOLS,0))),"H",IF(INDEX(L_WKNDVAL,WEEKDAY(R$8,1))=1,"WKND",INDEX(T_LEAVE[LEAVE CODE],SUMPRODUCT(--(T_LEAVE[NAME]=$B92),--(T_LEAVE[DATE]&lt;=R$8),--(T_LEAVE[DATE]&gt;=R$8),ROW(T_LEAVE[LEAVE CODE]))-ROW(T_LEAVE[#Headers]))))))),"")</f>
        <v/>
      </c>
      <c r="S92" s="75" t="str">
        <f>IFERROR(IF(S$8="","NA",IF(S$8&lt;INDEX(T_EMP[START DATE],ROW($B92)-ROW($B$8)),"NE",IF(AND(INDEX(T_EMP[TERMINATION DATE],ROW($B92)-ROW($B$8))&gt;0,S$8&gt;INDEX(T_EMP[TERMINATION DATE],ROW($B92)-ROW($B$8))),"NE",IF(NOT(ISERROR(MATCH(S$8,L_HOLS,0))),"H",IF(INDEX(L_WKNDVAL,WEEKDAY(S$8,1))=1,"WKND",INDEX(T_LEAVE[LEAVE CODE],SUMPRODUCT(--(T_LEAVE[NAME]=$B92),--(T_LEAVE[DATE]&lt;=S$8),--(T_LEAVE[DATE]&gt;=S$8),ROW(T_LEAVE[LEAVE CODE]))-ROW(T_LEAVE[#Headers]))))))),"")</f>
        <v/>
      </c>
      <c r="T92" s="75" t="str">
        <f>IFERROR(IF(T$8="","NA",IF(T$8&lt;INDEX(T_EMP[START DATE],ROW($B92)-ROW($B$8)),"NE",IF(AND(INDEX(T_EMP[TERMINATION DATE],ROW($B92)-ROW($B$8))&gt;0,T$8&gt;INDEX(T_EMP[TERMINATION DATE],ROW($B92)-ROW($B$8))),"NE",IF(NOT(ISERROR(MATCH(T$8,L_HOLS,0))),"H",IF(INDEX(L_WKNDVAL,WEEKDAY(T$8,1))=1,"WKND",INDEX(T_LEAVE[LEAVE CODE],SUMPRODUCT(--(T_LEAVE[NAME]=$B92),--(T_LEAVE[DATE]&lt;=T$8),--(T_LEAVE[DATE]&gt;=T$8),ROW(T_LEAVE[LEAVE CODE]))-ROW(T_LEAVE[#Headers]))))))),"")</f>
        <v/>
      </c>
      <c r="U92" s="75" t="str">
        <f>IFERROR(IF(U$8="","NA",IF(U$8&lt;INDEX(T_EMP[START DATE],ROW($B92)-ROW($B$8)),"NE",IF(AND(INDEX(T_EMP[TERMINATION DATE],ROW($B92)-ROW($B$8))&gt;0,U$8&gt;INDEX(T_EMP[TERMINATION DATE],ROW($B92)-ROW($B$8))),"NE",IF(NOT(ISERROR(MATCH(U$8,L_HOLS,0))),"H",IF(INDEX(L_WKNDVAL,WEEKDAY(U$8,1))=1,"WKND",INDEX(T_LEAVE[LEAVE CODE],SUMPRODUCT(--(T_LEAVE[NAME]=$B92),--(T_LEAVE[DATE]&lt;=U$8),--(T_LEAVE[DATE]&gt;=U$8),ROW(T_LEAVE[LEAVE CODE]))-ROW(T_LEAVE[#Headers]))))))),"")</f>
        <v/>
      </c>
      <c r="V92" s="75" t="str">
        <f>IFERROR(IF(V$8="","NA",IF(V$8&lt;INDEX(T_EMP[START DATE],ROW($B92)-ROW($B$8)),"NE",IF(AND(INDEX(T_EMP[TERMINATION DATE],ROW($B92)-ROW($B$8))&gt;0,V$8&gt;INDEX(T_EMP[TERMINATION DATE],ROW($B92)-ROW($B$8))),"NE",IF(NOT(ISERROR(MATCH(V$8,L_HOLS,0))),"H",IF(INDEX(L_WKNDVAL,WEEKDAY(V$8,1))=1,"WKND",INDEX(T_LEAVE[LEAVE CODE],SUMPRODUCT(--(T_LEAVE[NAME]=$B92),--(T_LEAVE[DATE]&lt;=V$8),--(T_LEAVE[DATE]&gt;=V$8),ROW(T_LEAVE[LEAVE CODE]))-ROW(T_LEAVE[#Headers]))))))),"")</f>
        <v/>
      </c>
      <c r="W92" s="75" t="str">
        <f>IFERROR(IF(W$8="","NA",IF(W$8&lt;INDEX(T_EMP[START DATE],ROW($B92)-ROW($B$8)),"NE",IF(AND(INDEX(T_EMP[TERMINATION DATE],ROW($B92)-ROW($B$8))&gt;0,W$8&gt;INDEX(T_EMP[TERMINATION DATE],ROW($B92)-ROW($B$8))),"NE",IF(NOT(ISERROR(MATCH(W$8,L_HOLS,0))),"H",IF(INDEX(L_WKNDVAL,WEEKDAY(W$8,1))=1,"WKND",INDEX(T_LEAVE[LEAVE CODE],SUMPRODUCT(--(T_LEAVE[NAME]=$B92),--(T_LEAVE[DATE]&lt;=W$8),--(T_LEAVE[DATE]&gt;=W$8),ROW(T_LEAVE[LEAVE CODE]))-ROW(T_LEAVE[#Headers]))))))),"")</f>
        <v/>
      </c>
      <c r="X92" s="75" t="str">
        <f>IFERROR(IF(X$8="","NA",IF(X$8&lt;INDEX(T_EMP[START DATE],ROW($B92)-ROW($B$8)),"NE",IF(AND(INDEX(T_EMP[TERMINATION DATE],ROW($B92)-ROW($B$8))&gt;0,X$8&gt;INDEX(T_EMP[TERMINATION DATE],ROW($B92)-ROW($B$8))),"NE",IF(NOT(ISERROR(MATCH(X$8,L_HOLS,0))),"H",IF(INDEX(L_WKNDVAL,WEEKDAY(X$8,1))=1,"WKND",INDEX(T_LEAVE[LEAVE CODE],SUMPRODUCT(--(T_LEAVE[NAME]=$B92),--(T_LEAVE[DATE]&lt;=X$8),--(T_LEAVE[DATE]&gt;=X$8),ROW(T_LEAVE[LEAVE CODE]))-ROW(T_LEAVE[#Headers]))))))),"")</f>
        <v/>
      </c>
      <c r="Y92" s="75" t="str">
        <f>IFERROR(IF(Y$8="","NA",IF(Y$8&lt;INDEX(T_EMP[START DATE],ROW($B92)-ROW($B$8)),"NE",IF(AND(INDEX(T_EMP[TERMINATION DATE],ROW($B92)-ROW($B$8))&gt;0,Y$8&gt;INDEX(T_EMP[TERMINATION DATE],ROW($B92)-ROW($B$8))),"NE",IF(NOT(ISERROR(MATCH(Y$8,L_HOLS,0))),"H",IF(INDEX(L_WKNDVAL,WEEKDAY(Y$8,1))=1,"WKND",INDEX(T_LEAVE[LEAVE CODE],SUMPRODUCT(--(T_LEAVE[NAME]=$B92),--(T_LEAVE[DATE]&lt;=Y$8),--(T_LEAVE[DATE]&gt;=Y$8),ROW(T_LEAVE[LEAVE CODE]))-ROW(T_LEAVE[#Headers]))))))),"")</f>
        <v/>
      </c>
      <c r="Z92" s="75" t="str">
        <f>IFERROR(IF(Z$8="","NA",IF(Z$8&lt;INDEX(T_EMP[START DATE],ROW($B92)-ROW($B$8)),"NE",IF(AND(INDEX(T_EMP[TERMINATION DATE],ROW($B92)-ROW($B$8))&gt;0,Z$8&gt;INDEX(T_EMP[TERMINATION DATE],ROW($B92)-ROW($B$8))),"NE",IF(NOT(ISERROR(MATCH(Z$8,L_HOLS,0))),"H",IF(INDEX(L_WKNDVAL,WEEKDAY(Z$8,1))=1,"WKND",INDEX(T_LEAVE[LEAVE CODE],SUMPRODUCT(--(T_LEAVE[NAME]=$B92),--(T_LEAVE[DATE]&lt;=Z$8),--(T_LEAVE[DATE]&gt;=Z$8),ROW(T_LEAVE[LEAVE CODE]))-ROW(T_LEAVE[#Headers]))))))),"")</f>
        <v/>
      </c>
      <c r="AA92" s="75" t="str">
        <f>IFERROR(IF(AA$8="","NA",IF(AA$8&lt;INDEX(T_EMP[START DATE],ROW($B92)-ROW($B$8)),"NE",IF(AND(INDEX(T_EMP[TERMINATION DATE],ROW($B92)-ROW($B$8))&gt;0,AA$8&gt;INDEX(T_EMP[TERMINATION DATE],ROW($B92)-ROW($B$8))),"NE",IF(NOT(ISERROR(MATCH(AA$8,L_HOLS,0))),"H",IF(INDEX(L_WKNDVAL,WEEKDAY(AA$8,1))=1,"WKND",INDEX(T_LEAVE[LEAVE CODE],SUMPRODUCT(--(T_LEAVE[NAME]=$B92),--(T_LEAVE[DATE]&lt;=AA$8),--(T_LEAVE[DATE]&gt;=AA$8),ROW(T_LEAVE[LEAVE CODE]))-ROW(T_LEAVE[#Headers]))))))),"")</f>
        <v/>
      </c>
      <c r="AB92" s="75" t="str">
        <f>IFERROR(IF(AB$8="","NA",IF(AB$8&lt;INDEX(T_EMP[START DATE],ROW($B92)-ROW($B$8)),"NE",IF(AND(INDEX(T_EMP[TERMINATION DATE],ROW($B92)-ROW($B$8))&gt;0,AB$8&gt;INDEX(T_EMP[TERMINATION DATE],ROW($B92)-ROW($B$8))),"NE",IF(NOT(ISERROR(MATCH(AB$8,L_HOLS,0))),"H",IF(INDEX(L_WKNDVAL,WEEKDAY(AB$8,1))=1,"WKND",INDEX(T_LEAVE[LEAVE CODE],SUMPRODUCT(--(T_LEAVE[NAME]=$B92),--(T_LEAVE[DATE]&lt;=AB$8),--(T_LEAVE[DATE]&gt;=AB$8),ROW(T_LEAVE[LEAVE CODE]))-ROW(T_LEAVE[#Headers]))))))),"")</f>
        <v/>
      </c>
      <c r="AC92" s="75" t="str">
        <f>IFERROR(IF(AC$8="","NA",IF(AC$8&lt;INDEX(T_EMP[START DATE],ROW($B92)-ROW($B$8)),"NE",IF(AND(INDEX(T_EMP[TERMINATION DATE],ROW($B92)-ROW($B$8))&gt;0,AC$8&gt;INDEX(T_EMP[TERMINATION DATE],ROW($B92)-ROW($B$8))),"NE",IF(NOT(ISERROR(MATCH(AC$8,L_HOLS,0))),"H",IF(INDEX(L_WKNDVAL,WEEKDAY(AC$8,1))=1,"WKND",INDEX(T_LEAVE[LEAVE CODE],SUMPRODUCT(--(T_LEAVE[NAME]=$B92),--(T_LEAVE[DATE]&lt;=AC$8),--(T_LEAVE[DATE]&gt;=AC$8),ROW(T_LEAVE[LEAVE CODE]))-ROW(T_LEAVE[#Headers]))))))),"")</f>
        <v/>
      </c>
      <c r="AD92" s="75" t="str">
        <f>IFERROR(IF(AD$8="","NA",IF(AD$8&lt;INDEX(T_EMP[START DATE],ROW($B92)-ROW($B$8)),"NE",IF(AND(INDEX(T_EMP[TERMINATION DATE],ROW($B92)-ROW($B$8))&gt;0,AD$8&gt;INDEX(T_EMP[TERMINATION DATE],ROW($B92)-ROW($B$8))),"NE",IF(NOT(ISERROR(MATCH(AD$8,L_HOLS,0))),"H",IF(INDEX(L_WKNDVAL,WEEKDAY(AD$8,1))=1,"WKND",INDEX(T_LEAVE[LEAVE CODE],SUMPRODUCT(--(T_LEAVE[NAME]=$B92),--(T_LEAVE[DATE]&lt;=AD$8),--(T_LEAVE[DATE]&gt;=AD$8),ROW(T_LEAVE[LEAVE CODE]))-ROW(T_LEAVE[#Headers]))))))),"")</f>
        <v/>
      </c>
      <c r="AE92" s="75" t="str">
        <f>IFERROR(IF(AE$8="","NA",IF(AE$8&lt;INDEX(T_EMP[START DATE],ROW($B92)-ROW($B$8)),"NE",IF(AND(INDEX(T_EMP[TERMINATION DATE],ROW($B92)-ROW($B$8))&gt;0,AE$8&gt;INDEX(T_EMP[TERMINATION DATE],ROW($B92)-ROW($B$8))),"NE",IF(NOT(ISERROR(MATCH(AE$8,L_HOLS,0))),"H",IF(INDEX(L_WKNDVAL,WEEKDAY(AE$8,1))=1,"WKND",INDEX(T_LEAVE[LEAVE CODE],SUMPRODUCT(--(T_LEAVE[NAME]=$B92),--(T_LEAVE[DATE]&lt;=AE$8),--(T_LEAVE[DATE]&gt;=AE$8),ROW(T_LEAVE[LEAVE CODE]))-ROW(T_LEAVE[#Headers]))))))),"")</f>
        <v/>
      </c>
      <c r="AF92" s="75" t="str">
        <f>IFERROR(IF(AF$8="","NA",IF(AF$8&lt;INDEX(T_EMP[START DATE],ROW($B92)-ROW($B$8)),"NE",IF(AND(INDEX(T_EMP[TERMINATION DATE],ROW($B92)-ROW($B$8))&gt;0,AF$8&gt;INDEX(T_EMP[TERMINATION DATE],ROW($B92)-ROW($B$8))),"NE",IF(NOT(ISERROR(MATCH(AF$8,L_HOLS,0))),"H",IF(INDEX(L_WKNDVAL,WEEKDAY(AF$8,1))=1,"WKND",INDEX(T_LEAVE[LEAVE CODE],SUMPRODUCT(--(T_LEAVE[NAME]=$B92),--(T_LEAVE[DATE]&lt;=AF$8),--(T_LEAVE[DATE]&gt;=AF$8),ROW(T_LEAVE[LEAVE CODE]))-ROW(T_LEAVE[#Headers]))))))),"")</f>
        <v/>
      </c>
      <c r="AG92" s="75" t="str">
        <f>IFERROR(IF(AG$8="","NA",IF(AG$8&lt;INDEX(T_EMP[START DATE],ROW($B92)-ROW($B$8)),"NE",IF(AND(INDEX(T_EMP[TERMINATION DATE],ROW($B92)-ROW($B$8))&gt;0,AG$8&gt;INDEX(T_EMP[TERMINATION DATE],ROW($B92)-ROW($B$8))),"NE",IF(NOT(ISERROR(MATCH(AG$8,L_HOLS,0))),"H",IF(INDEX(L_WKNDVAL,WEEKDAY(AG$8,1))=1,"WKND",INDEX(T_LEAVE[LEAVE CODE],SUMPRODUCT(--(T_LEAVE[NAME]=$B92),--(T_LEAVE[DATE]&lt;=AG$8),--(T_LEAVE[DATE]&gt;=AG$8),ROW(T_LEAVE[LEAVE CODE]))-ROW(T_LEAVE[#Headers]))))))),"")</f>
        <v/>
      </c>
      <c r="AH92" s="75" t="str">
        <f>IFERROR(IF(AH$8="","NA",IF(AH$8&lt;INDEX(T_EMP[START DATE],ROW($B92)-ROW($B$8)),"NE",IF(AND(INDEX(T_EMP[TERMINATION DATE],ROW($B92)-ROW($B$8))&gt;0,AH$8&gt;INDEX(T_EMP[TERMINATION DATE],ROW($B92)-ROW($B$8))),"NE",IF(NOT(ISERROR(MATCH(AH$8,L_HOLS,0))),"H",IF(INDEX(L_WKNDVAL,WEEKDAY(AH$8,1))=1,"WKND",INDEX(T_LEAVE[LEAVE CODE],SUMPRODUCT(--(T_LEAVE[NAME]=$B92),--(T_LEAVE[DATE]&lt;=AH$8),--(T_LEAVE[DATE]&gt;=AH$8),ROW(T_LEAVE[LEAVE CODE]))-ROW(T_LEAVE[#Headers]))))))),"")</f>
        <v/>
      </c>
      <c r="AJ92" s="88">
        <f>IF(OR($B92="",AJ$8=""),"",COUNTIFS($D92:$AH92,AJ$8)*INDEX(T_LEAVETYPE[DAY VALUE],1))</f>
        <v>0</v>
      </c>
      <c r="AK92" s="88">
        <f>IF(OR($B92="",AK$8=""),"",COUNTIFS($D92:$AH92,AK$8)*INDEX(T_LEAVETYPE[DAY VALUE],1))</f>
        <v>0</v>
      </c>
      <c r="AL92" s="88">
        <f>IF(OR($B92="",AL$8=""),"",COUNTIFS($D92:$AH92,AL$8)*INDEX(T_LEAVETYPE[DAY VALUE],1))</f>
        <v>0</v>
      </c>
      <c r="AM92" s="88">
        <f>IF(OR($B92="",AM$8=""),"",COUNTIFS($D92:$AH92,AM$8)*INDEX(T_LEAVETYPE[DAY VALUE],1))</f>
        <v>0</v>
      </c>
      <c r="AN92" s="88">
        <f>IF(OR($B92="",AN$8=""),"",COUNTIFS($D92:$AH92,AN$8)*INDEX(T_LEAVETYPE[DAY VALUE],1))</f>
        <v>0</v>
      </c>
      <c r="AO92" s="88">
        <f>IF(OR($B92="",AO$8=""),"",COUNTIFS($D92:$AH92,AO$8)*INDEX(T_LEAVETYPE[DAY VALUE],6))</f>
        <v>0</v>
      </c>
      <c r="AP92" s="88">
        <f>IF(OR($B92="",AP$8=""),"",COUNTIFS($D92:$AH92,AP$8)*INDEX(T_LEAVETYPE[DAY VALUE],7))</f>
        <v>0</v>
      </c>
      <c r="AQ92" s="88">
        <f>IF(OR($B92="",AQ$8=""),"",COUNTIFS($D92:$AH92,AQ$8)*INDEX(T_LEAVETYPE[DAY VALUE],8))</f>
        <v>0</v>
      </c>
      <c r="AR92" s="89">
        <f t="shared" si="5"/>
        <v>0</v>
      </c>
    </row>
    <row r="93" spans="1:44" x14ac:dyDescent="0.25">
      <c r="A93" s="90">
        <f t="shared" si="4"/>
        <v>85</v>
      </c>
      <c r="B93" s="74" t="str">
        <f>IFERROR(INDEX(T_EMP[NAME],ROW(B93)-ROW($B$8)),"")</f>
        <v>ESTANISLAO, JENNIFER</v>
      </c>
      <c r="C93" s="91" t="str">
        <f>IFERROR(INDEX(T_EMP[DEPARTMENT],ROW(B93)-ROW($C$8)),"")</f>
        <v>WFM</v>
      </c>
      <c r="D93" s="75" t="str">
        <f>IFERROR(IF(D$8="","NA",IF(D$8&lt;INDEX(T_EMP[START DATE],ROW($B93)-ROW($B$8)),"NE",IF(AND(INDEX(T_EMP[TERMINATION DATE],ROW($B93)-ROW($B$8))&gt;0,D$8&gt;INDEX(T_EMP[TERMINATION DATE],ROW($B93)-ROW($B$8))),"NE",IF(NOT(ISERROR(MATCH(D$8,L_HOLS,0))),"H",IF(INDEX(L_WKNDVAL,WEEKDAY(D$8,1))=1,"WKND",INDEX(T_LEAVE[LEAVE CODE],SUMPRODUCT(--(T_LEAVE[NAME]=$B93),--(T_LEAVE[DATE]&lt;=D$8),--(T_LEAVE[DATE]&gt;=D$8),ROW(T_LEAVE[LEAVE CODE]))-ROW(T_LEAVE[#Headers]))))))),"")</f>
        <v>H</v>
      </c>
      <c r="E93" s="75" t="str">
        <f>IFERROR(IF(E$8="","NA",IF(E$8&lt;INDEX(T_EMP[START DATE],ROW($B93)-ROW($B$8)),"NE",IF(AND(INDEX(T_EMP[TERMINATION DATE],ROW($B93)-ROW($B$8))&gt;0,E$8&gt;INDEX(T_EMP[TERMINATION DATE],ROW($B93)-ROW($B$8))),"NE",IF(NOT(ISERROR(MATCH(E$8,L_HOLS,0))),"H",IF(INDEX(L_WKNDVAL,WEEKDAY(E$8,1))=1,"WKND",INDEX(T_LEAVE[LEAVE CODE],SUMPRODUCT(--(T_LEAVE[NAME]=$B93),--(T_LEAVE[DATE]&lt;=E$8),--(T_LEAVE[DATE]&gt;=E$8),ROW(T_LEAVE[LEAVE CODE]))-ROW(T_LEAVE[#Headers]))))))),"")</f>
        <v/>
      </c>
      <c r="F93" s="75" t="str">
        <f>IFERROR(IF(F$8="","NA",IF(F$8&lt;INDEX(T_EMP[START DATE],ROW($B93)-ROW($B$8)),"NE",IF(AND(INDEX(T_EMP[TERMINATION DATE],ROW($B93)-ROW($B$8))&gt;0,F$8&gt;INDEX(T_EMP[TERMINATION DATE],ROW($B93)-ROW($B$8))),"NE",IF(NOT(ISERROR(MATCH(F$8,L_HOLS,0))),"H",IF(INDEX(L_WKNDVAL,WEEKDAY(F$8,1))=1,"WKND",INDEX(T_LEAVE[LEAVE CODE],SUMPRODUCT(--(T_LEAVE[NAME]=$B93),--(T_LEAVE[DATE]&lt;=F$8),--(T_LEAVE[DATE]&gt;=F$8),ROW(T_LEAVE[LEAVE CODE]))-ROW(T_LEAVE[#Headers]))))))),"")</f>
        <v/>
      </c>
      <c r="G93" s="75" t="str">
        <f>IFERROR(IF(G$8="","NA",IF(G$8&lt;INDEX(T_EMP[START DATE],ROW($B93)-ROW($B$8)),"NE",IF(AND(INDEX(T_EMP[TERMINATION DATE],ROW($B93)-ROW($B$8))&gt;0,G$8&gt;INDEX(T_EMP[TERMINATION DATE],ROW($B93)-ROW($B$8))),"NE",IF(NOT(ISERROR(MATCH(G$8,L_HOLS,0))),"H",IF(INDEX(L_WKNDVAL,WEEKDAY(G$8,1))=1,"WKND",INDEX(T_LEAVE[LEAVE CODE],SUMPRODUCT(--(T_LEAVE[NAME]=$B93),--(T_LEAVE[DATE]&lt;=G$8),--(T_LEAVE[DATE]&gt;=G$8),ROW(T_LEAVE[LEAVE CODE]))-ROW(T_LEAVE[#Headers]))))))),"")</f>
        <v/>
      </c>
      <c r="H93" s="75" t="str">
        <f>IFERROR(IF(H$8="","NA",IF(H$8&lt;INDEX(T_EMP[START DATE],ROW($B93)-ROW($B$8)),"NE",IF(AND(INDEX(T_EMP[TERMINATION DATE],ROW($B93)-ROW($B$8))&gt;0,H$8&gt;INDEX(T_EMP[TERMINATION DATE],ROW($B93)-ROW($B$8))),"NE",IF(NOT(ISERROR(MATCH(H$8,L_HOLS,0))),"H",IF(INDEX(L_WKNDVAL,WEEKDAY(H$8,1))=1,"WKND",INDEX(T_LEAVE[LEAVE CODE],SUMPRODUCT(--(T_LEAVE[NAME]=$B93),--(T_LEAVE[DATE]&lt;=H$8),--(T_LEAVE[DATE]&gt;=H$8),ROW(T_LEAVE[LEAVE CODE]))-ROW(T_LEAVE[#Headers]))))))),"")</f>
        <v/>
      </c>
      <c r="I93" s="75" t="str">
        <f>IFERROR(IF(I$8="","NA",IF(I$8&lt;INDEX(T_EMP[START DATE],ROW($B93)-ROW($B$8)),"NE",IF(AND(INDEX(T_EMP[TERMINATION DATE],ROW($B93)-ROW($B$8))&gt;0,I$8&gt;INDEX(T_EMP[TERMINATION DATE],ROW($B93)-ROW($B$8))),"NE",IF(NOT(ISERROR(MATCH(I$8,L_HOLS,0))),"H",IF(INDEX(L_WKNDVAL,WEEKDAY(I$8,1))=1,"WKND",INDEX(T_LEAVE[LEAVE CODE],SUMPRODUCT(--(T_LEAVE[NAME]=$B93),--(T_LEAVE[DATE]&lt;=I$8),--(T_LEAVE[DATE]&gt;=I$8),ROW(T_LEAVE[LEAVE CODE]))-ROW(T_LEAVE[#Headers]))))))),"")</f>
        <v/>
      </c>
      <c r="J93" s="75" t="str">
        <f>IFERROR(IF(J$8="","NA",IF(J$8&lt;INDEX(T_EMP[START DATE],ROW($B93)-ROW($B$8)),"NE",IF(AND(INDEX(T_EMP[TERMINATION DATE],ROW($B93)-ROW($B$8))&gt;0,J$8&gt;INDEX(T_EMP[TERMINATION DATE],ROW($B93)-ROW($B$8))),"NE",IF(NOT(ISERROR(MATCH(J$8,L_HOLS,0))),"H",IF(INDEX(L_WKNDVAL,WEEKDAY(J$8,1))=1,"WKND",INDEX(T_LEAVE[LEAVE CODE],SUMPRODUCT(--(T_LEAVE[NAME]=$B93),--(T_LEAVE[DATE]&lt;=J$8),--(T_LEAVE[DATE]&gt;=J$8),ROW(T_LEAVE[LEAVE CODE]))-ROW(T_LEAVE[#Headers]))))))),"")</f>
        <v/>
      </c>
      <c r="K93" s="75" t="str">
        <f>IFERROR(IF(K$8="","NA",IF(K$8&lt;INDEX(T_EMP[START DATE],ROW($B93)-ROW($B$8)),"NE",IF(AND(INDEX(T_EMP[TERMINATION DATE],ROW($B93)-ROW($B$8))&gt;0,K$8&gt;INDEX(T_EMP[TERMINATION DATE],ROW($B93)-ROW($B$8))),"NE",IF(NOT(ISERROR(MATCH(K$8,L_HOLS,0))),"H",IF(INDEX(L_WKNDVAL,WEEKDAY(K$8,1))=1,"WKND",INDEX(T_LEAVE[LEAVE CODE],SUMPRODUCT(--(T_LEAVE[NAME]=$B93),--(T_LEAVE[DATE]&lt;=K$8),--(T_LEAVE[DATE]&gt;=K$8),ROW(T_LEAVE[LEAVE CODE]))-ROW(T_LEAVE[#Headers]))))))),"")</f>
        <v/>
      </c>
      <c r="L93" s="75" t="str">
        <f>IFERROR(IF(L$8="","NA",IF(L$8&lt;INDEX(T_EMP[START DATE],ROW($B93)-ROW($B$8)),"NE",IF(AND(INDEX(T_EMP[TERMINATION DATE],ROW($B93)-ROW($B$8))&gt;0,L$8&gt;INDEX(T_EMP[TERMINATION DATE],ROW($B93)-ROW($B$8))),"NE",IF(NOT(ISERROR(MATCH(L$8,L_HOLS,0))),"H",IF(INDEX(L_WKNDVAL,WEEKDAY(L$8,1))=1,"WKND",INDEX(T_LEAVE[LEAVE CODE],SUMPRODUCT(--(T_LEAVE[NAME]=$B93),--(T_LEAVE[DATE]&lt;=L$8),--(T_LEAVE[DATE]&gt;=L$8),ROW(T_LEAVE[LEAVE CODE]))-ROW(T_LEAVE[#Headers]))))))),"")</f>
        <v/>
      </c>
      <c r="M93" s="75" t="str">
        <f>IFERROR(IF(M$8="","NA",IF(M$8&lt;INDEX(T_EMP[START DATE],ROW($B93)-ROW($B$8)),"NE",IF(AND(INDEX(T_EMP[TERMINATION DATE],ROW($B93)-ROW($B$8))&gt;0,M$8&gt;INDEX(T_EMP[TERMINATION DATE],ROW($B93)-ROW($B$8))),"NE",IF(NOT(ISERROR(MATCH(M$8,L_HOLS,0))),"H",IF(INDEX(L_WKNDVAL,WEEKDAY(M$8,1))=1,"WKND",INDEX(T_LEAVE[LEAVE CODE],SUMPRODUCT(--(T_LEAVE[NAME]=$B93),--(T_LEAVE[DATE]&lt;=M$8),--(T_LEAVE[DATE]&gt;=M$8),ROW(T_LEAVE[LEAVE CODE]))-ROW(T_LEAVE[#Headers]))))))),"")</f>
        <v/>
      </c>
      <c r="N93" s="75" t="str">
        <f>IFERROR(IF(N$8="","NA",IF(N$8&lt;INDEX(T_EMP[START DATE],ROW($B93)-ROW($B$8)),"NE",IF(AND(INDEX(T_EMP[TERMINATION DATE],ROW($B93)-ROW($B$8))&gt;0,N$8&gt;INDEX(T_EMP[TERMINATION DATE],ROW($B93)-ROW($B$8))),"NE",IF(NOT(ISERROR(MATCH(N$8,L_HOLS,0))),"H",IF(INDEX(L_WKNDVAL,WEEKDAY(N$8,1))=1,"WKND",INDEX(T_LEAVE[LEAVE CODE],SUMPRODUCT(--(T_LEAVE[NAME]=$B93),--(T_LEAVE[DATE]&lt;=N$8),--(T_LEAVE[DATE]&gt;=N$8),ROW(T_LEAVE[LEAVE CODE]))-ROW(T_LEAVE[#Headers]))))))),"")</f>
        <v/>
      </c>
      <c r="O93" s="75" t="str">
        <f>IFERROR(IF(O$8="","NA",IF(O$8&lt;INDEX(T_EMP[START DATE],ROW($B93)-ROW($B$8)),"NE",IF(AND(INDEX(T_EMP[TERMINATION DATE],ROW($B93)-ROW($B$8))&gt;0,O$8&gt;INDEX(T_EMP[TERMINATION DATE],ROW($B93)-ROW($B$8))),"NE",IF(NOT(ISERROR(MATCH(O$8,L_HOLS,0))),"H",IF(INDEX(L_WKNDVAL,WEEKDAY(O$8,1))=1,"WKND",INDEX(T_LEAVE[LEAVE CODE],SUMPRODUCT(--(T_LEAVE[NAME]=$B93),--(T_LEAVE[DATE]&lt;=O$8),--(T_LEAVE[DATE]&gt;=O$8),ROW(T_LEAVE[LEAVE CODE]))-ROW(T_LEAVE[#Headers]))))))),"")</f>
        <v/>
      </c>
      <c r="P93" s="75" t="str">
        <f>IFERROR(IF(P$8="","NA",IF(P$8&lt;INDEX(T_EMP[START DATE],ROW($B93)-ROW($B$8)),"NE",IF(AND(INDEX(T_EMP[TERMINATION DATE],ROW($B93)-ROW($B$8))&gt;0,P$8&gt;INDEX(T_EMP[TERMINATION DATE],ROW($B93)-ROW($B$8))),"NE",IF(NOT(ISERROR(MATCH(P$8,L_HOLS,0))),"H",IF(INDEX(L_WKNDVAL,WEEKDAY(P$8,1))=1,"WKND",INDEX(T_LEAVE[LEAVE CODE],SUMPRODUCT(--(T_LEAVE[NAME]=$B93),--(T_LEAVE[DATE]&lt;=P$8),--(T_LEAVE[DATE]&gt;=P$8),ROW(T_LEAVE[LEAVE CODE]))-ROW(T_LEAVE[#Headers]))))))),"")</f>
        <v>H</v>
      </c>
      <c r="Q93" s="75" t="str">
        <f>IFERROR(IF(Q$8="","NA",IF(Q$8&lt;INDEX(T_EMP[START DATE],ROW($B93)-ROW($B$8)),"NE",IF(AND(INDEX(T_EMP[TERMINATION DATE],ROW($B93)-ROW($B$8))&gt;0,Q$8&gt;INDEX(T_EMP[TERMINATION DATE],ROW($B93)-ROW($B$8))),"NE",IF(NOT(ISERROR(MATCH(Q$8,L_HOLS,0))),"H",IF(INDEX(L_WKNDVAL,WEEKDAY(Q$8,1))=1,"WKND",INDEX(T_LEAVE[LEAVE CODE],SUMPRODUCT(--(T_LEAVE[NAME]=$B93),--(T_LEAVE[DATE]&lt;=Q$8),--(T_LEAVE[DATE]&gt;=Q$8),ROW(T_LEAVE[LEAVE CODE]))-ROW(T_LEAVE[#Headers]))))))),"")</f>
        <v/>
      </c>
      <c r="R93" s="75" t="str">
        <f>IFERROR(IF(R$8="","NA",IF(R$8&lt;INDEX(T_EMP[START DATE],ROW($B93)-ROW($B$8)),"NE",IF(AND(INDEX(T_EMP[TERMINATION DATE],ROW($B93)-ROW($B$8))&gt;0,R$8&gt;INDEX(T_EMP[TERMINATION DATE],ROW($B93)-ROW($B$8))),"NE",IF(NOT(ISERROR(MATCH(R$8,L_HOLS,0))),"H",IF(INDEX(L_WKNDVAL,WEEKDAY(R$8,1))=1,"WKND",INDEX(T_LEAVE[LEAVE CODE],SUMPRODUCT(--(T_LEAVE[NAME]=$B93),--(T_LEAVE[DATE]&lt;=R$8),--(T_LEAVE[DATE]&gt;=R$8),ROW(T_LEAVE[LEAVE CODE]))-ROW(T_LEAVE[#Headers]))))))),"")</f>
        <v/>
      </c>
      <c r="S93" s="75" t="str">
        <f>IFERROR(IF(S$8="","NA",IF(S$8&lt;INDEX(T_EMP[START DATE],ROW($B93)-ROW($B$8)),"NE",IF(AND(INDEX(T_EMP[TERMINATION DATE],ROW($B93)-ROW($B$8))&gt;0,S$8&gt;INDEX(T_EMP[TERMINATION DATE],ROW($B93)-ROW($B$8))),"NE",IF(NOT(ISERROR(MATCH(S$8,L_HOLS,0))),"H",IF(INDEX(L_WKNDVAL,WEEKDAY(S$8,1))=1,"WKND",INDEX(T_LEAVE[LEAVE CODE],SUMPRODUCT(--(T_LEAVE[NAME]=$B93),--(T_LEAVE[DATE]&lt;=S$8),--(T_LEAVE[DATE]&gt;=S$8),ROW(T_LEAVE[LEAVE CODE]))-ROW(T_LEAVE[#Headers]))))))),"")</f>
        <v/>
      </c>
      <c r="T93" s="75" t="str">
        <f>IFERROR(IF(T$8="","NA",IF(T$8&lt;INDEX(T_EMP[START DATE],ROW($B93)-ROW($B$8)),"NE",IF(AND(INDEX(T_EMP[TERMINATION DATE],ROW($B93)-ROW($B$8))&gt;0,T$8&gt;INDEX(T_EMP[TERMINATION DATE],ROW($B93)-ROW($B$8))),"NE",IF(NOT(ISERROR(MATCH(T$8,L_HOLS,0))),"H",IF(INDEX(L_WKNDVAL,WEEKDAY(T$8,1))=1,"WKND",INDEX(T_LEAVE[LEAVE CODE],SUMPRODUCT(--(T_LEAVE[NAME]=$B93),--(T_LEAVE[DATE]&lt;=T$8),--(T_LEAVE[DATE]&gt;=T$8),ROW(T_LEAVE[LEAVE CODE]))-ROW(T_LEAVE[#Headers]))))))),"")</f>
        <v/>
      </c>
      <c r="U93" s="75" t="str">
        <f>IFERROR(IF(U$8="","NA",IF(U$8&lt;INDEX(T_EMP[START DATE],ROW($B93)-ROW($B$8)),"NE",IF(AND(INDEX(T_EMP[TERMINATION DATE],ROW($B93)-ROW($B$8))&gt;0,U$8&gt;INDEX(T_EMP[TERMINATION DATE],ROW($B93)-ROW($B$8))),"NE",IF(NOT(ISERROR(MATCH(U$8,L_HOLS,0))),"H",IF(INDEX(L_WKNDVAL,WEEKDAY(U$8,1))=1,"WKND",INDEX(T_LEAVE[LEAVE CODE],SUMPRODUCT(--(T_LEAVE[NAME]=$B93),--(T_LEAVE[DATE]&lt;=U$8),--(T_LEAVE[DATE]&gt;=U$8),ROW(T_LEAVE[LEAVE CODE]))-ROW(T_LEAVE[#Headers]))))))),"")</f>
        <v/>
      </c>
      <c r="V93" s="75" t="str">
        <f>IFERROR(IF(V$8="","NA",IF(V$8&lt;INDEX(T_EMP[START DATE],ROW($B93)-ROW($B$8)),"NE",IF(AND(INDEX(T_EMP[TERMINATION DATE],ROW($B93)-ROW($B$8))&gt;0,V$8&gt;INDEX(T_EMP[TERMINATION DATE],ROW($B93)-ROW($B$8))),"NE",IF(NOT(ISERROR(MATCH(V$8,L_HOLS,0))),"H",IF(INDEX(L_WKNDVAL,WEEKDAY(V$8,1))=1,"WKND",INDEX(T_LEAVE[LEAVE CODE],SUMPRODUCT(--(T_LEAVE[NAME]=$B93),--(T_LEAVE[DATE]&lt;=V$8),--(T_LEAVE[DATE]&gt;=V$8),ROW(T_LEAVE[LEAVE CODE]))-ROW(T_LEAVE[#Headers]))))))),"")</f>
        <v/>
      </c>
      <c r="W93" s="75" t="str">
        <f>IFERROR(IF(W$8="","NA",IF(W$8&lt;INDEX(T_EMP[START DATE],ROW($B93)-ROW($B$8)),"NE",IF(AND(INDEX(T_EMP[TERMINATION DATE],ROW($B93)-ROW($B$8))&gt;0,W$8&gt;INDEX(T_EMP[TERMINATION DATE],ROW($B93)-ROW($B$8))),"NE",IF(NOT(ISERROR(MATCH(W$8,L_HOLS,0))),"H",IF(INDEX(L_WKNDVAL,WEEKDAY(W$8,1))=1,"WKND",INDEX(T_LEAVE[LEAVE CODE],SUMPRODUCT(--(T_LEAVE[NAME]=$B93),--(T_LEAVE[DATE]&lt;=W$8),--(T_LEAVE[DATE]&gt;=W$8),ROW(T_LEAVE[LEAVE CODE]))-ROW(T_LEAVE[#Headers]))))))),"")</f>
        <v/>
      </c>
      <c r="X93" s="75" t="str">
        <f>IFERROR(IF(X$8="","NA",IF(X$8&lt;INDEX(T_EMP[START DATE],ROW($B93)-ROW($B$8)),"NE",IF(AND(INDEX(T_EMP[TERMINATION DATE],ROW($B93)-ROW($B$8))&gt;0,X$8&gt;INDEX(T_EMP[TERMINATION DATE],ROW($B93)-ROW($B$8))),"NE",IF(NOT(ISERROR(MATCH(X$8,L_HOLS,0))),"H",IF(INDEX(L_WKNDVAL,WEEKDAY(X$8,1))=1,"WKND",INDEX(T_LEAVE[LEAVE CODE],SUMPRODUCT(--(T_LEAVE[NAME]=$B93),--(T_LEAVE[DATE]&lt;=X$8),--(T_LEAVE[DATE]&gt;=X$8),ROW(T_LEAVE[LEAVE CODE]))-ROW(T_LEAVE[#Headers]))))))),"")</f>
        <v/>
      </c>
      <c r="Y93" s="75" t="str">
        <f>IFERROR(IF(Y$8="","NA",IF(Y$8&lt;INDEX(T_EMP[START DATE],ROW($B93)-ROW($B$8)),"NE",IF(AND(INDEX(T_EMP[TERMINATION DATE],ROW($B93)-ROW($B$8))&gt;0,Y$8&gt;INDEX(T_EMP[TERMINATION DATE],ROW($B93)-ROW($B$8))),"NE",IF(NOT(ISERROR(MATCH(Y$8,L_HOLS,0))),"H",IF(INDEX(L_WKNDVAL,WEEKDAY(Y$8,1))=1,"WKND",INDEX(T_LEAVE[LEAVE CODE],SUMPRODUCT(--(T_LEAVE[NAME]=$B93),--(T_LEAVE[DATE]&lt;=Y$8),--(T_LEAVE[DATE]&gt;=Y$8),ROW(T_LEAVE[LEAVE CODE]))-ROW(T_LEAVE[#Headers]))))))),"")</f>
        <v/>
      </c>
      <c r="Z93" s="75" t="str">
        <f>IFERROR(IF(Z$8="","NA",IF(Z$8&lt;INDEX(T_EMP[START DATE],ROW($B93)-ROW($B$8)),"NE",IF(AND(INDEX(T_EMP[TERMINATION DATE],ROW($B93)-ROW($B$8))&gt;0,Z$8&gt;INDEX(T_EMP[TERMINATION DATE],ROW($B93)-ROW($B$8))),"NE",IF(NOT(ISERROR(MATCH(Z$8,L_HOLS,0))),"H",IF(INDEX(L_WKNDVAL,WEEKDAY(Z$8,1))=1,"WKND",INDEX(T_LEAVE[LEAVE CODE],SUMPRODUCT(--(T_LEAVE[NAME]=$B93),--(T_LEAVE[DATE]&lt;=Z$8),--(T_LEAVE[DATE]&gt;=Z$8),ROW(T_LEAVE[LEAVE CODE]))-ROW(T_LEAVE[#Headers]))))))),"")</f>
        <v/>
      </c>
      <c r="AA93" s="75" t="str">
        <f>IFERROR(IF(AA$8="","NA",IF(AA$8&lt;INDEX(T_EMP[START DATE],ROW($B93)-ROW($B$8)),"NE",IF(AND(INDEX(T_EMP[TERMINATION DATE],ROW($B93)-ROW($B$8))&gt;0,AA$8&gt;INDEX(T_EMP[TERMINATION DATE],ROW($B93)-ROW($B$8))),"NE",IF(NOT(ISERROR(MATCH(AA$8,L_HOLS,0))),"H",IF(INDEX(L_WKNDVAL,WEEKDAY(AA$8,1))=1,"WKND",INDEX(T_LEAVE[LEAVE CODE],SUMPRODUCT(--(T_LEAVE[NAME]=$B93),--(T_LEAVE[DATE]&lt;=AA$8),--(T_LEAVE[DATE]&gt;=AA$8),ROW(T_LEAVE[LEAVE CODE]))-ROW(T_LEAVE[#Headers]))))))),"")</f>
        <v/>
      </c>
      <c r="AB93" s="75" t="str">
        <f>IFERROR(IF(AB$8="","NA",IF(AB$8&lt;INDEX(T_EMP[START DATE],ROW($B93)-ROW($B$8)),"NE",IF(AND(INDEX(T_EMP[TERMINATION DATE],ROW($B93)-ROW($B$8))&gt;0,AB$8&gt;INDEX(T_EMP[TERMINATION DATE],ROW($B93)-ROW($B$8))),"NE",IF(NOT(ISERROR(MATCH(AB$8,L_HOLS,0))),"H",IF(INDEX(L_WKNDVAL,WEEKDAY(AB$8,1))=1,"WKND",INDEX(T_LEAVE[LEAVE CODE],SUMPRODUCT(--(T_LEAVE[NAME]=$B93),--(T_LEAVE[DATE]&lt;=AB$8),--(T_LEAVE[DATE]&gt;=AB$8),ROW(T_LEAVE[LEAVE CODE]))-ROW(T_LEAVE[#Headers]))))))),"")</f>
        <v/>
      </c>
      <c r="AC93" s="75" t="str">
        <f>IFERROR(IF(AC$8="","NA",IF(AC$8&lt;INDEX(T_EMP[START DATE],ROW($B93)-ROW($B$8)),"NE",IF(AND(INDEX(T_EMP[TERMINATION DATE],ROW($B93)-ROW($B$8))&gt;0,AC$8&gt;INDEX(T_EMP[TERMINATION DATE],ROW($B93)-ROW($B$8))),"NE",IF(NOT(ISERROR(MATCH(AC$8,L_HOLS,0))),"H",IF(INDEX(L_WKNDVAL,WEEKDAY(AC$8,1))=1,"WKND",INDEX(T_LEAVE[LEAVE CODE],SUMPRODUCT(--(T_LEAVE[NAME]=$B93),--(T_LEAVE[DATE]&lt;=AC$8),--(T_LEAVE[DATE]&gt;=AC$8),ROW(T_LEAVE[LEAVE CODE]))-ROW(T_LEAVE[#Headers]))))))),"")</f>
        <v/>
      </c>
      <c r="AD93" s="75" t="str">
        <f>IFERROR(IF(AD$8="","NA",IF(AD$8&lt;INDEX(T_EMP[START DATE],ROW($B93)-ROW($B$8)),"NE",IF(AND(INDEX(T_EMP[TERMINATION DATE],ROW($B93)-ROW($B$8))&gt;0,AD$8&gt;INDEX(T_EMP[TERMINATION DATE],ROW($B93)-ROW($B$8))),"NE",IF(NOT(ISERROR(MATCH(AD$8,L_HOLS,0))),"H",IF(INDEX(L_WKNDVAL,WEEKDAY(AD$8,1))=1,"WKND",INDEX(T_LEAVE[LEAVE CODE],SUMPRODUCT(--(T_LEAVE[NAME]=$B93),--(T_LEAVE[DATE]&lt;=AD$8),--(T_LEAVE[DATE]&gt;=AD$8),ROW(T_LEAVE[LEAVE CODE]))-ROW(T_LEAVE[#Headers]))))))),"")</f>
        <v/>
      </c>
      <c r="AE93" s="75" t="str">
        <f>IFERROR(IF(AE$8="","NA",IF(AE$8&lt;INDEX(T_EMP[START DATE],ROW($B93)-ROW($B$8)),"NE",IF(AND(INDEX(T_EMP[TERMINATION DATE],ROW($B93)-ROW($B$8))&gt;0,AE$8&gt;INDEX(T_EMP[TERMINATION DATE],ROW($B93)-ROW($B$8))),"NE",IF(NOT(ISERROR(MATCH(AE$8,L_HOLS,0))),"H",IF(INDEX(L_WKNDVAL,WEEKDAY(AE$8,1))=1,"WKND",INDEX(T_LEAVE[LEAVE CODE],SUMPRODUCT(--(T_LEAVE[NAME]=$B93),--(T_LEAVE[DATE]&lt;=AE$8),--(T_LEAVE[DATE]&gt;=AE$8),ROW(T_LEAVE[LEAVE CODE]))-ROW(T_LEAVE[#Headers]))))))),"")</f>
        <v/>
      </c>
      <c r="AF93" s="75" t="str">
        <f>IFERROR(IF(AF$8="","NA",IF(AF$8&lt;INDEX(T_EMP[START DATE],ROW($B93)-ROW($B$8)),"NE",IF(AND(INDEX(T_EMP[TERMINATION DATE],ROW($B93)-ROW($B$8))&gt;0,AF$8&gt;INDEX(T_EMP[TERMINATION DATE],ROW($B93)-ROW($B$8))),"NE",IF(NOT(ISERROR(MATCH(AF$8,L_HOLS,0))),"H",IF(INDEX(L_WKNDVAL,WEEKDAY(AF$8,1))=1,"WKND",INDEX(T_LEAVE[LEAVE CODE],SUMPRODUCT(--(T_LEAVE[NAME]=$B93),--(T_LEAVE[DATE]&lt;=AF$8),--(T_LEAVE[DATE]&gt;=AF$8),ROW(T_LEAVE[LEAVE CODE]))-ROW(T_LEAVE[#Headers]))))))),"")</f>
        <v/>
      </c>
      <c r="AG93" s="75" t="str">
        <f>IFERROR(IF(AG$8="","NA",IF(AG$8&lt;INDEX(T_EMP[START DATE],ROW($B93)-ROW($B$8)),"NE",IF(AND(INDEX(T_EMP[TERMINATION DATE],ROW($B93)-ROW($B$8))&gt;0,AG$8&gt;INDEX(T_EMP[TERMINATION DATE],ROW($B93)-ROW($B$8))),"NE",IF(NOT(ISERROR(MATCH(AG$8,L_HOLS,0))),"H",IF(INDEX(L_WKNDVAL,WEEKDAY(AG$8,1))=1,"WKND",INDEX(T_LEAVE[LEAVE CODE],SUMPRODUCT(--(T_LEAVE[NAME]=$B93),--(T_LEAVE[DATE]&lt;=AG$8),--(T_LEAVE[DATE]&gt;=AG$8),ROW(T_LEAVE[LEAVE CODE]))-ROW(T_LEAVE[#Headers]))))))),"")</f>
        <v/>
      </c>
      <c r="AH93" s="75" t="str">
        <f>IFERROR(IF(AH$8="","NA",IF(AH$8&lt;INDEX(T_EMP[START DATE],ROW($B93)-ROW($B$8)),"NE",IF(AND(INDEX(T_EMP[TERMINATION DATE],ROW($B93)-ROW($B$8))&gt;0,AH$8&gt;INDEX(T_EMP[TERMINATION DATE],ROW($B93)-ROW($B$8))),"NE",IF(NOT(ISERROR(MATCH(AH$8,L_HOLS,0))),"H",IF(INDEX(L_WKNDVAL,WEEKDAY(AH$8,1))=1,"WKND",INDEX(T_LEAVE[LEAVE CODE],SUMPRODUCT(--(T_LEAVE[NAME]=$B93),--(T_LEAVE[DATE]&lt;=AH$8),--(T_LEAVE[DATE]&gt;=AH$8),ROW(T_LEAVE[LEAVE CODE]))-ROW(T_LEAVE[#Headers]))))))),"")</f>
        <v/>
      </c>
      <c r="AJ93" s="88">
        <f>IF(OR($B93="",AJ$8=""),"",COUNTIFS($D93:$AH93,AJ$8)*INDEX(T_LEAVETYPE[DAY VALUE],1))</f>
        <v>0</v>
      </c>
      <c r="AK93" s="88">
        <f>IF(OR($B93="",AK$8=""),"",COUNTIFS($D93:$AH93,AK$8)*INDEX(T_LEAVETYPE[DAY VALUE],1))</f>
        <v>0</v>
      </c>
      <c r="AL93" s="88">
        <f>IF(OR($B93="",AL$8=""),"",COUNTIFS($D93:$AH93,AL$8)*INDEX(T_LEAVETYPE[DAY VALUE],1))</f>
        <v>0</v>
      </c>
      <c r="AM93" s="88">
        <f>IF(OR($B93="",AM$8=""),"",COUNTIFS($D93:$AH93,AM$8)*INDEX(T_LEAVETYPE[DAY VALUE],1))</f>
        <v>0</v>
      </c>
      <c r="AN93" s="88">
        <f>IF(OR($B93="",AN$8=""),"",COUNTIFS($D93:$AH93,AN$8)*INDEX(T_LEAVETYPE[DAY VALUE],1))</f>
        <v>0</v>
      </c>
      <c r="AO93" s="88">
        <f>IF(OR($B93="",AO$8=""),"",COUNTIFS($D93:$AH93,AO$8)*INDEX(T_LEAVETYPE[DAY VALUE],6))</f>
        <v>0</v>
      </c>
      <c r="AP93" s="88">
        <f>IF(OR($B93="",AP$8=""),"",COUNTIFS($D93:$AH93,AP$8)*INDEX(T_LEAVETYPE[DAY VALUE],7))</f>
        <v>0</v>
      </c>
      <c r="AQ93" s="88">
        <f>IF(OR($B93="",AQ$8=""),"",COUNTIFS($D93:$AH93,AQ$8)*INDEX(T_LEAVETYPE[DAY VALUE],8))</f>
        <v>0</v>
      </c>
      <c r="AR93" s="89">
        <f t="shared" si="5"/>
        <v>0</v>
      </c>
    </row>
    <row r="94" spans="1:44" x14ac:dyDescent="0.25">
      <c r="A94" s="90">
        <f t="shared" si="4"/>
        <v>86</v>
      </c>
      <c r="B94" s="74" t="str">
        <f>IFERROR(INDEX(T_EMP[NAME],ROW(B94)-ROW($B$8)),"")</f>
        <v>PEDREGOSA, KATRINA ANN</v>
      </c>
      <c r="C94" s="91" t="str">
        <f>IFERROR(INDEX(T_EMP[DEPARTMENT],ROW(B94)-ROW($C$8)),"")</f>
        <v>WFM</v>
      </c>
      <c r="D94" s="75" t="str">
        <f>IFERROR(IF(D$8="","NA",IF(D$8&lt;INDEX(T_EMP[START DATE],ROW($B94)-ROW($B$8)),"NE",IF(AND(INDEX(T_EMP[TERMINATION DATE],ROW($B94)-ROW($B$8))&gt;0,D$8&gt;INDEX(T_EMP[TERMINATION DATE],ROW($B94)-ROW($B$8))),"NE",IF(NOT(ISERROR(MATCH(D$8,L_HOLS,0))),"H",IF(INDEX(L_WKNDVAL,WEEKDAY(D$8,1))=1,"WKND",INDEX(T_LEAVE[LEAVE CODE],SUMPRODUCT(--(T_LEAVE[NAME]=$B94),--(T_LEAVE[DATE]&lt;=D$8),--(T_LEAVE[DATE]&gt;=D$8),ROW(T_LEAVE[LEAVE CODE]))-ROW(T_LEAVE[#Headers]))))))),"")</f>
        <v>H</v>
      </c>
      <c r="E94" s="75" t="str">
        <f>IFERROR(IF(E$8="","NA",IF(E$8&lt;INDEX(T_EMP[START DATE],ROW($B94)-ROW($B$8)),"NE",IF(AND(INDEX(T_EMP[TERMINATION DATE],ROW($B94)-ROW($B$8))&gt;0,E$8&gt;INDEX(T_EMP[TERMINATION DATE],ROW($B94)-ROW($B$8))),"NE",IF(NOT(ISERROR(MATCH(E$8,L_HOLS,0))),"H",IF(INDEX(L_WKNDVAL,WEEKDAY(E$8,1))=1,"WKND",INDEX(T_LEAVE[LEAVE CODE],SUMPRODUCT(--(T_LEAVE[NAME]=$B94),--(T_LEAVE[DATE]&lt;=E$8),--(T_LEAVE[DATE]&gt;=E$8),ROW(T_LEAVE[LEAVE CODE]))-ROW(T_LEAVE[#Headers]))))))),"")</f>
        <v/>
      </c>
      <c r="F94" s="75" t="str">
        <f>IFERROR(IF(F$8="","NA",IF(F$8&lt;INDEX(T_EMP[START DATE],ROW($B94)-ROW($B$8)),"NE",IF(AND(INDEX(T_EMP[TERMINATION DATE],ROW($B94)-ROW($B$8))&gt;0,F$8&gt;INDEX(T_EMP[TERMINATION DATE],ROW($B94)-ROW($B$8))),"NE",IF(NOT(ISERROR(MATCH(F$8,L_HOLS,0))),"H",IF(INDEX(L_WKNDVAL,WEEKDAY(F$8,1))=1,"WKND",INDEX(T_LEAVE[LEAVE CODE],SUMPRODUCT(--(T_LEAVE[NAME]=$B94),--(T_LEAVE[DATE]&lt;=F$8),--(T_LEAVE[DATE]&gt;=F$8),ROW(T_LEAVE[LEAVE CODE]))-ROW(T_LEAVE[#Headers]))))))),"")</f>
        <v/>
      </c>
      <c r="G94" s="75" t="str">
        <f>IFERROR(IF(G$8="","NA",IF(G$8&lt;INDEX(T_EMP[START DATE],ROW($B94)-ROW($B$8)),"NE",IF(AND(INDEX(T_EMP[TERMINATION DATE],ROW($B94)-ROW($B$8))&gt;0,G$8&gt;INDEX(T_EMP[TERMINATION DATE],ROW($B94)-ROW($B$8))),"NE",IF(NOT(ISERROR(MATCH(G$8,L_HOLS,0))),"H",IF(INDEX(L_WKNDVAL,WEEKDAY(G$8,1))=1,"WKND",INDEX(T_LEAVE[LEAVE CODE],SUMPRODUCT(--(T_LEAVE[NAME]=$B94),--(T_LEAVE[DATE]&lt;=G$8),--(T_LEAVE[DATE]&gt;=G$8),ROW(T_LEAVE[LEAVE CODE]))-ROW(T_LEAVE[#Headers]))))))),"")</f>
        <v/>
      </c>
      <c r="H94" s="75" t="str">
        <f>IFERROR(IF(H$8="","NA",IF(H$8&lt;INDEX(T_EMP[START DATE],ROW($B94)-ROW($B$8)),"NE",IF(AND(INDEX(T_EMP[TERMINATION DATE],ROW($B94)-ROW($B$8))&gt;0,H$8&gt;INDEX(T_EMP[TERMINATION DATE],ROW($B94)-ROW($B$8))),"NE",IF(NOT(ISERROR(MATCH(H$8,L_HOLS,0))),"H",IF(INDEX(L_WKNDVAL,WEEKDAY(H$8,1))=1,"WKND",INDEX(T_LEAVE[LEAVE CODE],SUMPRODUCT(--(T_LEAVE[NAME]=$B94),--(T_LEAVE[DATE]&lt;=H$8),--(T_LEAVE[DATE]&gt;=H$8),ROW(T_LEAVE[LEAVE CODE]))-ROW(T_LEAVE[#Headers]))))))),"")</f>
        <v/>
      </c>
      <c r="I94" s="75" t="str">
        <f>IFERROR(IF(I$8="","NA",IF(I$8&lt;INDEX(T_EMP[START DATE],ROW($B94)-ROW($B$8)),"NE",IF(AND(INDEX(T_EMP[TERMINATION DATE],ROW($B94)-ROW($B$8))&gt;0,I$8&gt;INDEX(T_EMP[TERMINATION DATE],ROW($B94)-ROW($B$8))),"NE",IF(NOT(ISERROR(MATCH(I$8,L_HOLS,0))),"H",IF(INDEX(L_WKNDVAL,WEEKDAY(I$8,1))=1,"WKND",INDEX(T_LEAVE[LEAVE CODE],SUMPRODUCT(--(T_LEAVE[NAME]=$B94),--(T_LEAVE[DATE]&lt;=I$8),--(T_LEAVE[DATE]&gt;=I$8),ROW(T_LEAVE[LEAVE CODE]))-ROW(T_LEAVE[#Headers]))))))),"")</f>
        <v/>
      </c>
      <c r="J94" s="75" t="str">
        <f>IFERROR(IF(J$8="","NA",IF(J$8&lt;INDEX(T_EMP[START DATE],ROW($B94)-ROW($B$8)),"NE",IF(AND(INDEX(T_EMP[TERMINATION DATE],ROW($B94)-ROW($B$8))&gt;0,J$8&gt;INDEX(T_EMP[TERMINATION DATE],ROW($B94)-ROW($B$8))),"NE",IF(NOT(ISERROR(MATCH(J$8,L_HOLS,0))),"H",IF(INDEX(L_WKNDVAL,WEEKDAY(J$8,1))=1,"WKND",INDEX(T_LEAVE[LEAVE CODE],SUMPRODUCT(--(T_LEAVE[NAME]=$B94),--(T_LEAVE[DATE]&lt;=J$8),--(T_LEAVE[DATE]&gt;=J$8),ROW(T_LEAVE[LEAVE CODE]))-ROW(T_LEAVE[#Headers]))))))),"")</f>
        <v/>
      </c>
      <c r="K94" s="75" t="str">
        <f>IFERROR(IF(K$8="","NA",IF(K$8&lt;INDEX(T_EMP[START DATE],ROW($B94)-ROW($B$8)),"NE",IF(AND(INDEX(T_EMP[TERMINATION DATE],ROW($B94)-ROW($B$8))&gt;0,K$8&gt;INDEX(T_EMP[TERMINATION DATE],ROW($B94)-ROW($B$8))),"NE",IF(NOT(ISERROR(MATCH(K$8,L_HOLS,0))),"H",IF(INDEX(L_WKNDVAL,WEEKDAY(K$8,1))=1,"WKND",INDEX(T_LEAVE[LEAVE CODE],SUMPRODUCT(--(T_LEAVE[NAME]=$B94),--(T_LEAVE[DATE]&lt;=K$8),--(T_LEAVE[DATE]&gt;=K$8),ROW(T_LEAVE[LEAVE CODE]))-ROW(T_LEAVE[#Headers]))))))),"")</f>
        <v/>
      </c>
      <c r="L94" s="75" t="str">
        <f>IFERROR(IF(L$8="","NA",IF(L$8&lt;INDEX(T_EMP[START DATE],ROW($B94)-ROW($B$8)),"NE",IF(AND(INDEX(T_EMP[TERMINATION DATE],ROW($B94)-ROW($B$8))&gt;0,L$8&gt;INDEX(T_EMP[TERMINATION DATE],ROW($B94)-ROW($B$8))),"NE",IF(NOT(ISERROR(MATCH(L$8,L_HOLS,0))),"H",IF(INDEX(L_WKNDVAL,WEEKDAY(L$8,1))=1,"WKND",INDEX(T_LEAVE[LEAVE CODE],SUMPRODUCT(--(T_LEAVE[NAME]=$B94),--(T_LEAVE[DATE]&lt;=L$8),--(T_LEAVE[DATE]&gt;=L$8),ROW(T_LEAVE[LEAVE CODE]))-ROW(T_LEAVE[#Headers]))))))),"")</f>
        <v/>
      </c>
      <c r="M94" s="75" t="str">
        <f>IFERROR(IF(M$8="","NA",IF(M$8&lt;INDEX(T_EMP[START DATE],ROW($B94)-ROW($B$8)),"NE",IF(AND(INDEX(T_EMP[TERMINATION DATE],ROW($B94)-ROW($B$8))&gt;0,M$8&gt;INDEX(T_EMP[TERMINATION DATE],ROW($B94)-ROW($B$8))),"NE",IF(NOT(ISERROR(MATCH(M$8,L_HOLS,0))),"H",IF(INDEX(L_WKNDVAL,WEEKDAY(M$8,1))=1,"WKND",INDEX(T_LEAVE[LEAVE CODE],SUMPRODUCT(--(T_LEAVE[NAME]=$B94),--(T_LEAVE[DATE]&lt;=M$8),--(T_LEAVE[DATE]&gt;=M$8),ROW(T_LEAVE[LEAVE CODE]))-ROW(T_LEAVE[#Headers]))))))),"")</f>
        <v/>
      </c>
      <c r="N94" s="75" t="str">
        <f>IFERROR(IF(N$8="","NA",IF(N$8&lt;INDEX(T_EMP[START DATE],ROW($B94)-ROW($B$8)),"NE",IF(AND(INDEX(T_EMP[TERMINATION DATE],ROW($B94)-ROW($B$8))&gt;0,N$8&gt;INDEX(T_EMP[TERMINATION DATE],ROW($B94)-ROW($B$8))),"NE",IF(NOT(ISERROR(MATCH(N$8,L_HOLS,0))),"H",IF(INDEX(L_WKNDVAL,WEEKDAY(N$8,1))=1,"WKND",INDEX(T_LEAVE[LEAVE CODE],SUMPRODUCT(--(T_LEAVE[NAME]=$B94),--(T_LEAVE[DATE]&lt;=N$8),--(T_LEAVE[DATE]&gt;=N$8),ROW(T_LEAVE[LEAVE CODE]))-ROW(T_LEAVE[#Headers]))))))),"")</f>
        <v/>
      </c>
      <c r="O94" s="75" t="str">
        <f>IFERROR(IF(O$8="","NA",IF(O$8&lt;INDEX(T_EMP[START DATE],ROW($B94)-ROW($B$8)),"NE",IF(AND(INDEX(T_EMP[TERMINATION DATE],ROW($B94)-ROW($B$8))&gt;0,O$8&gt;INDEX(T_EMP[TERMINATION DATE],ROW($B94)-ROW($B$8))),"NE",IF(NOT(ISERROR(MATCH(O$8,L_HOLS,0))),"H",IF(INDEX(L_WKNDVAL,WEEKDAY(O$8,1))=1,"WKND",INDEX(T_LEAVE[LEAVE CODE],SUMPRODUCT(--(T_LEAVE[NAME]=$B94),--(T_LEAVE[DATE]&lt;=O$8),--(T_LEAVE[DATE]&gt;=O$8),ROW(T_LEAVE[LEAVE CODE]))-ROW(T_LEAVE[#Headers]))))))),"")</f>
        <v/>
      </c>
      <c r="P94" s="75" t="str">
        <f>IFERROR(IF(P$8="","NA",IF(P$8&lt;INDEX(T_EMP[START DATE],ROW($B94)-ROW($B$8)),"NE",IF(AND(INDEX(T_EMP[TERMINATION DATE],ROW($B94)-ROW($B$8))&gt;0,P$8&gt;INDEX(T_EMP[TERMINATION DATE],ROW($B94)-ROW($B$8))),"NE",IF(NOT(ISERROR(MATCH(P$8,L_HOLS,0))),"H",IF(INDEX(L_WKNDVAL,WEEKDAY(P$8,1))=1,"WKND",INDEX(T_LEAVE[LEAVE CODE],SUMPRODUCT(--(T_LEAVE[NAME]=$B94),--(T_LEAVE[DATE]&lt;=P$8),--(T_LEAVE[DATE]&gt;=P$8),ROW(T_LEAVE[LEAVE CODE]))-ROW(T_LEAVE[#Headers]))))))),"")</f>
        <v>H</v>
      </c>
      <c r="Q94" s="75" t="str">
        <f>IFERROR(IF(Q$8="","NA",IF(Q$8&lt;INDEX(T_EMP[START DATE],ROW($B94)-ROW($B$8)),"NE",IF(AND(INDEX(T_EMP[TERMINATION DATE],ROW($B94)-ROW($B$8))&gt;0,Q$8&gt;INDEX(T_EMP[TERMINATION DATE],ROW($B94)-ROW($B$8))),"NE",IF(NOT(ISERROR(MATCH(Q$8,L_HOLS,0))),"H",IF(INDEX(L_WKNDVAL,WEEKDAY(Q$8,1))=1,"WKND",INDEX(T_LEAVE[LEAVE CODE],SUMPRODUCT(--(T_LEAVE[NAME]=$B94),--(T_LEAVE[DATE]&lt;=Q$8),--(T_LEAVE[DATE]&gt;=Q$8),ROW(T_LEAVE[LEAVE CODE]))-ROW(T_LEAVE[#Headers]))))))),"")</f>
        <v/>
      </c>
      <c r="R94" s="75" t="str">
        <f>IFERROR(IF(R$8="","NA",IF(R$8&lt;INDEX(T_EMP[START DATE],ROW($B94)-ROW($B$8)),"NE",IF(AND(INDEX(T_EMP[TERMINATION DATE],ROW($B94)-ROW($B$8))&gt;0,R$8&gt;INDEX(T_EMP[TERMINATION DATE],ROW($B94)-ROW($B$8))),"NE",IF(NOT(ISERROR(MATCH(R$8,L_HOLS,0))),"H",IF(INDEX(L_WKNDVAL,WEEKDAY(R$8,1))=1,"WKND",INDEX(T_LEAVE[LEAVE CODE],SUMPRODUCT(--(T_LEAVE[NAME]=$B94),--(T_LEAVE[DATE]&lt;=R$8),--(T_LEAVE[DATE]&gt;=R$8),ROW(T_LEAVE[LEAVE CODE]))-ROW(T_LEAVE[#Headers]))))))),"")</f>
        <v/>
      </c>
      <c r="S94" s="75" t="str">
        <f>IFERROR(IF(S$8="","NA",IF(S$8&lt;INDEX(T_EMP[START DATE],ROW($B94)-ROW($B$8)),"NE",IF(AND(INDEX(T_EMP[TERMINATION DATE],ROW($B94)-ROW($B$8))&gt;0,S$8&gt;INDEX(T_EMP[TERMINATION DATE],ROW($B94)-ROW($B$8))),"NE",IF(NOT(ISERROR(MATCH(S$8,L_HOLS,0))),"H",IF(INDEX(L_WKNDVAL,WEEKDAY(S$8,1))=1,"WKND",INDEX(T_LEAVE[LEAVE CODE],SUMPRODUCT(--(T_LEAVE[NAME]=$B94),--(T_LEAVE[DATE]&lt;=S$8),--(T_LEAVE[DATE]&gt;=S$8),ROW(T_LEAVE[LEAVE CODE]))-ROW(T_LEAVE[#Headers]))))))),"")</f>
        <v/>
      </c>
      <c r="T94" s="75" t="str">
        <f>IFERROR(IF(T$8="","NA",IF(T$8&lt;INDEX(T_EMP[START DATE],ROW($B94)-ROW($B$8)),"NE",IF(AND(INDEX(T_EMP[TERMINATION DATE],ROW($B94)-ROW($B$8))&gt;0,T$8&gt;INDEX(T_EMP[TERMINATION DATE],ROW($B94)-ROW($B$8))),"NE",IF(NOT(ISERROR(MATCH(T$8,L_HOLS,0))),"H",IF(INDEX(L_WKNDVAL,WEEKDAY(T$8,1))=1,"WKND",INDEX(T_LEAVE[LEAVE CODE],SUMPRODUCT(--(T_LEAVE[NAME]=$B94),--(T_LEAVE[DATE]&lt;=T$8),--(T_LEAVE[DATE]&gt;=T$8),ROW(T_LEAVE[LEAVE CODE]))-ROW(T_LEAVE[#Headers]))))))),"")</f>
        <v/>
      </c>
      <c r="U94" s="75" t="str">
        <f>IFERROR(IF(U$8="","NA",IF(U$8&lt;INDEX(T_EMP[START DATE],ROW($B94)-ROW($B$8)),"NE",IF(AND(INDEX(T_EMP[TERMINATION DATE],ROW($B94)-ROW($B$8))&gt;0,U$8&gt;INDEX(T_EMP[TERMINATION DATE],ROW($B94)-ROW($B$8))),"NE",IF(NOT(ISERROR(MATCH(U$8,L_HOLS,0))),"H",IF(INDEX(L_WKNDVAL,WEEKDAY(U$8,1))=1,"WKND",INDEX(T_LEAVE[LEAVE CODE],SUMPRODUCT(--(T_LEAVE[NAME]=$B94),--(T_LEAVE[DATE]&lt;=U$8),--(T_LEAVE[DATE]&gt;=U$8),ROW(T_LEAVE[LEAVE CODE]))-ROW(T_LEAVE[#Headers]))))))),"")</f>
        <v/>
      </c>
      <c r="V94" s="75" t="str">
        <f>IFERROR(IF(V$8="","NA",IF(V$8&lt;INDEX(T_EMP[START DATE],ROW($B94)-ROW($B$8)),"NE",IF(AND(INDEX(T_EMP[TERMINATION DATE],ROW($B94)-ROW($B$8))&gt;0,V$8&gt;INDEX(T_EMP[TERMINATION DATE],ROW($B94)-ROW($B$8))),"NE",IF(NOT(ISERROR(MATCH(V$8,L_HOLS,0))),"H",IF(INDEX(L_WKNDVAL,WEEKDAY(V$8,1))=1,"WKND",INDEX(T_LEAVE[LEAVE CODE],SUMPRODUCT(--(T_LEAVE[NAME]=$B94),--(T_LEAVE[DATE]&lt;=V$8),--(T_LEAVE[DATE]&gt;=V$8),ROW(T_LEAVE[LEAVE CODE]))-ROW(T_LEAVE[#Headers]))))))),"")</f>
        <v/>
      </c>
      <c r="W94" s="75" t="str">
        <f>IFERROR(IF(W$8="","NA",IF(W$8&lt;INDEX(T_EMP[START DATE],ROW($B94)-ROW($B$8)),"NE",IF(AND(INDEX(T_EMP[TERMINATION DATE],ROW($B94)-ROW($B$8))&gt;0,W$8&gt;INDEX(T_EMP[TERMINATION DATE],ROW($B94)-ROW($B$8))),"NE",IF(NOT(ISERROR(MATCH(W$8,L_HOLS,0))),"H",IF(INDEX(L_WKNDVAL,WEEKDAY(W$8,1))=1,"WKND",INDEX(T_LEAVE[LEAVE CODE],SUMPRODUCT(--(T_LEAVE[NAME]=$B94),--(T_LEAVE[DATE]&lt;=W$8),--(T_LEAVE[DATE]&gt;=W$8),ROW(T_LEAVE[LEAVE CODE]))-ROW(T_LEAVE[#Headers]))))))),"")</f>
        <v/>
      </c>
      <c r="X94" s="75" t="str">
        <f>IFERROR(IF(X$8="","NA",IF(X$8&lt;INDEX(T_EMP[START DATE],ROW($B94)-ROW($B$8)),"NE",IF(AND(INDEX(T_EMP[TERMINATION DATE],ROW($B94)-ROW($B$8))&gt;0,X$8&gt;INDEX(T_EMP[TERMINATION DATE],ROW($B94)-ROW($B$8))),"NE",IF(NOT(ISERROR(MATCH(X$8,L_HOLS,0))),"H",IF(INDEX(L_WKNDVAL,WEEKDAY(X$8,1))=1,"WKND",INDEX(T_LEAVE[LEAVE CODE],SUMPRODUCT(--(T_LEAVE[NAME]=$B94),--(T_LEAVE[DATE]&lt;=X$8),--(T_LEAVE[DATE]&gt;=X$8),ROW(T_LEAVE[LEAVE CODE]))-ROW(T_LEAVE[#Headers]))))))),"")</f>
        <v/>
      </c>
      <c r="Y94" s="75" t="str">
        <f>IFERROR(IF(Y$8="","NA",IF(Y$8&lt;INDEX(T_EMP[START DATE],ROW($B94)-ROW($B$8)),"NE",IF(AND(INDEX(T_EMP[TERMINATION DATE],ROW($B94)-ROW($B$8))&gt;0,Y$8&gt;INDEX(T_EMP[TERMINATION DATE],ROW($B94)-ROW($B$8))),"NE",IF(NOT(ISERROR(MATCH(Y$8,L_HOLS,0))),"H",IF(INDEX(L_WKNDVAL,WEEKDAY(Y$8,1))=1,"WKND",INDEX(T_LEAVE[LEAVE CODE],SUMPRODUCT(--(T_LEAVE[NAME]=$B94),--(T_LEAVE[DATE]&lt;=Y$8),--(T_LEAVE[DATE]&gt;=Y$8),ROW(T_LEAVE[LEAVE CODE]))-ROW(T_LEAVE[#Headers]))))))),"")</f>
        <v/>
      </c>
      <c r="Z94" s="75" t="str">
        <f>IFERROR(IF(Z$8="","NA",IF(Z$8&lt;INDEX(T_EMP[START DATE],ROW($B94)-ROW($B$8)),"NE",IF(AND(INDEX(T_EMP[TERMINATION DATE],ROW($B94)-ROW($B$8))&gt;0,Z$8&gt;INDEX(T_EMP[TERMINATION DATE],ROW($B94)-ROW($B$8))),"NE",IF(NOT(ISERROR(MATCH(Z$8,L_HOLS,0))),"H",IF(INDEX(L_WKNDVAL,WEEKDAY(Z$8,1))=1,"WKND",INDEX(T_LEAVE[LEAVE CODE],SUMPRODUCT(--(T_LEAVE[NAME]=$B94),--(T_LEAVE[DATE]&lt;=Z$8),--(T_LEAVE[DATE]&gt;=Z$8),ROW(T_LEAVE[LEAVE CODE]))-ROW(T_LEAVE[#Headers]))))))),"")</f>
        <v/>
      </c>
      <c r="AA94" s="75" t="str">
        <f>IFERROR(IF(AA$8="","NA",IF(AA$8&lt;INDEX(T_EMP[START DATE],ROW($B94)-ROW($B$8)),"NE",IF(AND(INDEX(T_EMP[TERMINATION DATE],ROW($B94)-ROW($B$8))&gt;0,AA$8&gt;INDEX(T_EMP[TERMINATION DATE],ROW($B94)-ROW($B$8))),"NE",IF(NOT(ISERROR(MATCH(AA$8,L_HOLS,0))),"H",IF(INDEX(L_WKNDVAL,WEEKDAY(AA$8,1))=1,"WKND",INDEX(T_LEAVE[LEAVE CODE],SUMPRODUCT(--(T_LEAVE[NAME]=$B94),--(T_LEAVE[DATE]&lt;=AA$8),--(T_LEAVE[DATE]&gt;=AA$8),ROW(T_LEAVE[LEAVE CODE]))-ROW(T_LEAVE[#Headers]))))))),"")</f>
        <v/>
      </c>
      <c r="AB94" s="75" t="str">
        <f>IFERROR(IF(AB$8="","NA",IF(AB$8&lt;INDEX(T_EMP[START DATE],ROW($B94)-ROW($B$8)),"NE",IF(AND(INDEX(T_EMP[TERMINATION DATE],ROW($B94)-ROW($B$8))&gt;0,AB$8&gt;INDEX(T_EMP[TERMINATION DATE],ROW($B94)-ROW($B$8))),"NE",IF(NOT(ISERROR(MATCH(AB$8,L_HOLS,0))),"H",IF(INDEX(L_WKNDVAL,WEEKDAY(AB$8,1))=1,"WKND",INDEX(T_LEAVE[LEAVE CODE],SUMPRODUCT(--(T_LEAVE[NAME]=$B94),--(T_LEAVE[DATE]&lt;=AB$8),--(T_LEAVE[DATE]&gt;=AB$8),ROW(T_LEAVE[LEAVE CODE]))-ROW(T_LEAVE[#Headers]))))))),"")</f>
        <v/>
      </c>
      <c r="AC94" s="75" t="str">
        <f>IFERROR(IF(AC$8="","NA",IF(AC$8&lt;INDEX(T_EMP[START DATE],ROW($B94)-ROW($B$8)),"NE",IF(AND(INDEX(T_EMP[TERMINATION DATE],ROW($B94)-ROW($B$8))&gt;0,AC$8&gt;INDEX(T_EMP[TERMINATION DATE],ROW($B94)-ROW($B$8))),"NE",IF(NOT(ISERROR(MATCH(AC$8,L_HOLS,0))),"H",IF(INDEX(L_WKNDVAL,WEEKDAY(AC$8,1))=1,"WKND",INDEX(T_LEAVE[LEAVE CODE],SUMPRODUCT(--(T_LEAVE[NAME]=$B94),--(T_LEAVE[DATE]&lt;=AC$8),--(T_LEAVE[DATE]&gt;=AC$8),ROW(T_LEAVE[LEAVE CODE]))-ROW(T_LEAVE[#Headers]))))))),"")</f>
        <v/>
      </c>
      <c r="AD94" s="75" t="str">
        <f>IFERROR(IF(AD$8="","NA",IF(AD$8&lt;INDEX(T_EMP[START DATE],ROW($B94)-ROW($B$8)),"NE",IF(AND(INDEX(T_EMP[TERMINATION DATE],ROW($B94)-ROW($B$8))&gt;0,AD$8&gt;INDEX(T_EMP[TERMINATION DATE],ROW($B94)-ROW($B$8))),"NE",IF(NOT(ISERROR(MATCH(AD$8,L_HOLS,0))),"H",IF(INDEX(L_WKNDVAL,WEEKDAY(AD$8,1))=1,"WKND",INDEX(T_LEAVE[LEAVE CODE],SUMPRODUCT(--(T_LEAVE[NAME]=$B94),--(T_LEAVE[DATE]&lt;=AD$8),--(T_LEAVE[DATE]&gt;=AD$8),ROW(T_LEAVE[LEAVE CODE]))-ROW(T_LEAVE[#Headers]))))))),"")</f>
        <v/>
      </c>
      <c r="AE94" s="75" t="str">
        <f>IFERROR(IF(AE$8="","NA",IF(AE$8&lt;INDEX(T_EMP[START DATE],ROW($B94)-ROW($B$8)),"NE",IF(AND(INDEX(T_EMP[TERMINATION DATE],ROW($B94)-ROW($B$8))&gt;0,AE$8&gt;INDEX(T_EMP[TERMINATION DATE],ROW($B94)-ROW($B$8))),"NE",IF(NOT(ISERROR(MATCH(AE$8,L_HOLS,0))),"H",IF(INDEX(L_WKNDVAL,WEEKDAY(AE$8,1))=1,"WKND",INDEX(T_LEAVE[LEAVE CODE],SUMPRODUCT(--(T_LEAVE[NAME]=$B94),--(T_LEAVE[DATE]&lt;=AE$8),--(T_LEAVE[DATE]&gt;=AE$8),ROW(T_LEAVE[LEAVE CODE]))-ROW(T_LEAVE[#Headers]))))))),"")</f>
        <v/>
      </c>
      <c r="AF94" s="75" t="str">
        <f>IFERROR(IF(AF$8="","NA",IF(AF$8&lt;INDEX(T_EMP[START DATE],ROW($B94)-ROW($B$8)),"NE",IF(AND(INDEX(T_EMP[TERMINATION DATE],ROW($B94)-ROW($B$8))&gt;0,AF$8&gt;INDEX(T_EMP[TERMINATION DATE],ROW($B94)-ROW($B$8))),"NE",IF(NOT(ISERROR(MATCH(AF$8,L_HOLS,0))),"H",IF(INDEX(L_WKNDVAL,WEEKDAY(AF$8,1))=1,"WKND",INDEX(T_LEAVE[LEAVE CODE],SUMPRODUCT(--(T_LEAVE[NAME]=$B94),--(T_LEAVE[DATE]&lt;=AF$8),--(T_LEAVE[DATE]&gt;=AF$8),ROW(T_LEAVE[LEAVE CODE]))-ROW(T_LEAVE[#Headers]))))))),"")</f>
        <v/>
      </c>
      <c r="AG94" s="75" t="str">
        <f>IFERROR(IF(AG$8="","NA",IF(AG$8&lt;INDEX(T_EMP[START DATE],ROW($B94)-ROW($B$8)),"NE",IF(AND(INDEX(T_EMP[TERMINATION DATE],ROW($B94)-ROW($B$8))&gt;0,AG$8&gt;INDEX(T_EMP[TERMINATION DATE],ROW($B94)-ROW($B$8))),"NE",IF(NOT(ISERROR(MATCH(AG$8,L_HOLS,0))),"H",IF(INDEX(L_WKNDVAL,WEEKDAY(AG$8,1))=1,"WKND",INDEX(T_LEAVE[LEAVE CODE],SUMPRODUCT(--(T_LEAVE[NAME]=$B94),--(T_LEAVE[DATE]&lt;=AG$8),--(T_LEAVE[DATE]&gt;=AG$8),ROW(T_LEAVE[LEAVE CODE]))-ROW(T_LEAVE[#Headers]))))))),"")</f>
        <v/>
      </c>
      <c r="AH94" s="75" t="str">
        <f>IFERROR(IF(AH$8="","NA",IF(AH$8&lt;INDEX(T_EMP[START DATE],ROW($B94)-ROW($B$8)),"NE",IF(AND(INDEX(T_EMP[TERMINATION DATE],ROW($B94)-ROW($B$8))&gt;0,AH$8&gt;INDEX(T_EMP[TERMINATION DATE],ROW($B94)-ROW($B$8))),"NE",IF(NOT(ISERROR(MATCH(AH$8,L_HOLS,0))),"H",IF(INDEX(L_WKNDVAL,WEEKDAY(AH$8,1))=1,"WKND",INDEX(T_LEAVE[LEAVE CODE],SUMPRODUCT(--(T_LEAVE[NAME]=$B94),--(T_LEAVE[DATE]&lt;=AH$8),--(T_LEAVE[DATE]&gt;=AH$8),ROW(T_LEAVE[LEAVE CODE]))-ROW(T_LEAVE[#Headers]))))))),"")</f>
        <v/>
      </c>
      <c r="AJ94" s="88">
        <f>IF(OR($B94="",AJ$8=""),"",COUNTIFS($D94:$AH94,AJ$8)*INDEX(T_LEAVETYPE[DAY VALUE],1))</f>
        <v>0</v>
      </c>
      <c r="AK94" s="88">
        <f>IF(OR($B94="",AK$8=""),"",COUNTIFS($D94:$AH94,AK$8)*INDEX(T_LEAVETYPE[DAY VALUE],1))</f>
        <v>0</v>
      </c>
      <c r="AL94" s="88">
        <f>IF(OR($B94="",AL$8=""),"",COUNTIFS($D94:$AH94,AL$8)*INDEX(T_LEAVETYPE[DAY VALUE],1))</f>
        <v>0</v>
      </c>
      <c r="AM94" s="88">
        <f>IF(OR($B94="",AM$8=""),"",COUNTIFS($D94:$AH94,AM$8)*INDEX(T_LEAVETYPE[DAY VALUE],1))</f>
        <v>0</v>
      </c>
      <c r="AN94" s="88">
        <f>IF(OR($B94="",AN$8=""),"",COUNTIFS($D94:$AH94,AN$8)*INDEX(T_LEAVETYPE[DAY VALUE],1))</f>
        <v>0</v>
      </c>
      <c r="AO94" s="88">
        <f>IF(OR($B94="",AO$8=""),"",COUNTIFS($D94:$AH94,AO$8)*INDEX(T_LEAVETYPE[DAY VALUE],6))</f>
        <v>0</v>
      </c>
      <c r="AP94" s="88">
        <f>IF(OR($B94="",AP$8=""),"",COUNTIFS($D94:$AH94,AP$8)*INDEX(T_LEAVETYPE[DAY VALUE],7))</f>
        <v>0</v>
      </c>
      <c r="AQ94" s="88">
        <f>IF(OR($B94="",AQ$8=""),"",COUNTIFS($D94:$AH94,AQ$8)*INDEX(T_LEAVETYPE[DAY VALUE],8))</f>
        <v>0</v>
      </c>
      <c r="AR94" s="89">
        <f t="shared" si="5"/>
        <v>0</v>
      </c>
    </row>
    <row r="95" spans="1:44" x14ac:dyDescent="0.25">
      <c r="A95" s="90">
        <f t="shared" si="4"/>
        <v>87</v>
      </c>
      <c r="B95" s="74" t="str">
        <f>IFERROR(INDEX(T_EMP[NAME],ROW(B95)-ROW($B$8)),"")</f>
        <v>DELA CRUZ, R-JOHN</v>
      </c>
      <c r="C95" s="91" t="str">
        <f>IFERROR(INDEX(T_EMP[DEPARTMENT],ROW(B95)-ROW($C$8)),"")</f>
        <v>WFM</v>
      </c>
      <c r="D95" s="75" t="str">
        <f>IFERROR(IF(D$8="","NA",IF(D$8&lt;INDEX(T_EMP[START DATE],ROW($B95)-ROW($B$8)),"NE",IF(AND(INDEX(T_EMP[TERMINATION DATE],ROW($B95)-ROW($B$8))&gt;0,D$8&gt;INDEX(T_EMP[TERMINATION DATE],ROW($B95)-ROW($B$8))),"NE",IF(NOT(ISERROR(MATCH(D$8,L_HOLS,0))),"H",IF(INDEX(L_WKNDVAL,WEEKDAY(D$8,1))=1,"WKND",INDEX(T_LEAVE[LEAVE CODE],SUMPRODUCT(--(T_LEAVE[NAME]=$B95),--(T_LEAVE[DATE]&lt;=D$8),--(T_LEAVE[DATE]&gt;=D$8),ROW(T_LEAVE[LEAVE CODE]))-ROW(T_LEAVE[#Headers]))))))),"")</f>
        <v>H</v>
      </c>
      <c r="E95" s="75" t="str">
        <f>IFERROR(IF(E$8="","NA",IF(E$8&lt;INDEX(T_EMP[START DATE],ROW($B95)-ROW($B$8)),"NE",IF(AND(INDEX(T_EMP[TERMINATION DATE],ROW($B95)-ROW($B$8))&gt;0,E$8&gt;INDEX(T_EMP[TERMINATION DATE],ROW($B95)-ROW($B$8))),"NE",IF(NOT(ISERROR(MATCH(E$8,L_HOLS,0))),"H",IF(INDEX(L_WKNDVAL,WEEKDAY(E$8,1))=1,"WKND",INDEX(T_LEAVE[LEAVE CODE],SUMPRODUCT(--(T_LEAVE[NAME]=$B95),--(T_LEAVE[DATE]&lt;=E$8),--(T_LEAVE[DATE]&gt;=E$8),ROW(T_LEAVE[LEAVE CODE]))-ROW(T_LEAVE[#Headers]))))))),"")</f>
        <v/>
      </c>
      <c r="F95" s="75" t="str">
        <f>IFERROR(IF(F$8="","NA",IF(F$8&lt;INDEX(T_EMP[START DATE],ROW($B95)-ROW($B$8)),"NE",IF(AND(INDEX(T_EMP[TERMINATION DATE],ROW($B95)-ROW($B$8))&gt;0,F$8&gt;INDEX(T_EMP[TERMINATION DATE],ROW($B95)-ROW($B$8))),"NE",IF(NOT(ISERROR(MATCH(F$8,L_HOLS,0))),"H",IF(INDEX(L_WKNDVAL,WEEKDAY(F$8,1))=1,"WKND",INDEX(T_LEAVE[LEAVE CODE],SUMPRODUCT(--(T_LEAVE[NAME]=$B95),--(T_LEAVE[DATE]&lt;=F$8),--(T_LEAVE[DATE]&gt;=F$8),ROW(T_LEAVE[LEAVE CODE]))-ROW(T_LEAVE[#Headers]))))))),"")</f>
        <v/>
      </c>
      <c r="G95" s="75" t="str">
        <f>IFERROR(IF(G$8="","NA",IF(G$8&lt;INDEX(T_EMP[START DATE],ROW($B95)-ROW($B$8)),"NE",IF(AND(INDEX(T_EMP[TERMINATION DATE],ROW($B95)-ROW($B$8))&gt;0,G$8&gt;INDEX(T_EMP[TERMINATION DATE],ROW($B95)-ROW($B$8))),"NE",IF(NOT(ISERROR(MATCH(G$8,L_HOLS,0))),"H",IF(INDEX(L_WKNDVAL,WEEKDAY(G$8,1))=1,"WKND",INDEX(T_LEAVE[LEAVE CODE],SUMPRODUCT(--(T_LEAVE[NAME]=$B95),--(T_LEAVE[DATE]&lt;=G$8),--(T_LEAVE[DATE]&gt;=G$8),ROW(T_LEAVE[LEAVE CODE]))-ROW(T_LEAVE[#Headers]))))))),"")</f>
        <v/>
      </c>
      <c r="H95" s="75" t="str">
        <f>IFERROR(IF(H$8="","NA",IF(H$8&lt;INDEX(T_EMP[START DATE],ROW($B95)-ROW($B$8)),"NE",IF(AND(INDEX(T_EMP[TERMINATION DATE],ROW($B95)-ROW($B$8))&gt;0,H$8&gt;INDEX(T_EMP[TERMINATION DATE],ROW($B95)-ROW($B$8))),"NE",IF(NOT(ISERROR(MATCH(H$8,L_HOLS,0))),"H",IF(INDEX(L_WKNDVAL,WEEKDAY(H$8,1))=1,"WKND",INDEX(T_LEAVE[LEAVE CODE],SUMPRODUCT(--(T_LEAVE[NAME]=$B95),--(T_LEAVE[DATE]&lt;=H$8),--(T_LEAVE[DATE]&gt;=H$8),ROW(T_LEAVE[LEAVE CODE]))-ROW(T_LEAVE[#Headers]))))))),"")</f>
        <v/>
      </c>
      <c r="I95" s="75" t="str">
        <f>IFERROR(IF(I$8="","NA",IF(I$8&lt;INDEX(T_EMP[START DATE],ROW($B95)-ROW($B$8)),"NE",IF(AND(INDEX(T_EMP[TERMINATION DATE],ROW($B95)-ROW($B$8))&gt;0,I$8&gt;INDEX(T_EMP[TERMINATION DATE],ROW($B95)-ROW($B$8))),"NE",IF(NOT(ISERROR(MATCH(I$8,L_HOLS,0))),"H",IF(INDEX(L_WKNDVAL,WEEKDAY(I$8,1))=1,"WKND",INDEX(T_LEAVE[LEAVE CODE],SUMPRODUCT(--(T_LEAVE[NAME]=$B95),--(T_LEAVE[DATE]&lt;=I$8),--(T_LEAVE[DATE]&gt;=I$8),ROW(T_LEAVE[LEAVE CODE]))-ROW(T_LEAVE[#Headers]))))))),"")</f>
        <v/>
      </c>
      <c r="J95" s="75" t="str">
        <f>IFERROR(IF(J$8="","NA",IF(J$8&lt;INDEX(T_EMP[START DATE],ROW($B95)-ROW($B$8)),"NE",IF(AND(INDEX(T_EMP[TERMINATION DATE],ROW($B95)-ROW($B$8))&gt;0,J$8&gt;INDEX(T_EMP[TERMINATION DATE],ROW($B95)-ROW($B$8))),"NE",IF(NOT(ISERROR(MATCH(J$8,L_HOLS,0))),"H",IF(INDEX(L_WKNDVAL,WEEKDAY(J$8,1))=1,"WKND",INDEX(T_LEAVE[LEAVE CODE],SUMPRODUCT(--(T_LEAVE[NAME]=$B95),--(T_LEAVE[DATE]&lt;=J$8),--(T_LEAVE[DATE]&gt;=J$8),ROW(T_LEAVE[LEAVE CODE]))-ROW(T_LEAVE[#Headers]))))))),"")</f>
        <v/>
      </c>
      <c r="K95" s="75" t="str">
        <f>IFERROR(IF(K$8="","NA",IF(K$8&lt;INDEX(T_EMP[START DATE],ROW($B95)-ROW($B$8)),"NE",IF(AND(INDEX(T_EMP[TERMINATION DATE],ROW($B95)-ROW($B$8))&gt;0,K$8&gt;INDEX(T_EMP[TERMINATION DATE],ROW($B95)-ROW($B$8))),"NE",IF(NOT(ISERROR(MATCH(K$8,L_HOLS,0))),"H",IF(INDEX(L_WKNDVAL,WEEKDAY(K$8,1))=1,"WKND",INDEX(T_LEAVE[LEAVE CODE],SUMPRODUCT(--(T_LEAVE[NAME]=$B95),--(T_LEAVE[DATE]&lt;=K$8),--(T_LEAVE[DATE]&gt;=K$8),ROW(T_LEAVE[LEAVE CODE]))-ROW(T_LEAVE[#Headers]))))))),"")</f>
        <v/>
      </c>
      <c r="L95" s="75" t="str">
        <f>IFERROR(IF(L$8="","NA",IF(L$8&lt;INDEX(T_EMP[START DATE],ROW($B95)-ROW($B$8)),"NE",IF(AND(INDEX(T_EMP[TERMINATION DATE],ROW($B95)-ROW($B$8))&gt;0,L$8&gt;INDEX(T_EMP[TERMINATION DATE],ROW($B95)-ROW($B$8))),"NE",IF(NOT(ISERROR(MATCH(L$8,L_HOLS,0))),"H",IF(INDEX(L_WKNDVAL,WEEKDAY(L$8,1))=1,"WKND",INDEX(T_LEAVE[LEAVE CODE],SUMPRODUCT(--(T_LEAVE[NAME]=$B95),--(T_LEAVE[DATE]&lt;=L$8),--(T_LEAVE[DATE]&gt;=L$8),ROW(T_LEAVE[LEAVE CODE]))-ROW(T_LEAVE[#Headers]))))))),"")</f>
        <v/>
      </c>
      <c r="M95" s="75" t="str">
        <f>IFERROR(IF(M$8="","NA",IF(M$8&lt;INDEX(T_EMP[START DATE],ROW($B95)-ROW($B$8)),"NE",IF(AND(INDEX(T_EMP[TERMINATION DATE],ROW($B95)-ROW($B$8))&gt;0,M$8&gt;INDEX(T_EMP[TERMINATION DATE],ROW($B95)-ROW($B$8))),"NE",IF(NOT(ISERROR(MATCH(M$8,L_HOLS,0))),"H",IF(INDEX(L_WKNDVAL,WEEKDAY(M$8,1))=1,"WKND",INDEX(T_LEAVE[LEAVE CODE],SUMPRODUCT(--(T_LEAVE[NAME]=$B95),--(T_LEAVE[DATE]&lt;=M$8),--(T_LEAVE[DATE]&gt;=M$8),ROW(T_LEAVE[LEAVE CODE]))-ROW(T_LEAVE[#Headers]))))))),"")</f>
        <v/>
      </c>
      <c r="N95" s="75" t="str">
        <f>IFERROR(IF(N$8="","NA",IF(N$8&lt;INDEX(T_EMP[START DATE],ROW($B95)-ROW($B$8)),"NE",IF(AND(INDEX(T_EMP[TERMINATION DATE],ROW($B95)-ROW($B$8))&gt;0,N$8&gt;INDEX(T_EMP[TERMINATION DATE],ROW($B95)-ROW($B$8))),"NE",IF(NOT(ISERROR(MATCH(N$8,L_HOLS,0))),"H",IF(INDEX(L_WKNDVAL,WEEKDAY(N$8,1))=1,"WKND",INDEX(T_LEAVE[LEAVE CODE],SUMPRODUCT(--(T_LEAVE[NAME]=$B95),--(T_LEAVE[DATE]&lt;=N$8),--(T_LEAVE[DATE]&gt;=N$8),ROW(T_LEAVE[LEAVE CODE]))-ROW(T_LEAVE[#Headers]))))))),"")</f>
        <v/>
      </c>
      <c r="O95" s="75" t="str">
        <f>IFERROR(IF(O$8="","NA",IF(O$8&lt;INDEX(T_EMP[START DATE],ROW($B95)-ROW($B$8)),"NE",IF(AND(INDEX(T_EMP[TERMINATION DATE],ROW($B95)-ROW($B$8))&gt;0,O$8&gt;INDEX(T_EMP[TERMINATION DATE],ROW($B95)-ROW($B$8))),"NE",IF(NOT(ISERROR(MATCH(O$8,L_HOLS,0))),"H",IF(INDEX(L_WKNDVAL,WEEKDAY(O$8,1))=1,"WKND",INDEX(T_LEAVE[LEAVE CODE],SUMPRODUCT(--(T_LEAVE[NAME]=$B95),--(T_LEAVE[DATE]&lt;=O$8),--(T_LEAVE[DATE]&gt;=O$8),ROW(T_LEAVE[LEAVE CODE]))-ROW(T_LEAVE[#Headers]))))))),"")</f>
        <v/>
      </c>
      <c r="P95" s="75" t="str">
        <f>IFERROR(IF(P$8="","NA",IF(P$8&lt;INDEX(T_EMP[START DATE],ROW($B95)-ROW($B$8)),"NE",IF(AND(INDEX(T_EMP[TERMINATION DATE],ROW($B95)-ROW($B$8))&gt;0,P$8&gt;INDEX(T_EMP[TERMINATION DATE],ROW($B95)-ROW($B$8))),"NE",IF(NOT(ISERROR(MATCH(P$8,L_HOLS,0))),"H",IF(INDEX(L_WKNDVAL,WEEKDAY(P$8,1))=1,"WKND",INDEX(T_LEAVE[LEAVE CODE],SUMPRODUCT(--(T_LEAVE[NAME]=$B95),--(T_LEAVE[DATE]&lt;=P$8),--(T_LEAVE[DATE]&gt;=P$8),ROW(T_LEAVE[LEAVE CODE]))-ROW(T_LEAVE[#Headers]))))))),"")</f>
        <v>H</v>
      </c>
      <c r="Q95" s="75" t="str">
        <f>IFERROR(IF(Q$8="","NA",IF(Q$8&lt;INDEX(T_EMP[START DATE],ROW($B95)-ROW($B$8)),"NE",IF(AND(INDEX(T_EMP[TERMINATION DATE],ROW($B95)-ROW($B$8))&gt;0,Q$8&gt;INDEX(T_EMP[TERMINATION DATE],ROW($B95)-ROW($B$8))),"NE",IF(NOT(ISERROR(MATCH(Q$8,L_HOLS,0))),"H",IF(INDEX(L_WKNDVAL,WEEKDAY(Q$8,1))=1,"WKND",INDEX(T_LEAVE[LEAVE CODE],SUMPRODUCT(--(T_LEAVE[NAME]=$B95),--(T_LEAVE[DATE]&lt;=Q$8),--(T_LEAVE[DATE]&gt;=Q$8),ROW(T_LEAVE[LEAVE CODE]))-ROW(T_LEAVE[#Headers]))))))),"")</f>
        <v/>
      </c>
      <c r="R95" s="75" t="str">
        <f>IFERROR(IF(R$8="","NA",IF(R$8&lt;INDEX(T_EMP[START DATE],ROW($B95)-ROW($B$8)),"NE",IF(AND(INDEX(T_EMP[TERMINATION DATE],ROW($B95)-ROW($B$8))&gt;0,R$8&gt;INDEX(T_EMP[TERMINATION DATE],ROW($B95)-ROW($B$8))),"NE",IF(NOT(ISERROR(MATCH(R$8,L_HOLS,0))),"H",IF(INDEX(L_WKNDVAL,WEEKDAY(R$8,1))=1,"WKND",INDEX(T_LEAVE[LEAVE CODE],SUMPRODUCT(--(T_LEAVE[NAME]=$B95),--(T_LEAVE[DATE]&lt;=R$8),--(T_LEAVE[DATE]&gt;=R$8),ROW(T_LEAVE[LEAVE CODE]))-ROW(T_LEAVE[#Headers]))))))),"")</f>
        <v/>
      </c>
      <c r="S95" s="75" t="str">
        <f>IFERROR(IF(S$8="","NA",IF(S$8&lt;INDEX(T_EMP[START DATE],ROW($B95)-ROW($B$8)),"NE",IF(AND(INDEX(T_EMP[TERMINATION DATE],ROW($B95)-ROW($B$8))&gt;0,S$8&gt;INDEX(T_EMP[TERMINATION DATE],ROW($B95)-ROW($B$8))),"NE",IF(NOT(ISERROR(MATCH(S$8,L_HOLS,0))),"H",IF(INDEX(L_WKNDVAL,WEEKDAY(S$8,1))=1,"WKND",INDEX(T_LEAVE[LEAVE CODE],SUMPRODUCT(--(T_LEAVE[NAME]=$B95),--(T_LEAVE[DATE]&lt;=S$8),--(T_LEAVE[DATE]&gt;=S$8),ROW(T_LEAVE[LEAVE CODE]))-ROW(T_LEAVE[#Headers]))))))),"")</f>
        <v/>
      </c>
      <c r="T95" s="75" t="str">
        <f>IFERROR(IF(T$8="","NA",IF(T$8&lt;INDEX(T_EMP[START DATE],ROW($B95)-ROW($B$8)),"NE",IF(AND(INDEX(T_EMP[TERMINATION DATE],ROW($B95)-ROW($B$8))&gt;0,T$8&gt;INDEX(T_EMP[TERMINATION DATE],ROW($B95)-ROW($B$8))),"NE",IF(NOT(ISERROR(MATCH(T$8,L_HOLS,0))),"H",IF(INDEX(L_WKNDVAL,WEEKDAY(T$8,1))=1,"WKND",INDEX(T_LEAVE[LEAVE CODE],SUMPRODUCT(--(T_LEAVE[NAME]=$B95),--(T_LEAVE[DATE]&lt;=T$8),--(T_LEAVE[DATE]&gt;=T$8),ROW(T_LEAVE[LEAVE CODE]))-ROW(T_LEAVE[#Headers]))))))),"")</f>
        <v/>
      </c>
      <c r="U95" s="75" t="str">
        <f>IFERROR(IF(U$8="","NA",IF(U$8&lt;INDEX(T_EMP[START DATE],ROW($B95)-ROW($B$8)),"NE",IF(AND(INDEX(T_EMP[TERMINATION DATE],ROW($B95)-ROW($B$8))&gt;0,U$8&gt;INDEX(T_EMP[TERMINATION DATE],ROW($B95)-ROW($B$8))),"NE",IF(NOT(ISERROR(MATCH(U$8,L_HOLS,0))),"H",IF(INDEX(L_WKNDVAL,WEEKDAY(U$8,1))=1,"WKND",INDEX(T_LEAVE[LEAVE CODE],SUMPRODUCT(--(T_LEAVE[NAME]=$B95),--(T_LEAVE[DATE]&lt;=U$8),--(T_LEAVE[DATE]&gt;=U$8),ROW(T_LEAVE[LEAVE CODE]))-ROW(T_LEAVE[#Headers]))))))),"")</f>
        <v/>
      </c>
      <c r="V95" s="75" t="str">
        <f>IFERROR(IF(V$8="","NA",IF(V$8&lt;INDEX(T_EMP[START DATE],ROW($B95)-ROW($B$8)),"NE",IF(AND(INDEX(T_EMP[TERMINATION DATE],ROW($B95)-ROW($B$8))&gt;0,V$8&gt;INDEX(T_EMP[TERMINATION DATE],ROW($B95)-ROW($B$8))),"NE",IF(NOT(ISERROR(MATCH(V$8,L_HOLS,0))),"H",IF(INDEX(L_WKNDVAL,WEEKDAY(V$8,1))=1,"WKND",INDEX(T_LEAVE[LEAVE CODE],SUMPRODUCT(--(T_LEAVE[NAME]=$B95),--(T_LEAVE[DATE]&lt;=V$8),--(T_LEAVE[DATE]&gt;=V$8),ROW(T_LEAVE[LEAVE CODE]))-ROW(T_LEAVE[#Headers]))))))),"")</f>
        <v/>
      </c>
      <c r="W95" s="75" t="str">
        <f>IFERROR(IF(W$8="","NA",IF(W$8&lt;INDEX(T_EMP[START DATE],ROW($B95)-ROW($B$8)),"NE",IF(AND(INDEX(T_EMP[TERMINATION DATE],ROW($B95)-ROW($B$8))&gt;0,W$8&gt;INDEX(T_EMP[TERMINATION DATE],ROW($B95)-ROW($B$8))),"NE",IF(NOT(ISERROR(MATCH(W$8,L_HOLS,0))),"H",IF(INDEX(L_WKNDVAL,WEEKDAY(W$8,1))=1,"WKND",INDEX(T_LEAVE[LEAVE CODE],SUMPRODUCT(--(T_LEAVE[NAME]=$B95),--(T_LEAVE[DATE]&lt;=W$8),--(T_LEAVE[DATE]&gt;=W$8),ROW(T_LEAVE[LEAVE CODE]))-ROW(T_LEAVE[#Headers]))))))),"")</f>
        <v/>
      </c>
      <c r="X95" s="75" t="str">
        <f>IFERROR(IF(X$8="","NA",IF(X$8&lt;INDEX(T_EMP[START DATE],ROW($B95)-ROW($B$8)),"NE",IF(AND(INDEX(T_EMP[TERMINATION DATE],ROW($B95)-ROW($B$8))&gt;0,X$8&gt;INDEX(T_EMP[TERMINATION DATE],ROW($B95)-ROW($B$8))),"NE",IF(NOT(ISERROR(MATCH(X$8,L_HOLS,0))),"H",IF(INDEX(L_WKNDVAL,WEEKDAY(X$8,1))=1,"WKND",INDEX(T_LEAVE[LEAVE CODE],SUMPRODUCT(--(T_LEAVE[NAME]=$B95),--(T_LEAVE[DATE]&lt;=X$8),--(T_LEAVE[DATE]&gt;=X$8),ROW(T_LEAVE[LEAVE CODE]))-ROW(T_LEAVE[#Headers]))))))),"")</f>
        <v/>
      </c>
      <c r="Y95" s="75" t="str">
        <f>IFERROR(IF(Y$8="","NA",IF(Y$8&lt;INDEX(T_EMP[START DATE],ROW($B95)-ROW($B$8)),"NE",IF(AND(INDEX(T_EMP[TERMINATION DATE],ROW($B95)-ROW($B$8))&gt;0,Y$8&gt;INDEX(T_EMP[TERMINATION DATE],ROW($B95)-ROW($B$8))),"NE",IF(NOT(ISERROR(MATCH(Y$8,L_HOLS,0))),"H",IF(INDEX(L_WKNDVAL,WEEKDAY(Y$8,1))=1,"WKND",INDEX(T_LEAVE[LEAVE CODE],SUMPRODUCT(--(T_LEAVE[NAME]=$B95),--(T_LEAVE[DATE]&lt;=Y$8),--(T_LEAVE[DATE]&gt;=Y$8),ROW(T_LEAVE[LEAVE CODE]))-ROW(T_LEAVE[#Headers]))))))),"")</f>
        <v/>
      </c>
      <c r="Z95" s="75" t="str">
        <f>IFERROR(IF(Z$8="","NA",IF(Z$8&lt;INDEX(T_EMP[START DATE],ROW($B95)-ROW($B$8)),"NE",IF(AND(INDEX(T_EMP[TERMINATION DATE],ROW($B95)-ROW($B$8))&gt;0,Z$8&gt;INDEX(T_EMP[TERMINATION DATE],ROW($B95)-ROW($B$8))),"NE",IF(NOT(ISERROR(MATCH(Z$8,L_HOLS,0))),"H",IF(INDEX(L_WKNDVAL,WEEKDAY(Z$8,1))=1,"WKND",INDEX(T_LEAVE[LEAVE CODE],SUMPRODUCT(--(T_LEAVE[NAME]=$B95),--(T_LEAVE[DATE]&lt;=Z$8),--(T_LEAVE[DATE]&gt;=Z$8),ROW(T_LEAVE[LEAVE CODE]))-ROW(T_LEAVE[#Headers]))))))),"")</f>
        <v/>
      </c>
      <c r="AA95" s="75" t="str">
        <f>IFERROR(IF(AA$8="","NA",IF(AA$8&lt;INDEX(T_EMP[START DATE],ROW($B95)-ROW($B$8)),"NE",IF(AND(INDEX(T_EMP[TERMINATION DATE],ROW($B95)-ROW($B$8))&gt;0,AA$8&gt;INDEX(T_EMP[TERMINATION DATE],ROW($B95)-ROW($B$8))),"NE",IF(NOT(ISERROR(MATCH(AA$8,L_HOLS,0))),"H",IF(INDEX(L_WKNDVAL,WEEKDAY(AA$8,1))=1,"WKND",INDEX(T_LEAVE[LEAVE CODE],SUMPRODUCT(--(T_LEAVE[NAME]=$B95),--(T_LEAVE[DATE]&lt;=AA$8),--(T_LEAVE[DATE]&gt;=AA$8),ROW(T_LEAVE[LEAVE CODE]))-ROW(T_LEAVE[#Headers]))))))),"")</f>
        <v/>
      </c>
      <c r="AB95" s="75" t="str">
        <f>IFERROR(IF(AB$8="","NA",IF(AB$8&lt;INDEX(T_EMP[START DATE],ROW($B95)-ROW($B$8)),"NE",IF(AND(INDEX(T_EMP[TERMINATION DATE],ROW($B95)-ROW($B$8))&gt;0,AB$8&gt;INDEX(T_EMP[TERMINATION DATE],ROW($B95)-ROW($B$8))),"NE",IF(NOT(ISERROR(MATCH(AB$8,L_HOLS,0))),"H",IF(INDEX(L_WKNDVAL,WEEKDAY(AB$8,1))=1,"WKND",INDEX(T_LEAVE[LEAVE CODE],SUMPRODUCT(--(T_LEAVE[NAME]=$B95),--(T_LEAVE[DATE]&lt;=AB$8),--(T_LEAVE[DATE]&gt;=AB$8),ROW(T_LEAVE[LEAVE CODE]))-ROW(T_LEAVE[#Headers]))))))),"")</f>
        <v/>
      </c>
      <c r="AC95" s="75" t="str">
        <f>IFERROR(IF(AC$8="","NA",IF(AC$8&lt;INDEX(T_EMP[START DATE],ROW($B95)-ROW($B$8)),"NE",IF(AND(INDEX(T_EMP[TERMINATION DATE],ROW($B95)-ROW($B$8))&gt;0,AC$8&gt;INDEX(T_EMP[TERMINATION DATE],ROW($B95)-ROW($B$8))),"NE",IF(NOT(ISERROR(MATCH(AC$8,L_HOLS,0))),"H",IF(INDEX(L_WKNDVAL,WEEKDAY(AC$8,1))=1,"WKND",INDEX(T_LEAVE[LEAVE CODE],SUMPRODUCT(--(T_LEAVE[NAME]=$B95),--(T_LEAVE[DATE]&lt;=AC$8),--(T_LEAVE[DATE]&gt;=AC$8),ROW(T_LEAVE[LEAVE CODE]))-ROW(T_LEAVE[#Headers]))))))),"")</f>
        <v/>
      </c>
      <c r="AD95" s="75" t="str">
        <f>IFERROR(IF(AD$8="","NA",IF(AD$8&lt;INDEX(T_EMP[START DATE],ROW($B95)-ROW($B$8)),"NE",IF(AND(INDEX(T_EMP[TERMINATION DATE],ROW($B95)-ROW($B$8))&gt;0,AD$8&gt;INDEX(T_EMP[TERMINATION DATE],ROW($B95)-ROW($B$8))),"NE",IF(NOT(ISERROR(MATCH(AD$8,L_HOLS,0))),"H",IF(INDEX(L_WKNDVAL,WEEKDAY(AD$8,1))=1,"WKND",INDEX(T_LEAVE[LEAVE CODE],SUMPRODUCT(--(T_LEAVE[NAME]=$B95),--(T_LEAVE[DATE]&lt;=AD$8),--(T_LEAVE[DATE]&gt;=AD$8),ROW(T_LEAVE[LEAVE CODE]))-ROW(T_LEAVE[#Headers]))))))),"")</f>
        <v/>
      </c>
      <c r="AE95" s="75" t="str">
        <f>IFERROR(IF(AE$8="","NA",IF(AE$8&lt;INDEX(T_EMP[START DATE],ROW($B95)-ROW($B$8)),"NE",IF(AND(INDEX(T_EMP[TERMINATION DATE],ROW($B95)-ROW($B$8))&gt;0,AE$8&gt;INDEX(T_EMP[TERMINATION DATE],ROW($B95)-ROW($B$8))),"NE",IF(NOT(ISERROR(MATCH(AE$8,L_HOLS,0))),"H",IF(INDEX(L_WKNDVAL,WEEKDAY(AE$8,1))=1,"WKND",INDEX(T_LEAVE[LEAVE CODE],SUMPRODUCT(--(T_LEAVE[NAME]=$B95),--(T_LEAVE[DATE]&lt;=AE$8),--(T_LEAVE[DATE]&gt;=AE$8),ROW(T_LEAVE[LEAVE CODE]))-ROW(T_LEAVE[#Headers]))))))),"")</f>
        <v/>
      </c>
      <c r="AF95" s="75" t="str">
        <f>IFERROR(IF(AF$8="","NA",IF(AF$8&lt;INDEX(T_EMP[START DATE],ROW($B95)-ROW($B$8)),"NE",IF(AND(INDEX(T_EMP[TERMINATION DATE],ROW($B95)-ROW($B$8))&gt;0,AF$8&gt;INDEX(T_EMP[TERMINATION DATE],ROW($B95)-ROW($B$8))),"NE",IF(NOT(ISERROR(MATCH(AF$8,L_HOLS,0))),"H",IF(INDEX(L_WKNDVAL,WEEKDAY(AF$8,1))=1,"WKND",INDEX(T_LEAVE[LEAVE CODE],SUMPRODUCT(--(T_LEAVE[NAME]=$B95),--(T_LEAVE[DATE]&lt;=AF$8),--(T_LEAVE[DATE]&gt;=AF$8),ROW(T_LEAVE[LEAVE CODE]))-ROW(T_LEAVE[#Headers]))))))),"")</f>
        <v/>
      </c>
      <c r="AG95" s="75" t="str">
        <f>IFERROR(IF(AG$8="","NA",IF(AG$8&lt;INDEX(T_EMP[START DATE],ROW($B95)-ROW($B$8)),"NE",IF(AND(INDEX(T_EMP[TERMINATION DATE],ROW($B95)-ROW($B$8))&gt;0,AG$8&gt;INDEX(T_EMP[TERMINATION DATE],ROW($B95)-ROW($B$8))),"NE",IF(NOT(ISERROR(MATCH(AG$8,L_HOLS,0))),"H",IF(INDEX(L_WKNDVAL,WEEKDAY(AG$8,1))=1,"WKND",INDEX(T_LEAVE[LEAVE CODE],SUMPRODUCT(--(T_LEAVE[NAME]=$B95),--(T_LEAVE[DATE]&lt;=AG$8),--(T_LEAVE[DATE]&gt;=AG$8),ROW(T_LEAVE[LEAVE CODE]))-ROW(T_LEAVE[#Headers]))))))),"")</f>
        <v/>
      </c>
      <c r="AH95" s="75" t="str">
        <f>IFERROR(IF(AH$8="","NA",IF(AH$8&lt;INDEX(T_EMP[START DATE],ROW($B95)-ROW($B$8)),"NE",IF(AND(INDEX(T_EMP[TERMINATION DATE],ROW($B95)-ROW($B$8))&gt;0,AH$8&gt;INDEX(T_EMP[TERMINATION DATE],ROW($B95)-ROW($B$8))),"NE",IF(NOT(ISERROR(MATCH(AH$8,L_HOLS,0))),"H",IF(INDEX(L_WKNDVAL,WEEKDAY(AH$8,1))=1,"WKND",INDEX(T_LEAVE[LEAVE CODE],SUMPRODUCT(--(T_LEAVE[NAME]=$B95),--(T_LEAVE[DATE]&lt;=AH$8),--(T_LEAVE[DATE]&gt;=AH$8),ROW(T_LEAVE[LEAVE CODE]))-ROW(T_LEAVE[#Headers]))))))),"")</f>
        <v/>
      </c>
      <c r="AJ95" s="88">
        <f>IF(OR($B95="",AJ$8=""),"",COUNTIFS($D95:$AH95,AJ$8)*INDEX(T_LEAVETYPE[DAY VALUE],1))</f>
        <v>0</v>
      </c>
      <c r="AK95" s="88">
        <f>IF(OR($B95="",AK$8=""),"",COUNTIFS($D95:$AH95,AK$8)*INDEX(T_LEAVETYPE[DAY VALUE],1))</f>
        <v>0</v>
      </c>
      <c r="AL95" s="88">
        <f>IF(OR($B95="",AL$8=""),"",COUNTIFS($D95:$AH95,AL$8)*INDEX(T_LEAVETYPE[DAY VALUE],1))</f>
        <v>0</v>
      </c>
      <c r="AM95" s="88">
        <f>IF(OR($B95="",AM$8=""),"",COUNTIFS($D95:$AH95,AM$8)*INDEX(T_LEAVETYPE[DAY VALUE],1))</f>
        <v>0</v>
      </c>
      <c r="AN95" s="88">
        <f>IF(OR($B95="",AN$8=""),"",COUNTIFS($D95:$AH95,AN$8)*INDEX(T_LEAVETYPE[DAY VALUE],1))</f>
        <v>0</v>
      </c>
      <c r="AO95" s="88">
        <f>IF(OR($B95="",AO$8=""),"",COUNTIFS($D95:$AH95,AO$8)*INDEX(T_LEAVETYPE[DAY VALUE],6))</f>
        <v>0</v>
      </c>
      <c r="AP95" s="88">
        <f>IF(OR($B95="",AP$8=""),"",COUNTIFS($D95:$AH95,AP$8)*INDEX(T_LEAVETYPE[DAY VALUE],7))</f>
        <v>0</v>
      </c>
      <c r="AQ95" s="88">
        <f>IF(OR($B95="",AQ$8=""),"",COUNTIFS($D95:$AH95,AQ$8)*INDEX(T_LEAVETYPE[DAY VALUE],8))</f>
        <v>0</v>
      </c>
      <c r="AR95" s="89">
        <f t="shared" si="5"/>
        <v>0</v>
      </c>
    </row>
    <row r="96" spans="1:44" x14ac:dyDescent="0.25">
      <c r="A96" s="90">
        <f t="shared" si="4"/>
        <v>88</v>
      </c>
      <c r="B96" s="74" t="str">
        <f>IFERROR(INDEX(T_EMP[NAME],ROW(B96)-ROW($B$8)),"")</f>
        <v>TAÑEDO, NELSON</v>
      </c>
      <c r="C96" s="91" t="str">
        <f>IFERROR(INDEX(T_EMP[DEPARTMENT],ROW(B96)-ROW($C$8)),"")</f>
        <v>Contact Center Manager</v>
      </c>
      <c r="D96" s="75" t="str">
        <f>IFERROR(IF(D$8="","NA",IF(D$8&lt;INDEX(T_EMP[START DATE],ROW($B96)-ROW($B$8)),"NE",IF(AND(INDEX(T_EMP[TERMINATION DATE],ROW($B96)-ROW($B$8))&gt;0,D$8&gt;INDEX(T_EMP[TERMINATION DATE],ROW($B96)-ROW($B$8))),"NE",IF(NOT(ISERROR(MATCH(D$8,L_HOLS,0))),"H",IF(INDEX(L_WKNDVAL,WEEKDAY(D$8,1))=1,"WKND",INDEX(T_LEAVE[LEAVE CODE],SUMPRODUCT(--(T_LEAVE[NAME]=$B96),--(T_LEAVE[DATE]&lt;=D$8),--(T_LEAVE[DATE]&gt;=D$8),ROW(T_LEAVE[LEAVE CODE]))-ROW(T_LEAVE[#Headers]))))))),"")</f>
        <v>H</v>
      </c>
      <c r="E96" s="75" t="str">
        <f>IFERROR(IF(E$8="","NA",IF(E$8&lt;INDEX(T_EMP[START DATE],ROW($B96)-ROW($B$8)),"NE",IF(AND(INDEX(T_EMP[TERMINATION DATE],ROW($B96)-ROW($B$8))&gt;0,E$8&gt;INDEX(T_EMP[TERMINATION DATE],ROW($B96)-ROW($B$8))),"NE",IF(NOT(ISERROR(MATCH(E$8,L_HOLS,0))),"H",IF(INDEX(L_WKNDVAL,WEEKDAY(E$8,1))=1,"WKND",INDEX(T_LEAVE[LEAVE CODE],SUMPRODUCT(--(T_LEAVE[NAME]=$B96),--(T_LEAVE[DATE]&lt;=E$8),--(T_LEAVE[DATE]&gt;=E$8),ROW(T_LEAVE[LEAVE CODE]))-ROW(T_LEAVE[#Headers]))))))),"")</f>
        <v/>
      </c>
      <c r="F96" s="75" t="str">
        <f>IFERROR(IF(F$8="","NA",IF(F$8&lt;INDEX(T_EMP[START DATE],ROW($B96)-ROW($B$8)),"NE",IF(AND(INDEX(T_EMP[TERMINATION DATE],ROW($B96)-ROW($B$8))&gt;0,F$8&gt;INDEX(T_EMP[TERMINATION DATE],ROW($B96)-ROW($B$8))),"NE",IF(NOT(ISERROR(MATCH(F$8,L_HOLS,0))),"H",IF(INDEX(L_WKNDVAL,WEEKDAY(F$8,1))=1,"WKND",INDEX(T_LEAVE[LEAVE CODE],SUMPRODUCT(--(T_LEAVE[NAME]=$B96),--(T_LEAVE[DATE]&lt;=F$8),--(T_LEAVE[DATE]&gt;=F$8),ROW(T_LEAVE[LEAVE CODE]))-ROW(T_LEAVE[#Headers]))))))),"")</f>
        <v/>
      </c>
      <c r="G96" s="75" t="str">
        <f>IFERROR(IF(G$8="","NA",IF(G$8&lt;INDEX(T_EMP[START DATE],ROW($B96)-ROW($B$8)),"NE",IF(AND(INDEX(T_EMP[TERMINATION DATE],ROW($B96)-ROW($B$8))&gt;0,G$8&gt;INDEX(T_EMP[TERMINATION DATE],ROW($B96)-ROW($B$8))),"NE",IF(NOT(ISERROR(MATCH(G$8,L_HOLS,0))),"H",IF(INDEX(L_WKNDVAL,WEEKDAY(G$8,1))=1,"WKND",INDEX(T_LEAVE[LEAVE CODE],SUMPRODUCT(--(T_LEAVE[NAME]=$B96),--(T_LEAVE[DATE]&lt;=G$8),--(T_LEAVE[DATE]&gt;=G$8),ROW(T_LEAVE[LEAVE CODE]))-ROW(T_LEAVE[#Headers]))))))),"")</f>
        <v/>
      </c>
      <c r="H96" s="75" t="str">
        <f>IFERROR(IF(H$8="","NA",IF(H$8&lt;INDEX(T_EMP[START DATE],ROW($B96)-ROW($B$8)),"NE",IF(AND(INDEX(T_EMP[TERMINATION DATE],ROW($B96)-ROW($B$8))&gt;0,H$8&gt;INDEX(T_EMP[TERMINATION DATE],ROW($B96)-ROW($B$8))),"NE",IF(NOT(ISERROR(MATCH(H$8,L_HOLS,0))),"H",IF(INDEX(L_WKNDVAL,WEEKDAY(H$8,1))=1,"WKND",INDEX(T_LEAVE[LEAVE CODE],SUMPRODUCT(--(T_LEAVE[NAME]=$B96),--(T_LEAVE[DATE]&lt;=H$8),--(T_LEAVE[DATE]&gt;=H$8),ROW(T_LEAVE[LEAVE CODE]))-ROW(T_LEAVE[#Headers]))))))),"")</f>
        <v/>
      </c>
      <c r="I96" s="75" t="str">
        <f>IFERROR(IF(I$8="","NA",IF(I$8&lt;INDEX(T_EMP[START DATE],ROW($B96)-ROW($B$8)),"NE",IF(AND(INDEX(T_EMP[TERMINATION DATE],ROW($B96)-ROW($B$8))&gt;0,I$8&gt;INDEX(T_EMP[TERMINATION DATE],ROW($B96)-ROW($B$8))),"NE",IF(NOT(ISERROR(MATCH(I$8,L_HOLS,0))),"H",IF(INDEX(L_WKNDVAL,WEEKDAY(I$8,1))=1,"WKND",INDEX(T_LEAVE[LEAVE CODE],SUMPRODUCT(--(T_LEAVE[NAME]=$B96),--(T_LEAVE[DATE]&lt;=I$8),--(T_LEAVE[DATE]&gt;=I$8),ROW(T_LEAVE[LEAVE CODE]))-ROW(T_LEAVE[#Headers]))))))),"")</f>
        <v/>
      </c>
      <c r="J96" s="75" t="str">
        <f>IFERROR(IF(J$8="","NA",IF(J$8&lt;INDEX(T_EMP[START DATE],ROW($B96)-ROW($B$8)),"NE",IF(AND(INDEX(T_EMP[TERMINATION DATE],ROW($B96)-ROW($B$8))&gt;0,J$8&gt;INDEX(T_EMP[TERMINATION DATE],ROW($B96)-ROW($B$8))),"NE",IF(NOT(ISERROR(MATCH(J$8,L_HOLS,0))),"H",IF(INDEX(L_WKNDVAL,WEEKDAY(J$8,1))=1,"WKND",INDEX(T_LEAVE[LEAVE CODE],SUMPRODUCT(--(T_LEAVE[NAME]=$B96),--(T_LEAVE[DATE]&lt;=J$8),--(T_LEAVE[DATE]&gt;=J$8),ROW(T_LEAVE[LEAVE CODE]))-ROW(T_LEAVE[#Headers]))))))),"")</f>
        <v/>
      </c>
      <c r="K96" s="75" t="str">
        <f>IFERROR(IF(K$8="","NA",IF(K$8&lt;INDEX(T_EMP[START DATE],ROW($B96)-ROW($B$8)),"NE",IF(AND(INDEX(T_EMP[TERMINATION DATE],ROW($B96)-ROW($B$8))&gt;0,K$8&gt;INDEX(T_EMP[TERMINATION DATE],ROW($B96)-ROW($B$8))),"NE",IF(NOT(ISERROR(MATCH(K$8,L_HOLS,0))),"H",IF(INDEX(L_WKNDVAL,WEEKDAY(K$8,1))=1,"WKND",INDEX(T_LEAVE[LEAVE CODE],SUMPRODUCT(--(T_LEAVE[NAME]=$B96),--(T_LEAVE[DATE]&lt;=K$8),--(T_LEAVE[DATE]&gt;=K$8),ROW(T_LEAVE[LEAVE CODE]))-ROW(T_LEAVE[#Headers]))))))),"")</f>
        <v/>
      </c>
      <c r="L96" s="75" t="str">
        <f>IFERROR(IF(L$8="","NA",IF(L$8&lt;INDEX(T_EMP[START DATE],ROW($B96)-ROW($B$8)),"NE",IF(AND(INDEX(T_EMP[TERMINATION DATE],ROW($B96)-ROW($B$8))&gt;0,L$8&gt;INDEX(T_EMP[TERMINATION DATE],ROW($B96)-ROW($B$8))),"NE",IF(NOT(ISERROR(MATCH(L$8,L_HOLS,0))),"H",IF(INDEX(L_WKNDVAL,WEEKDAY(L$8,1))=1,"WKND",INDEX(T_LEAVE[LEAVE CODE],SUMPRODUCT(--(T_LEAVE[NAME]=$B96),--(T_LEAVE[DATE]&lt;=L$8),--(T_LEAVE[DATE]&gt;=L$8),ROW(T_LEAVE[LEAVE CODE]))-ROW(T_LEAVE[#Headers]))))))),"")</f>
        <v/>
      </c>
      <c r="M96" s="75" t="str">
        <f>IFERROR(IF(M$8="","NA",IF(M$8&lt;INDEX(T_EMP[START DATE],ROW($B96)-ROW($B$8)),"NE",IF(AND(INDEX(T_EMP[TERMINATION DATE],ROW($B96)-ROW($B$8))&gt;0,M$8&gt;INDEX(T_EMP[TERMINATION DATE],ROW($B96)-ROW($B$8))),"NE",IF(NOT(ISERROR(MATCH(M$8,L_HOLS,0))),"H",IF(INDEX(L_WKNDVAL,WEEKDAY(M$8,1))=1,"WKND",INDEX(T_LEAVE[LEAVE CODE],SUMPRODUCT(--(T_LEAVE[NAME]=$B96),--(T_LEAVE[DATE]&lt;=M$8),--(T_LEAVE[DATE]&gt;=M$8),ROW(T_LEAVE[LEAVE CODE]))-ROW(T_LEAVE[#Headers]))))))),"")</f>
        <v/>
      </c>
      <c r="N96" s="75" t="str">
        <f>IFERROR(IF(N$8="","NA",IF(N$8&lt;INDEX(T_EMP[START DATE],ROW($B96)-ROW($B$8)),"NE",IF(AND(INDEX(T_EMP[TERMINATION DATE],ROW($B96)-ROW($B$8))&gt;0,N$8&gt;INDEX(T_EMP[TERMINATION DATE],ROW($B96)-ROW($B$8))),"NE",IF(NOT(ISERROR(MATCH(N$8,L_HOLS,0))),"H",IF(INDEX(L_WKNDVAL,WEEKDAY(N$8,1))=1,"WKND",INDEX(T_LEAVE[LEAVE CODE],SUMPRODUCT(--(T_LEAVE[NAME]=$B96),--(T_LEAVE[DATE]&lt;=N$8),--(T_LEAVE[DATE]&gt;=N$8),ROW(T_LEAVE[LEAVE CODE]))-ROW(T_LEAVE[#Headers]))))))),"")</f>
        <v/>
      </c>
      <c r="O96" s="75" t="str">
        <f>IFERROR(IF(O$8="","NA",IF(O$8&lt;INDEX(T_EMP[START DATE],ROW($B96)-ROW($B$8)),"NE",IF(AND(INDEX(T_EMP[TERMINATION DATE],ROW($B96)-ROW($B$8))&gt;0,O$8&gt;INDEX(T_EMP[TERMINATION DATE],ROW($B96)-ROW($B$8))),"NE",IF(NOT(ISERROR(MATCH(O$8,L_HOLS,0))),"H",IF(INDEX(L_WKNDVAL,WEEKDAY(O$8,1))=1,"WKND",INDEX(T_LEAVE[LEAVE CODE],SUMPRODUCT(--(T_LEAVE[NAME]=$B96),--(T_LEAVE[DATE]&lt;=O$8),--(T_LEAVE[DATE]&gt;=O$8),ROW(T_LEAVE[LEAVE CODE]))-ROW(T_LEAVE[#Headers]))))))),"")</f>
        <v/>
      </c>
      <c r="P96" s="75" t="str">
        <f>IFERROR(IF(P$8="","NA",IF(P$8&lt;INDEX(T_EMP[START DATE],ROW($B96)-ROW($B$8)),"NE",IF(AND(INDEX(T_EMP[TERMINATION DATE],ROW($B96)-ROW($B$8))&gt;0,P$8&gt;INDEX(T_EMP[TERMINATION DATE],ROW($B96)-ROW($B$8))),"NE",IF(NOT(ISERROR(MATCH(P$8,L_HOLS,0))),"H",IF(INDEX(L_WKNDVAL,WEEKDAY(P$8,1))=1,"WKND",INDEX(T_LEAVE[LEAVE CODE],SUMPRODUCT(--(T_LEAVE[NAME]=$B96),--(T_LEAVE[DATE]&lt;=P$8),--(T_LEAVE[DATE]&gt;=P$8),ROW(T_LEAVE[LEAVE CODE]))-ROW(T_LEAVE[#Headers]))))))),"")</f>
        <v>H</v>
      </c>
      <c r="Q96" s="75" t="str">
        <f>IFERROR(IF(Q$8="","NA",IF(Q$8&lt;INDEX(T_EMP[START DATE],ROW($B96)-ROW($B$8)),"NE",IF(AND(INDEX(T_EMP[TERMINATION DATE],ROW($B96)-ROW($B$8))&gt;0,Q$8&gt;INDEX(T_EMP[TERMINATION DATE],ROW($B96)-ROW($B$8))),"NE",IF(NOT(ISERROR(MATCH(Q$8,L_HOLS,0))),"H",IF(INDEX(L_WKNDVAL,WEEKDAY(Q$8,1))=1,"WKND",INDEX(T_LEAVE[LEAVE CODE],SUMPRODUCT(--(T_LEAVE[NAME]=$B96),--(T_LEAVE[DATE]&lt;=Q$8),--(T_LEAVE[DATE]&gt;=Q$8),ROW(T_LEAVE[LEAVE CODE]))-ROW(T_LEAVE[#Headers]))))))),"")</f>
        <v/>
      </c>
      <c r="R96" s="75" t="str">
        <f>IFERROR(IF(R$8="","NA",IF(R$8&lt;INDEX(T_EMP[START DATE],ROW($B96)-ROW($B$8)),"NE",IF(AND(INDEX(T_EMP[TERMINATION DATE],ROW($B96)-ROW($B$8))&gt;0,R$8&gt;INDEX(T_EMP[TERMINATION DATE],ROW($B96)-ROW($B$8))),"NE",IF(NOT(ISERROR(MATCH(R$8,L_HOLS,0))),"H",IF(INDEX(L_WKNDVAL,WEEKDAY(R$8,1))=1,"WKND",INDEX(T_LEAVE[LEAVE CODE],SUMPRODUCT(--(T_LEAVE[NAME]=$B96),--(T_LEAVE[DATE]&lt;=R$8),--(T_LEAVE[DATE]&gt;=R$8),ROW(T_LEAVE[LEAVE CODE]))-ROW(T_LEAVE[#Headers]))))))),"")</f>
        <v/>
      </c>
      <c r="S96" s="75" t="str">
        <f>IFERROR(IF(S$8="","NA",IF(S$8&lt;INDEX(T_EMP[START DATE],ROW($B96)-ROW($B$8)),"NE",IF(AND(INDEX(T_EMP[TERMINATION DATE],ROW($B96)-ROW($B$8))&gt;0,S$8&gt;INDEX(T_EMP[TERMINATION DATE],ROW($B96)-ROW($B$8))),"NE",IF(NOT(ISERROR(MATCH(S$8,L_HOLS,0))),"H",IF(INDEX(L_WKNDVAL,WEEKDAY(S$8,1))=1,"WKND",INDEX(T_LEAVE[LEAVE CODE],SUMPRODUCT(--(T_LEAVE[NAME]=$B96),--(T_LEAVE[DATE]&lt;=S$8),--(T_LEAVE[DATE]&gt;=S$8),ROW(T_LEAVE[LEAVE CODE]))-ROW(T_LEAVE[#Headers]))))))),"")</f>
        <v/>
      </c>
      <c r="T96" s="75" t="str">
        <f>IFERROR(IF(T$8="","NA",IF(T$8&lt;INDEX(T_EMP[START DATE],ROW($B96)-ROW($B$8)),"NE",IF(AND(INDEX(T_EMP[TERMINATION DATE],ROW($B96)-ROW($B$8))&gt;0,T$8&gt;INDEX(T_EMP[TERMINATION DATE],ROW($B96)-ROW($B$8))),"NE",IF(NOT(ISERROR(MATCH(T$8,L_HOLS,0))),"H",IF(INDEX(L_WKNDVAL,WEEKDAY(T$8,1))=1,"WKND",INDEX(T_LEAVE[LEAVE CODE],SUMPRODUCT(--(T_LEAVE[NAME]=$B96),--(T_LEAVE[DATE]&lt;=T$8),--(T_LEAVE[DATE]&gt;=T$8),ROW(T_LEAVE[LEAVE CODE]))-ROW(T_LEAVE[#Headers]))))))),"")</f>
        <v/>
      </c>
      <c r="U96" s="75" t="str">
        <f>IFERROR(IF(U$8="","NA",IF(U$8&lt;INDEX(T_EMP[START DATE],ROW($B96)-ROW($B$8)),"NE",IF(AND(INDEX(T_EMP[TERMINATION DATE],ROW($B96)-ROW($B$8))&gt;0,U$8&gt;INDEX(T_EMP[TERMINATION DATE],ROW($B96)-ROW($B$8))),"NE",IF(NOT(ISERROR(MATCH(U$8,L_HOLS,0))),"H",IF(INDEX(L_WKNDVAL,WEEKDAY(U$8,1))=1,"WKND",INDEX(T_LEAVE[LEAVE CODE],SUMPRODUCT(--(T_LEAVE[NAME]=$B96),--(T_LEAVE[DATE]&lt;=U$8),--(T_LEAVE[DATE]&gt;=U$8),ROW(T_LEAVE[LEAVE CODE]))-ROW(T_LEAVE[#Headers]))))))),"")</f>
        <v/>
      </c>
      <c r="V96" s="75" t="str">
        <f>IFERROR(IF(V$8="","NA",IF(V$8&lt;INDEX(T_EMP[START DATE],ROW($B96)-ROW($B$8)),"NE",IF(AND(INDEX(T_EMP[TERMINATION DATE],ROW($B96)-ROW($B$8))&gt;0,V$8&gt;INDEX(T_EMP[TERMINATION DATE],ROW($B96)-ROW($B$8))),"NE",IF(NOT(ISERROR(MATCH(V$8,L_HOLS,0))),"H",IF(INDEX(L_WKNDVAL,WEEKDAY(V$8,1))=1,"WKND",INDEX(T_LEAVE[LEAVE CODE],SUMPRODUCT(--(T_LEAVE[NAME]=$B96),--(T_LEAVE[DATE]&lt;=V$8),--(T_LEAVE[DATE]&gt;=V$8),ROW(T_LEAVE[LEAVE CODE]))-ROW(T_LEAVE[#Headers]))))))),"")</f>
        <v/>
      </c>
      <c r="W96" s="75" t="str">
        <f>IFERROR(IF(W$8="","NA",IF(W$8&lt;INDEX(T_EMP[START DATE],ROW($B96)-ROW($B$8)),"NE",IF(AND(INDEX(T_EMP[TERMINATION DATE],ROW($B96)-ROW($B$8))&gt;0,W$8&gt;INDEX(T_EMP[TERMINATION DATE],ROW($B96)-ROW($B$8))),"NE",IF(NOT(ISERROR(MATCH(W$8,L_HOLS,0))),"H",IF(INDEX(L_WKNDVAL,WEEKDAY(W$8,1))=1,"WKND",INDEX(T_LEAVE[LEAVE CODE],SUMPRODUCT(--(T_LEAVE[NAME]=$B96),--(T_LEAVE[DATE]&lt;=W$8),--(T_LEAVE[DATE]&gt;=W$8),ROW(T_LEAVE[LEAVE CODE]))-ROW(T_LEAVE[#Headers]))))))),"")</f>
        <v/>
      </c>
      <c r="X96" s="75" t="str">
        <f>IFERROR(IF(X$8="","NA",IF(X$8&lt;INDEX(T_EMP[START DATE],ROW($B96)-ROW($B$8)),"NE",IF(AND(INDEX(T_EMP[TERMINATION DATE],ROW($B96)-ROW($B$8))&gt;0,X$8&gt;INDEX(T_EMP[TERMINATION DATE],ROW($B96)-ROW($B$8))),"NE",IF(NOT(ISERROR(MATCH(X$8,L_HOLS,0))),"H",IF(INDEX(L_WKNDVAL,WEEKDAY(X$8,1))=1,"WKND",INDEX(T_LEAVE[LEAVE CODE],SUMPRODUCT(--(T_LEAVE[NAME]=$B96),--(T_LEAVE[DATE]&lt;=X$8),--(T_LEAVE[DATE]&gt;=X$8),ROW(T_LEAVE[LEAVE CODE]))-ROW(T_LEAVE[#Headers]))))))),"")</f>
        <v/>
      </c>
      <c r="Y96" s="75" t="str">
        <f>IFERROR(IF(Y$8="","NA",IF(Y$8&lt;INDEX(T_EMP[START DATE],ROW($B96)-ROW($B$8)),"NE",IF(AND(INDEX(T_EMP[TERMINATION DATE],ROW($B96)-ROW($B$8))&gt;0,Y$8&gt;INDEX(T_EMP[TERMINATION DATE],ROW($B96)-ROW($B$8))),"NE",IF(NOT(ISERROR(MATCH(Y$8,L_HOLS,0))),"H",IF(INDEX(L_WKNDVAL,WEEKDAY(Y$8,1))=1,"WKND",INDEX(T_LEAVE[LEAVE CODE],SUMPRODUCT(--(T_LEAVE[NAME]=$B96),--(T_LEAVE[DATE]&lt;=Y$8),--(T_LEAVE[DATE]&gt;=Y$8),ROW(T_LEAVE[LEAVE CODE]))-ROW(T_LEAVE[#Headers]))))))),"")</f>
        <v/>
      </c>
      <c r="Z96" s="75" t="str">
        <f>IFERROR(IF(Z$8="","NA",IF(Z$8&lt;INDEX(T_EMP[START DATE],ROW($B96)-ROW($B$8)),"NE",IF(AND(INDEX(T_EMP[TERMINATION DATE],ROW($B96)-ROW($B$8))&gt;0,Z$8&gt;INDEX(T_EMP[TERMINATION DATE],ROW($B96)-ROW($B$8))),"NE",IF(NOT(ISERROR(MATCH(Z$8,L_HOLS,0))),"H",IF(INDEX(L_WKNDVAL,WEEKDAY(Z$8,1))=1,"WKND",INDEX(T_LEAVE[LEAVE CODE],SUMPRODUCT(--(T_LEAVE[NAME]=$B96),--(T_LEAVE[DATE]&lt;=Z$8),--(T_LEAVE[DATE]&gt;=Z$8),ROW(T_LEAVE[LEAVE CODE]))-ROW(T_LEAVE[#Headers]))))))),"")</f>
        <v/>
      </c>
      <c r="AA96" s="75" t="str">
        <f>IFERROR(IF(AA$8="","NA",IF(AA$8&lt;INDEX(T_EMP[START DATE],ROW($B96)-ROW($B$8)),"NE",IF(AND(INDEX(T_EMP[TERMINATION DATE],ROW($B96)-ROW($B$8))&gt;0,AA$8&gt;INDEX(T_EMP[TERMINATION DATE],ROW($B96)-ROW($B$8))),"NE",IF(NOT(ISERROR(MATCH(AA$8,L_HOLS,0))),"H",IF(INDEX(L_WKNDVAL,WEEKDAY(AA$8,1))=1,"WKND",INDEX(T_LEAVE[LEAVE CODE],SUMPRODUCT(--(T_LEAVE[NAME]=$B96),--(T_LEAVE[DATE]&lt;=AA$8),--(T_LEAVE[DATE]&gt;=AA$8),ROW(T_LEAVE[LEAVE CODE]))-ROW(T_LEAVE[#Headers]))))))),"")</f>
        <v/>
      </c>
      <c r="AB96" s="75" t="str">
        <f>IFERROR(IF(AB$8="","NA",IF(AB$8&lt;INDEX(T_EMP[START DATE],ROW($B96)-ROW($B$8)),"NE",IF(AND(INDEX(T_EMP[TERMINATION DATE],ROW($B96)-ROW($B$8))&gt;0,AB$8&gt;INDEX(T_EMP[TERMINATION DATE],ROW($B96)-ROW($B$8))),"NE",IF(NOT(ISERROR(MATCH(AB$8,L_HOLS,0))),"H",IF(INDEX(L_WKNDVAL,WEEKDAY(AB$8,1))=1,"WKND",INDEX(T_LEAVE[LEAVE CODE],SUMPRODUCT(--(T_LEAVE[NAME]=$B96),--(T_LEAVE[DATE]&lt;=AB$8),--(T_LEAVE[DATE]&gt;=AB$8),ROW(T_LEAVE[LEAVE CODE]))-ROW(T_LEAVE[#Headers]))))))),"")</f>
        <v/>
      </c>
      <c r="AC96" s="75" t="str">
        <f>IFERROR(IF(AC$8="","NA",IF(AC$8&lt;INDEX(T_EMP[START DATE],ROW($B96)-ROW($B$8)),"NE",IF(AND(INDEX(T_EMP[TERMINATION DATE],ROW($B96)-ROW($B$8))&gt;0,AC$8&gt;INDEX(T_EMP[TERMINATION DATE],ROW($B96)-ROW($B$8))),"NE",IF(NOT(ISERROR(MATCH(AC$8,L_HOLS,0))),"H",IF(INDEX(L_WKNDVAL,WEEKDAY(AC$8,1))=1,"WKND",INDEX(T_LEAVE[LEAVE CODE],SUMPRODUCT(--(T_LEAVE[NAME]=$B96),--(T_LEAVE[DATE]&lt;=AC$8),--(T_LEAVE[DATE]&gt;=AC$8),ROW(T_LEAVE[LEAVE CODE]))-ROW(T_LEAVE[#Headers]))))))),"")</f>
        <v/>
      </c>
      <c r="AD96" s="75" t="str">
        <f>IFERROR(IF(AD$8="","NA",IF(AD$8&lt;INDEX(T_EMP[START DATE],ROW($B96)-ROW($B$8)),"NE",IF(AND(INDEX(T_EMP[TERMINATION DATE],ROW($B96)-ROW($B$8))&gt;0,AD$8&gt;INDEX(T_EMP[TERMINATION DATE],ROW($B96)-ROW($B$8))),"NE",IF(NOT(ISERROR(MATCH(AD$8,L_HOLS,0))),"H",IF(INDEX(L_WKNDVAL,WEEKDAY(AD$8,1))=1,"WKND",INDEX(T_LEAVE[LEAVE CODE],SUMPRODUCT(--(T_LEAVE[NAME]=$B96),--(T_LEAVE[DATE]&lt;=AD$8),--(T_LEAVE[DATE]&gt;=AD$8),ROW(T_LEAVE[LEAVE CODE]))-ROW(T_LEAVE[#Headers]))))))),"")</f>
        <v/>
      </c>
      <c r="AE96" s="75" t="str">
        <f>IFERROR(IF(AE$8="","NA",IF(AE$8&lt;INDEX(T_EMP[START DATE],ROW($B96)-ROW($B$8)),"NE",IF(AND(INDEX(T_EMP[TERMINATION DATE],ROW($B96)-ROW($B$8))&gt;0,AE$8&gt;INDEX(T_EMP[TERMINATION DATE],ROW($B96)-ROW($B$8))),"NE",IF(NOT(ISERROR(MATCH(AE$8,L_HOLS,0))),"H",IF(INDEX(L_WKNDVAL,WEEKDAY(AE$8,1))=1,"WKND",INDEX(T_LEAVE[LEAVE CODE],SUMPRODUCT(--(T_LEAVE[NAME]=$B96),--(T_LEAVE[DATE]&lt;=AE$8),--(T_LEAVE[DATE]&gt;=AE$8),ROW(T_LEAVE[LEAVE CODE]))-ROW(T_LEAVE[#Headers]))))))),"")</f>
        <v/>
      </c>
      <c r="AF96" s="75" t="str">
        <f>IFERROR(IF(AF$8="","NA",IF(AF$8&lt;INDEX(T_EMP[START DATE],ROW($B96)-ROW($B$8)),"NE",IF(AND(INDEX(T_EMP[TERMINATION DATE],ROW($B96)-ROW($B$8))&gt;0,AF$8&gt;INDEX(T_EMP[TERMINATION DATE],ROW($B96)-ROW($B$8))),"NE",IF(NOT(ISERROR(MATCH(AF$8,L_HOLS,0))),"H",IF(INDEX(L_WKNDVAL,WEEKDAY(AF$8,1))=1,"WKND",INDEX(T_LEAVE[LEAVE CODE],SUMPRODUCT(--(T_LEAVE[NAME]=$B96),--(T_LEAVE[DATE]&lt;=AF$8),--(T_LEAVE[DATE]&gt;=AF$8),ROW(T_LEAVE[LEAVE CODE]))-ROW(T_LEAVE[#Headers]))))))),"")</f>
        <v/>
      </c>
      <c r="AG96" s="75" t="str">
        <f>IFERROR(IF(AG$8="","NA",IF(AG$8&lt;INDEX(T_EMP[START DATE],ROW($B96)-ROW($B$8)),"NE",IF(AND(INDEX(T_EMP[TERMINATION DATE],ROW($B96)-ROW($B$8))&gt;0,AG$8&gt;INDEX(T_EMP[TERMINATION DATE],ROW($B96)-ROW($B$8))),"NE",IF(NOT(ISERROR(MATCH(AG$8,L_HOLS,0))),"H",IF(INDEX(L_WKNDVAL,WEEKDAY(AG$8,1))=1,"WKND",INDEX(T_LEAVE[LEAVE CODE],SUMPRODUCT(--(T_LEAVE[NAME]=$B96),--(T_LEAVE[DATE]&lt;=AG$8),--(T_LEAVE[DATE]&gt;=AG$8),ROW(T_LEAVE[LEAVE CODE]))-ROW(T_LEAVE[#Headers]))))))),"")</f>
        <v/>
      </c>
      <c r="AH96" s="75" t="str">
        <f>IFERROR(IF(AH$8="","NA",IF(AH$8&lt;INDEX(T_EMP[START DATE],ROW($B96)-ROW($B$8)),"NE",IF(AND(INDEX(T_EMP[TERMINATION DATE],ROW($B96)-ROW($B$8))&gt;0,AH$8&gt;INDEX(T_EMP[TERMINATION DATE],ROW($B96)-ROW($B$8))),"NE",IF(NOT(ISERROR(MATCH(AH$8,L_HOLS,0))),"H",IF(INDEX(L_WKNDVAL,WEEKDAY(AH$8,1))=1,"WKND",INDEX(T_LEAVE[LEAVE CODE],SUMPRODUCT(--(T_LEAVE[NAME]=$B96),--(T_LEAVE[DATE]&lt;=AH$8),--(T_LEAVE[DATE]&gt;=AH$8),ROW(T_LEAVE[LEAVE CODE]))-ROW(T_LEAVE[#Headers]))))))),"")</f>
        <v/>
      </c>
      <c r="AJ96" s="88">
        <f>IF(OR($B96="",AJ$8=""),"",COUNTIFS($D96:$AH96,AJ$8)*INDEX(T_LEAVETYPE[DAY VALUE],1))</f>
        <v>0</v>
      </c>
      <c r="AK96" s="88">
        <f>IF(OR($B96="",AK$8=""),"",COUNTIFS($D96:$AH96,AK$8)*INDEX(T_LEAVETYPE[DAY VALUE],1))</f>
        <v>0</v>
      </c>
      <c r="AL96" s="88">
        <f>IF(OR($B96="",AL$8=""),"",COUNTIFS($D96:$AH96,AL$8)*INDEX(T_LEAVETYPE[DAY VALUE],1))</f>
        <v>0</v>
      </c>
      <c r="AM96" s="88">
        <f>IF(OR($B96="",AM$8=""),"",COUNTIFS($D96:$AH96,AM$8)*INDEX(T_LEAVETYPE[DAY VALUE],1))</f>
        <v>0</v>
      </c>
      <c r="AN96" s="88">
        <f>IF(OR($B96="",AN$8=""),"",COUNTIFS($D96:$AH96,AN$8)*INDEX(T_LEAVETYPE[DAY VALUE],1))</f>
        <v>0</v>
      </c>
      <c r="AO96" s="88">
        <f>IF(OR($B96="",AO$8=""),"",COUNTIFS($D96:$AH96,AO$8)*INDEX(T_LEAVETYPE[DAY VALUE],6))</f>
        <v>0</v>
      </c>
      <c r="AP96" s="88">
        <f>IF(OR($B96="",AP$8=""),"",COUNTIFS($D96:$AH96,AP$8)*INDEX(T_LEAVETYPE[DAY VALUE],7))</f>
        <v>0</v>
      </c>
      <c r="AQ96" s="88">
        <f>IF(OR($B96="",AQ$8=""),"",COUNTIFS($D96:$AH96,AQ$8)*INDEX(T_LEAVETYPE[DAY VALUE],8))</f>
        <v>0</v>
      </c>
      <c r="AR96" s="89">
        <f t="shared" si="5"/>
        <v>0</v>
      </c>
    </row>
    <row r="97" spans="1:44" x14ac:dyDescent="0.25">
      <c r="A97" s="90">
        <f t="shared" si="4"/>
        <v>89</v>
      </c>
      <c r="B97" s="74" t="str">
        <f>IFERROR(INDEX(T_EMP[NAME],ROW(B97)-ROW($B$8)),"")</f>
        <v>MANGUBAT, CHRISTINE</v>
      </c>
      <c r="C97" s="92" t="str">
        <f>IFERROR(INDEX(T_EMP[DEPARTMENT],ROW(B97)-ROW($C$8)),"")</f>
        <v>Customer Success Manager</v>
      </c>
      <c r="D97" s="75" t="str">
        <f>IFERROR(IF(D$8="","NA",IF(D$8&lt;INDEX(T_EMP[START DATE],ROW($B97)-ROW($B$8)),"NE",IF(AND(INDEX(T_EMP[TERMINATION DATE],ROW($B97)-ROW($B$8))&gt;0,D$8&gt;INDEX(T_EMP[TERMINATION DATE],ROW($B97)-ROW($B$8))),"NE",IF(NOT(ISERROR(MATCH(D$8,L_HOLS,0))),"H",IF(INDEX(L_WKNDVAL,WEEKDAY(D$8,1))=1,"WKND",INDEX(T_LEAVE[LEAVE CODE],SUMPRODUCT(--(T_LEAVE[NAME]=$B97),--(T_LEAVE[DATE]&lt;=D$8),--(T_LEAVE[DATE]&gt;=D$8),ROW(T_LEAVE[LEAVE CODE]))-ROW(T_LEAVE[#Headers]))))))),"")</f>
        <v>H</v>
      </c>
      <c r="E97" s="75" t="str">
        <f>IFERROR(IF(E$8="","NA",IF(E$8&lt;INDEX(T_EMP[START DATE],ROW($B97)-ROW($B$8)),"NE",IF(AND(INDEX(T_EMP[TERMINATION DATE],ROW($B97)-ROW($B$8))&gt;0,E$8&gt;INDEX(T_EMP[TERMINATION DATE],ROW($B97)-ROW($B$8))),"NE",IF(NOT(ISERROR(MATCH(E$8,L_HOLS,0))),"H",IF(INDEX(L_WKNDVAL,WEEKDAY(E$8,1))=1,"WKND",INDEX(T_LEAVE[LEAVE CODE],SUMPRODUCT(--(T_LEAVE[NAME]=$B97),--(T_LEAVE[DATE]&lt;=E$8),--(T_LEAVE[DATE]&gt;=E$8),ROW(T_LEAVE[LEAVE CODE]))-ROW(T_LEAVE[#Headers]))))))),"")</f>
        <v/>
      </c>
      <c r="F97" s="75" t="str">
        <f>IFERROR(IF(F$8="","NA",IF(F$8&lt;INDEX(T_EMP[START DATE],ROW($B97)-ROW($B$8)),"NE",IF(AND(INDEX(T_EMP[TERMINATION DATE],ROW($B97)-ROW($B$8))&gt;0,F$8&gt;INDEX(T_EMP[TERMINATION DATE],ROW($B97)-ROW($B$8))),"NE",IF(NOT(ISERROR(MATCH(F$8,L_HOLS,0))),"H",IF(INDEX(L_WKNDVAL,WEEKDAY(F$8,1))=1,"WKND",INDEX(T_LEAVE[LEAVE CODE],SUMPRODUCT(--(T_LEAVE[NAME]=$B97),--(T_LEAVE[DATE]&lt;=F$8),--(T_LEAVE[DATE]&gt;=F$8),ROW(T_LEAVE[LEAVE CODE]))-ROW(T_LEAVE[#Headers]))))))),"")</f>
        <v/>
      </c>
      <c r="G97" s="75" t="str">
        <f>IFERROR(IF(G$8="","NA",IF(G$8&lt;INDEX(T_EMP[START DATE],ROW($B97)-ROW($B$8)),"NE",IF(AND(INDEX(T_EMP[TERMINATION DATE],ROW($B97)-ROW($B$8))&gt;0,G$8&gt;INDEX(T_EMP[TERMINATION DATE],ROW($B97)-ROW($B$8))),"NE",IF(NOT(ISERROR(MATCH(G$8,L_HOLS,0))),"H",IF(INDEX(L_WKNDVAL,WEEKDAY(G$8,1))=1,"WKND",INDEX(T_LEAVE[LEAVE CODE],SUMPRODUCT(--(T_LEAVE[NAME]=$B97),--(T_LEAVE[DATE]&lt;=G$8),--(T_LEAVE[DATE]&gt;=G$8),ROW(T_LEAVE[LEAVE CODE]))-ROW(T_LEAVE[#Headers]))))))),"")</f>
        <v/>
      </c>
      <c r="H97" s="75" t="str">
        <f>IFERROR(IF(H$8="","NA",IF(H$8&lt;INDEX(T_EMP[START DATE],ROW($B97)-ROW($B$8)),"NE",IF(AND(INDEX(T_EMP[TERMINATION DATE],ROW($B97)-ROW($B$8))&gt;0,H$8&gt;INDEX(T_EMP[TERMINATION DATE],ROW($B97)-ROW($B$8))),"NE",IF(NOT(ISERROR(MATCH(H$8,L_HOLS,0))),"H",IF(INDEX(L_WKNDVAL,WEEKDAY(H$8,1))=1,"WKND",INDEX(T_LEAVE[LEAVE CODE],SUMPRODUCT(--(T_LEAVE[NAME]=$B97),--(T_LEAVE[DATE]&lt;=H$8),--(T_LEAVE[DATE]&gt;=H$8),ROW(T_LEAVE[LEAVE CODE]))-ROW(T_LEAVE[#Headers]))))))),"")</f>
        <v/>
      </c>
      <c r="I97" s="75" t="str">
        <f>IFERROR(IF(I$8="","NA",IF(I$8&lt;INDEX(T_EMP[START DATE],ROW($B97)-ROW($B$8)),"NE",IF(AND(INDEX(T_EMP[TERMINATION DATE],ROW($B97)-ROW($B$8))&gt;0,I$8&gt;INDEX(T_EMP[TERMINATION DATE],ROW($B97)-ROW($B$8))),"NE",IF(NOT(ISERROR(MATCH(I$8,L_HOLS,0))),"H",IF(INDEX(L_WKNDVAL,WEEKDAY(I$8,1))=1,"WKND",INDEX(T_LEAVE[LEAVE CODE],SUMPRODUCT(--(T_LEAVE[NAME]=$B97),--(T_LEAVE[DATE]&lt;=I$8),--(T_LEAVE[DATE]&gt;=I$8),ROW(T_LEAVE[LEAVE CODE]))-ROW(T_LEAVE[#Headers]))))))),"")</f>
        <v/>
      </c>
      <c r="J97" s="75" t="str">
        <f>IFERROR(IF(J$8="","NA",IF(J$8&lt;INDEX(T_EMP[START DATE],ROW($B97)-ROW($B$8)),"NE",IF(AND(INDEX(T_EMP[TERMINATION DATE],ROW($B97)-ROW($B$8))&gt;0,J$8&gt;INDEX(T_EMP[TERMINATION DATE],ROW($B97)-ROW($B$8))),"NE",IF(NOT(ISERROR(MATCH(J$8,L_HOLS,0))),"H",IF(INDEX(L_WKNDVAL,WEEKDAY(J$8,1))=1,"WKND",INDEX(T_LEAVE[LEAVE CODE],SUMPRODUCT(--(T_LEAVE[NAME]=$B97),--(T_LEAVE[DATE]&lt;=J$8),--(T_LEAVE[DATE]&gt;=J$8),ROW(T_LEAVE[LEAVE CODE]))-ROW(T_LEAVE[#Headers]))))))),"")</f>
        <v/>
      </c>
      <c r="K97" s="75" t="str">
        <f>IFERROR(IF(K$8="","NA",IF(K$8&lt;INDEX(T_EMP[START DATE],ROW($B97)-ROW($B$8)),"NE",IF(AND(INDEX(T_EMP[TERMINATION DATE],ROW($B97)-ROW($B$8))&gt;0,K$8&gt;INDEX(T_EMP[TERMINATION DATE],ROW($B97)-ROW($B$8))),"NE",IF(NOT(ISERROR(MATCH(K$8,L_HOLS,0))),"H",IF(INDEX(L_WKNDVAL,WEEKDAY(K$8,1))=1,"WKND",INDEX(T_LEAVE[LEAVE CODE],SUMPRODUCT(--(T_LEAVE[NAME]=$B97),--(T_LEAVE[DATE]&lt;=K$8),--(T_LEAVE[DATE]&gt;=K$8),ROW(T_LEAVE[LEAVE CODE]))-ROW(T_LEAVE[#Headers]))))))),"")</f>
        <v/>
      </c>
      <c r="L97" s="75" t="str">
        <f>IFERROR(IF(L$8="","NA",IF(L$8&lt;INDEX(T_EMP[START DATE],ROW($B97)-ROW($B$8)),"NE",IF(AND(INDEX(T_EMP[TERMINATION DATE],ROW($B97)-ROW($B$8))&gt;0,L$8&gt;INDEX(T_EMP[TERMINATION DATE],ROW($B97)-ROW($B$8))),"NE",IF(NOT(ISERROR(MATCH(L$8,L_HOLS,0))),"H",IF(INDEX(L_WKNDVAL,WEEKDAY(L$8,1))=1,"WKND",INDEX(T_LEAVE[LEAVE CODE],SUMPRODUCT(--(T_LEAVE[NAME]=$B97),--(T_LEAVE[DATE]&lt;=L$8),--(T_LEAVE[DATE]&gt;=L$8),ROW(T_LEAVE[LEAVE CODE]))-ROW(T_LEAVE[#Headers]))))))),"")</f>
        <v/>
      </c>
      <c r="M97" s="75" t="str">
        <f>IFERROR(IF(M$8="","NA",IF(M$8&lt;INDEX(T_EMP[START DATE],ROW($B97)-ROW($B$8)),"NE",IF(AND(INDEX(T_EMP[TERMINATION DATE],ROW($B97)-ROW($B$8))&gt;0,M$8&gt;INDEX(T_EMP[TERMINATION DATE],ROW($B97)-ROW($B$8))),"NE",IF(NOT(ISERROR(MATCH(M$8,L_HOLS,0))),"H",IF(INDEX(L_WKNDVAL,WEEKDAY(M$8,1))=1,"WKND",INDEX(T_LEAVE[LEAVE CODE],SUMPRODUCT(--(T_LEAVE[NAME]=$B97),--(T_LEAVE[DATE]&lt;=M$8),--(T_LEAVE[DATE]&gt;=M$8),ROW(T_LEAVE[LEAVE CODE]))-ROW(T_LEAVE[#Headers]))))))),"")</f>
        <v/>
      </c>
      <c r="N97" s="75" t="str">
        <f>IFERROR(IF(N$8="","NA",IF(N$8&lt;INDEX(T_EMP[START DATE],ROW($B97)-ROW($B$8)),"NE",IF(AND(INDEX(T_EMP[TERMINATION DATE],ROW($B97)-ROW($B$8))&gt;0,N$8&gt;INDEX(T_EMP[TERMINATION DATE],ROW($B97)-ROW($B$8))),"NE",IF(NOT(ISERROR(MATCH(N$8,L_HOLS,0))),"H",IF(INDEX(L_WKNDVAL,WEEKDAY(N$8,1))=1,"WKND",INDEX(T_LEAVE[LEAVE CODE],SUMPRODUCT(--(T_LEAVE[NAME]=$B97),--(T_LEAVE[DATE]&lt;=N$8),--(T_LEAVE[DATE]&gt;=N$8),ROW(T_LEAVE[LEAVE CODE]))-ROW(T_LEAVE[#Headers]))))))),"")</f>
        <v/>
      </c>
      <c r="O97" s="75" t="str">
        <f>IFERROR(IF(O$8="","NA",IF(O$8&lt;INDEX(T_EMP[START DATE],ROW($B97)-ROW($B$8)),"NE",IF(AND(INDEX(T_EMP[TERMINATION DATE],ROW($B97)-ROW($B$8))&gt;0,O$8&gt;INDEX(T_EMP[TERMINATION DATE],ROW($B97)-ROW($B$8))),"NE",IF(NOT(ISERROR(MATCH(O$8,L_HOLS,0))),"H",IF(INDEX(L_WKNDVAL,WEEKDAY(O$8,1))=1,"WKND",INDEX(T_LEAVE[LEAVE CODE],SUMPRODUCT(--(T_LEAVE[NAME]=$B97),--(T_LEAVE[DATE]&lt;=O$8),--(T_LEAVE[DATE]&gt;=O$8),ROW(T_LEAVE[LEAVE CODE]))-ROW(T_LEAVE[#Headers]))))))),"")</f>
        <v/>
      </c>
      <c r="P97" s="75" t="str">
        <f>IFERROR(IF(P$8="","NA",IF(P$8&lt;INDEX(T_EMP[START DATE],ROW($B97)-ROW($B$8)),"NE",IF(AND(INDEX(T_EMP[TERMINATION DATE],ROW($B97)-ROW($B$8))&gt;0,P$8&gt;INDEX(T_EMP[TERMINATION DATE],ROW($B97)-ROW($B$8))),"NE",IF(NOT(ISERROR(MATCH(P$8,L_HOLS,0))),"H",IF(INDEX(L_WKNDVAL,WEEKDAY(P$8,1))=1,"WKND",INDEX(T_LEAVE[LEAVE CODE],SUMPRODUCT(--(T_LEAVE[NAME]=$B97),--(T_LEAVE[DATE]&lt;=P$8),--(T_LEAVE[DATE]&gt;=P$8),ROW(T_LEAVE[LEAVE CODE]))-ROW(T_LEAVE[#Headers]))))))),"")</f>
        <v>H</v>
      </c>
      <c r="Q97" s="75" t="str">
        <f>IFERROR(IF(Q$8="","NA",IF(Q$8&lt;INDEX(T_EMP[START DATE],ROW($B97)-ROW($B$8)),"NE",IF(AND(INDEX(T_EMP[TERMINATION DATE],ROW($B97)-ROW($B$8))&gt;0,Q$8&gt;INDEX(T_EMP[TERMINATION DATE],ROW($B97)-ROW($B$8))),"NE",IF(NOT(ISERROR(MATCH(Q$8,L_HOLS,0))),"H",IF(INDEX(L_WKNDVAL,WEEKDAY(Q$8,1))=1,"WKND",INDEX(T_LEAVE[LEAVE CODE],SUMPRODUCT(--(T_LEAVE[NAME]=$B97),--(T_LEAVE[DATE]&lt;=Q$8),--(T_LEAVE[DATE]&gt;=Q$8),ROW(T_LEAVE[LEAVE CODE]))-ROW(T_LEAVE[#Headers]))))))),"")</f>
        <v/>
      </c>
      <c r="R97" s="75" t="str">
        <f>IFERROR(IF(R$8="","NA",IF(R$8&lt;INDEX(T_EMP[START DATE],ROW($B97)-ROW($B$8)),"NE",IF(AND(INDEX(T_EMP[TERMINATION DATE],ROW($B97)-ROW($B$8))&gt;0,R$8&gt;INDEX(T_EMP[TERMINATION DATE],ROW($B97)-ROW($B$8))),"NE",IF(NOT(ISERROR(MATCH(R$8,L_HOLS,0))),"H",IF(INDEX(L_WKNDVAL,WEEKDAY(R$8,1))=1,"WKND",INDEX(T_LEAVE[LEAVE CODE],SUMPRODUCT(--(T_LEAVE[NAME]=$B97),--(T_LEAVE[DATE]&lt;=R$8),--(T_LEAVE[DATE]&gt;=R$8),ROW(T_LEAVE[LEAVE CODE]))-ROW(T_LEAVE[#Headers]))))))),"")</f>
        <v/>
      </c>
      <c r="S97" s="75" t="str">
        <f>IFERROR(IF(S$8="","NA",IF(S$8&lt;INDEX(T_EMP[START DATE],ROW($B97)-ROW($B$8)),"NE",IF(AND(INDEX(T_EMP[TERMINATION DATE],ROW($B97)-ROW($B$8))&gt;0,S$8&gt;INDEX(T_EMP[TERMINATION DATE],ROW($B97)-ROW($B$8))),"NE",IF(NOT(ISERROR(MATCH(S$8,L_HOLS,0))),"H",IF(INDEX(L_WKNDVAL,WEEKDAY(S$8,1))=1,"WKND",INDEX(T_LEAVE[LEAVE CODE],SUMPRODUCT(--(T_LEAVE[NAME]=$B97),--(T_LEAVE[DATE]&lt;=S$8),--(T_LEAVE[DATE]&gt;=S$8),ROW(T_LEAVE[LEAVE CODE]))-ROW(T_LEAVE[#Headers]))))))),"")</f>
        <v/>
      </c>
      <c r="T97" s="75" t="str">
        <f>IFERROR(IF(T$8="","NA",IF(T$8&lt;INDEX(T_EMP[START DATE],ROW($B97)-ROW($B$8)),"NE",IF(AND(INDEX(T_EMP[TERMINATION DATE],ROW($B97)-ROW($B$8))&gt;0,T$8&gt;INDEX(T_EMP[TERMINATION DATE],ROW($B97)-ROW($B$8))),"NE",IF(NOT(ISERROR(MATCH(T$8,L_HOLS,0))),"H",IF(INDEX(L_WKNDVAL,WEEKDAY(T$8,1))=1,"WKND",INDEX(T_LEAVE[LEAVE CODE],SUMPRODUCT(--(T_LEAVE[NAME]=$B97),--(T_LEAVE[DATE]&lt;=T$8),--(T_LEAVE[DATE]&gt;=T$8),ROW(T_LEAVE[LEAVE CODE]))-ROW(T_LEAVE[#Headers]))))))),"")</f>
        <v/>
      </c>
      <c r="U97" s="75" t="str">
        <f>IFERROR(IF(U$8="","NA",IF(U$8&lt;INDEX(T_EMP[START DATE],ROW($B97)-ROW($B$8)),"NE",IF(AND(INDEX(T_EMP[TERMINATION DATE],ROW($B97)-ROW($B$8))&gt;0,U$8&gt;INDEX(T_EMP[TERMINATION DATE],ROW($B97)-ROW($B$8))),"NE",IF(NOT(ISERROR(MATCH(U$8,L_HOLS,0))),"H",IF(INDEX(L_WKNDVAL,WEEKDAY(U$8,1))=1,"WKND",INDEX(T_LEAVE[LEAVE CODE],SUMPRODUCT(--(T_LEAVE[NAME]=$B97),--(T_LEAVE[DATE]&lt;=U$8),--(T_LEAVE[DATE]&gt;=U$8),ROW(T_LEAVE[LEAVE CODE]))-ROW(T_LEAVE[#Headers]))))))),"")</f>
        <v/>
      </c>
      <c r="V97" s="75" t="str">
        <f>IFERROR(IF(V$8="","NA",IF(V$8&lt;INDEX(T_EMP[START DATE],ROW($B97)-ROW($B$8)),"NE",IF(AND(INDEX(T_EMP[TERMINATION DATE],ROW($B97)-ROW($B$8))&gt;0,V$8&gt;INDEX(T_EMP[TERMINATION DATE],ROW($B97)-ROW($B$8))),"NE",IF(NOT(ISERROR(MATCH(V$8,L_HOLS,0))),"H",IF(INDEX(L_WKNDVAL,WEEKDAY(V$8,1))=1,"WKND",INDEX(T_LEAVE[LEAVE CODE],SUMPRODUCT(--(T_LEAVE[NAME]=$B97),--(T_LEAVE[DATE]&lt;=V$8),--(T_LEAVE[DATE]&gt;=V$8),ROW(T_LEAVE[LEAVE CODE]))-ROW(T_LEAVE[#Headers]))))))),"")</f>
        <v/>
      </c>
      <c r="W97" s="75" t="str">
        <f>IFERROR(IF(W$8="","NA",IF(W$8&lt;INDEX(T_EMP[START DATE],ROW($B97)-ROW($B$8)),"NE",IF(AND(INDEX(T_EMP[TERMINATION DATE],ROW($B97)-ROW($B$8))&gt;0,W$8&gt;INDEX(T_EMP[TERMINATION DATE],ROW($B97)-ROW($B$8))),"NE",IF(NOT(ISERROR(MATCH(W$8,L_HOLS,0))),"H",IF(INDEX(L_WKNDVAL,WEEKDAY(W$8,1))=1,"WKND",INDEX(T_LEAVE[LEAVE CODE],SUMPRODUCT(--(T_LEAVE[NAME]=$B97),--(T_LEAVE[DATE]&lt;=W$8),--(T_LEAVE[DATE]&gt;=W$8),ROW(T_LEAVE[LEAVE CODE]))-ROW(T_LEAVE[#Headers]))))))),"")</f>
        <v/>
      </c>
      <c r="X97" s="75" t="str">
        <f>IFERROR(IF(X$8="","NA",IF(X$8&lt;INDEX(T_EMP[START DATE],ROW($B97)-ROW($B$8)),"NE",IF(AND(INDEX(T_EMP[TERMINATION DATE],ROW($B97)-ROW($B$8))&gt;0,X$8&gt;INDEX(T_EMP[TERMINATION DATE],ROW($B97)-ROW($B$8))),"NE",IF(NOT(ISERROR(MATCH(X$8,L_HOLS,0))),"H",IF(INDEX(L_WKNDVAL,WEEKDAY(X$8,1))=1,"WKND",INDEX(T_LEAVE[LEAVE CODE],SUMPRODUCT(--(T_LEAVE[NAME]=$B97),--(T_LEAVE[DATE]&lt;=X$8),--(T_LEAVE[DATE]&gt;=X$8),ROW(T_LEAVE[LEAVE CODE]))-ROW(T_LEAVE[#Headers]))))))),"")</f>
        <v/>
      </c>
      <c r="Y97" s="75" t="str">
        <f>IFERROR(IF(Y$8="","NA",IF(Y$8&lt;INDEX(T_EMP[START DATE],ROW($B97)-ROW($B$8)),"NE",IF(AND(INDEX(T_EMP[TERMINATION DATE],ROW($B97)-ROW($B$8))&gt;0,Y$8&gt;INDEX(T_EMP[TERMINATION DATE],ROW($B97)-ROW($B$8))),"NE",IF(NOT(ISERROR(MATCH(Y$8,L_HOLS,0))),"H",IF(INDEX(L_WKNDVAL,WEEKDAY(Y$8,1))=1,"WKND",INDEX(T_LEAVE[LEAVE CODE],SUMPRODUCT(--(T_LEAVE[NAME]=$B97),--(T_LEAVE[DATE]&lt;=Y$8),--(T_LEAVE[DATE]&gt;=Y$8),ROW(T_LEAVE[LEAVE CODE]))-ROW(T_LEAVE[#Headers]))))))),"")</f>
        <v/>
      </c>
      <c r="Z97" s="75" t="str">
        <f>IFERROR(IF(Z$8="","NA",IF(Z$8&lt;INDEX(T_EMP[START DATE],ROW($B97)-ROW($B$8)),"NE",IF(AND(INDEX(T_EMP[TERMINATION DATE],ROW($B97)-ROW($B$8))&gt;0,Z$8&gt;INDEX(T_EMP[TERMINATION DATE],ROW($B97)-ROW($B$8))),"NE",IF(NOT(ISERROR(MATCH(Z$8,L_HOLS,0))),"H",IF(INDEX(L_WKNDVAL,WEEKDAY(Z$8,1))=1,"WKND",INDEX(T_LEAVE[LEAVE CODE],SUMPRODUCT(--(T_LEAVE[NAME]=$B97),--(T_LEAVE[DATE]&lt;=Z$8),--(T_LEAVE[DATE]&gt;=Z$8),ROW(T_LEAVE[LEAVE CODE]))-ROW(T_LEAVE[#Headers]))))))),"")</f>
        <v/>
      </c>
      <c r="AA97" s="75" t="str">
        <f>IFERROR(IF(AA$8="","NA",IF(AA$8&lt;INDEX(T_EMP[START DATE],ROW($B97)-ROW($B$8)),"NE",IF(AND(INDEX(T_EMP[TERMINATION DATE],ROW($B97)-ROW($B$8))&gt;0,AA$8&gt;INDEX(T_EMP[TERMINATION DATE],ROW($B97)-ROW($B$8))),"NE",IF(NOT(ISERROR(MATCH(AA$8,L_HOLS,0))),"H",IF(INDEX(L_WKNDVAL,WEEKDAY(AA$8,1))=1,"WKND",INDEX(T_LEAVE[LEAVE CODE],SUMPRODUCT(--(T_LEAVE[NAME]=$B97),--(T_LEAVE[DATE]&lt;=AA$8),--(T_LEAVE[DATE]&gt;=AA$8),ROW(T_LEAVE[LEAVE CODE]))-ROW(T_LEAVE[#Headers]))))))),"")</f>
        <v/>
      </c>
      <c r="AB97" s="75" t="str">
        <f>IFERROR(IF(AB$8="","NA",IF(AB$8&lt;INDEX(T_EMP[START DATE],ROW($B97)-ROW($B$8)),"NE",IF(AND(INDEX(T_EMP[TERMINATION DATE],ROW($B97)-ROW($B$8))&gt;0,AB$8&gt;INDEX(T_EMP[TERMINATION DATE],ROW($B97)-ROW($B$8))),"NE",IF(NOT(ISERROR(MATCH(AB$8,L_HOLS,0))),"H",IF(INDEX(L_WKNDVAL,WEEKDAY(AB$8,1))=1,"WKND",INDEX(T_LEAVE[LEAVE CODE],SUMPRODUCT(--(T_LEAVE[NAME]=$B97),--(T_LEAVE[DATE]&lt;=AB$8),--(T_LEAVE[DATE]&gt;=AB$8),ROW(T_LEAVE[LEAVE CODE]))-ROW(T_LEAVE[#Headers]))))))),"")</f>
        <v/>
      </c>
      <c r="AC97" s="75" t="str">
        <f>IFERROR(IF(AC$8="","NA",IF(AC$8&lt;INDEX(T_EMP[START DATE],ROW($B97)-ROW($B$8)),"NE",IF(AND(INDEX(T_EMP[TERMINATION DATE],ROW($B97)-ROW($B$8))&gt;0,AC$8&gt;INDEX(T_EMP[TERMINATION DATE],ROW($B97)-ROW($B$8))),"NE",IF(NOT(ISERROR(MATCH(AC$8,L_HOLS,0))),"H",IF(INDEX(L_WKNDVAL,WEEKDAY(AC$8,1))=1,"WKND",INDEX(T_LEAVE[LEAVE CODE],SUMPRODUCT(--(T_LEAVE[NAME]=$B97),--(T_LEAVE[DATE]&lt;=AC$8),--(T_LEAVE[DATE]&gt;=AC$8),ROW(T_LEAVE[LEAVE CODE]))-ROW(T_LEAVE[#Headers]))))))),"")</f>
        <v/>
      </c>
      <c r="AD97" s="75" t="str">
        <f>IFERROR(IF(AD$8="","NA",IF(AD$8&lt;INDEX(T_EMP[START DATE],ROW($B97)-ROW($B$8)),"NE",IF(AND(INDEX(T_EMP[TERMINATION DATE],ROW($B97)-ROW($B$8))&gt;0,AD$8&gt;INDEX(T_EMP[TERMINATION DATE],ROW($B97)-ROW($B$8))),"NE",IF(NOT(ISERROR(MATCH(AD$8,L_HOLS,0))),"H",IF(INDEX(L_WKNDVAL,WEEKDAY(AD$8,1))=1,"WKND",INDEX(T_LEAVE[LEAVE CODE],SUMPRODUCT(--(T_LEAVE[NAME]=$B97),--(T_LEAVE[DATE]&lt;=AD$8),--(T_LEAVE[DATE]&gt;=AD$8),ROW(T_LEAVE[LEAVE CODE]))-ROW(T_LEAVE[#Headers]))))))),"")</f>
        <v/>
      </c>
      <c r="AE97" s="75" t="str">
        <f>IFERROR(IF(AE$8="","NA",IF(AE$8&lt;INDEX(T_EMP[START DATE],ROW($B97)-ROW($B$8)),"NE",IF(AND(INDEX(T_EMP[TERMINATION DATE],ROW($B97)-ROW($B$8))&gt;0,AE$8&gt;INDEX(T_EMP[TERMINATION DATE],ROW($B97)-ROW($B$8))),"NE",IF(NOT(ISERROR(MATCH(AE$8,L_HOLS,0))),"H",IF(INDEX(L_WKNDVAL,WEEKDAY(AE$8,1))=1,"WKND",INDEX(T_LEAVE[LEAVE CODE],SUMPRODUCT(--(T_LEAVE[NAME]=$B97),--(T_LEAVE[DATE]&lt;=AE$8),--(T_LEAVE[DATE]&gt;=AE$8),ROW(T_LEAVE[LEAVE CODE]))-ROW(T_LEAVE[#Headers]))))))),"")</f>
        <v/>
      </c>
      <c r="AF97" s="75" t="str">
        <f>IFERROR(IF(AF$8="","NA",IF(AF$8&lt;INDEX(T_EMP[START DATE],ROW($B97)-ROW($B$8)),"NE",IF(AND(INDEX(T_EMP[TERMINATION DATE],ROW($B97)-ROW($B$8))&gt;0,AF$8&gt;INDEX(T_EMP[TERMINATION DATE],ROW($B97)-ROW($B$8))),"NE",IF(NOT(ISERROR(MATCH(AF$8,L_HOLS,0))),"H",IF(INDEX(L_WKNDVAL,WEEKDAY(AF$8,1))=1,"WKND",INDEX(T_LEAVE[LEAVE CODE],SUMPRODUCT(--(T_LEAVE[NAME]=$B97),--(T_LEAVE[DATE]&lt;=AF$8),--(T_LEAVE[DATE]&gt;=AF$8),ROW(T_LEAVE[LEAVE CODE]))-ROW(T_LEAVE[#Headers]))))))),"")</f>
        <v/>
      </c>
      <c r="AG97" s="75" t="str">
        <f>IFERROR(IF(AG$8="","NA",IF(AG$8&lt;INDEX(T_EMP[START DATE],ROW($B97)-ROW($B$8)),"NE",IF(AND(INDEX(T_EMP[TERMINATION DATE],ROW($B97)-ROW($B$8))&gt;0,AG$8&gt;INDEX(T_EMP[TERMINATION DATE],ROW($B97)-ROW($B$8))),"NE",IF(NOT(ISERROR(MATCH(AG$8,L_HOLS,0))),"H",IF(INDEX(L_WKNDVAL,WEEKDAY(AG$8,1))=1,"WKND",INDEX(T_LEAVE[LEAVE CODE],SUMPRODUCT(--(T_LEAVE[NAME]=$B97),--(T_LEAVE[DATE]&lt;=AG$8),--(T_LEAVE[DATE]&gt;=AG$8),ROW(T_LEAVE[LEAVE CODE]))-ROW(T_LEAVE[#Headers]))))))),"")</f>
        <v/>
      </c>
      <c r="AH97" s="75" t="str">
        <f>IFERROR(IF(AH$8="","NA",IF(AH$8&lt;INDEX(T_EMP[START DATE],ROW($B97)-ROW($B$8)),"NE",IF(AND(INDEX(T_EMP[TERMINATION DATE],ROW($B97)-ROW($B$8))&gt;0,AH$8&gt;INDEX(T_EMP[TERMINATION DATE],ROW($B97)-ROW($B$8))),"NE",IF(NOT(ISERROR(MATCH(AH$8,L_HOLS,0))),"H",IF(INDEX(L_WKNDVAL,WEEKDAY(AH$8,1))=1,"WKND",INDEX(T_LEAVE[LEAVE CODE],SUMPRODUCT(--(T_LEAVE[NAME]=$B97),--(T_LEAVE[DATE]&lt;=AH$8),--(T_LEAVE[DATE]&gt;=AH$8),ROW(T_LEAVE[LEAVE CODE]))-ROW(T_LEAVE[#Headers]))))))),"")</f>
        <v/>
      </c>
      <c r="AJ97" s="88">
        <f>IF(OR($B97="",AJ$8=""),"",COUNTIFS($D97:$AH97,AJ$8)*INDEX(T_LEAVETYPE[DAY VALUE],1))</f>
        <v>0</v>
      </c>
      <c r="AK97" s="88">
        <f>IF(OR($B97="",AK$8=""),"",COUNTIFS($D97:$AH97,AK$8)*INDEX(T_LEAVETYPE[DAY VALUE],1))</f>
        <v>0</v>
      </c>
      <c r="AL97" s="88">
        <f>IF(OR($B97="",AL$8=""),"",COUNTIFS($D97:$AH97,AL$8)*INDEX(T_LEAVETYPE[DAY VALUE],1))</f>
        <v>0</v>
      </c>
      <c r="AM97" s="88">
        <f>IF(OR($B97="",AM$8=""),"",COUNTIFS($D97:$AH97,AM$8)*INDEX(T_LEAVETYPE[DAY VALUE],1))</f>
        <v>0</v>
      </c>
      <c r="AN97" s="88">
        <f>IF(OR($B97="",AN$8=""),"",COUNTIFS($D97:$AH97,AN$8)*INDEX(T_LEAVETYPE[DAY VALUE],1))</f>
        <v>0</v>
      </c>
      <c r="AO97" s="88">
        <f>IF(OR($B97="",AO$8=""),"",COUNTIFS($D97:$AH97,AO$8)*INDEX(T_LEAVETYPE[DAY VALUE],6))</f>
        <v>0</v>
      </c>
      <c r="AP97" s="88">
        <f>IF(OR($B97="",AP$8=""),"",COUNTIFS($D97:$AH97,AP$8)*INDEX(T_LEAVETYPE[DAY VALUE],7))</f>
        <v>0</v>
      </c>
      <c r="AQ97" s="88">
        <f>IF(OR($B97="",AQ$8=""),"",COUNTIFS($D97:$AH97,AQ$8)*INDEX(T_LEAVETYPE[DAY VALUE],8))</f>
        <v>0</v>
      </c>
      <c r="AR97" s="89">
        <f t="shared" si="5"/>
        <v>0</v>
      </c>
    </row>
    <row r="99" spans="1:44" ht="15" customHeight="1" x14ac:dyDescent="0.25">
      <c r="B99" s="99" t="s">
        <v>1156</v>
      </c>
      <c r="C99" s="100"/>
      <c r="D99" s="46">
        <f>D7</f>
        <v>44317</v>
      </c>
      <c r="E99" s="46">
        <f t="shared" ref="E99:AH99" si="6">E7</f>
        <v>44318</v>
      </c>
      <c r="F99" s="46">
        <f t="shared" si="6"/>
        <v>44319</v>
      </c>
      <c r="G99" s="46">
        <f t="shared" si="6"/>
        <v>44320</v>
      </c>
      <c r="H99" s="46">
        <f t="shared" si="6"/>
        <v>44321</v>
      </c>
      <c r="I99" s="46">
        <f t="shared" si="6"/>
        <v>44322</v>
      </c>
      <c r="J99" s="46">
        <f t="shared" si="6"/>
        <v>44323</v>
      </c>
      <c r="K99" s="46">
        <f t="shared" si="6"/>
        <v>44324</v>
      </c>
      <c r="L99" s="46">
        <f t="shared" si="6"/>
        <v>44325</v>
      </c>
      <c r="M99" s="46">
        <f t="shared" si="6"/>
        <v>44326</v>
      </c>
      <c r="N99" s="46">
        <f t="shared" si="6"/>
        <v>44327</v>
      </c>
      <c r="O99" s="46">
        <f t="shared" si="6"/>
        <v>44328</v>
      </c>
      <c r="P99" s="46">
        <f t="shared" si="6"/>
        <v>44329</v>
      </c>
      <c r="Q99" s="46">
        <f t="shared" si="6"/>
        <v>44330</v>
      </c>
      <c r="R99" s="46">
        <f t="shared" si="6"/>
        <v>44331</v>
      </c>
      <c r="S99" s="46">
        <f t="shared" si="6"/>
        <v>44332</v>
      </c>
      <c r="T99" s="46">
        <f t="shared" si="6"/>
        <v>44333</v>
      </c>
      <c r="U99" s="46">
        <f t="shared" si="6"/>
        <v>44334</v>
      </c>
      <c r="V99" s="46">
        <f t="shared" si="6"/>
        <v>44335</v>
      </c>
      <c r="W99" s="46">
        <f t="shared" si="6"/>
        <v>44336</v>
      </c>
      <c r="X99" s="46">
        <f t="shared" si="6"/>
        <v>44337</v>
      </c>
      <c r="Y99" s="46">
        <f t="shared" si="6"/>
        <v>44338</v>
      </c>
      <c r="Z99" s="46">
        <f t="shared" si="6"/>
        <v>44339</v>
      </c>
      <c r="AA99" s="46">
        <f t="shared" si="6"/>
        <v>44340</v>
      </c>
      <c r="AB99" s="46">
        <f t="shared" si="6"/>
        <v>44341</v>
      </c>
      <c r="AC99" s="46">
        <f t="shared" si="6"/>
        <v>44342</v>
      </c>
      <c r="AD99" s="46">
        <f t="shared" si="6"/>
        <v>44343</v>
      </c>
      <c r="AE99" s="46">
        <f t="shared" si="6"/>
        <v>44344</v>
      </c>
      <c r="AF99" s="46">
        <f t="shared" si="6"/>
        <v>44345</v>
      </c>
      <c r="AG99" s="46">
        <f t="shared" si="6"/>
        <v>44346</v>
      </c>
      <c r="AH99" s="46">
        <f t="shared" si="6"/>
        <v>44347</v>
      </c>
    </row>
    <row r="100" spans="1:44" ht="15" customHeight="1" x14ac:dyDescent="0.25">
      <c r="B100" s="101"/>
      <c r="C100" s="102"/>
      <c r="D100" s="73">
        <f>D8</f>
        <v>44317</v>
      </c>
      <c r="E100" s="73">
        <f t="shared" ref="E100:AH100" si="7">E8</f>
        <v>44318</v>
      </c>
      <c r="F100" s="73">
        <f t="shared" si="7"/>
        <v>44319</v>
      </c>
      <c r="G100" s="73">
        <f t="shared" si="7"/>
        <v>44320</v>
      </c>
      <c r="H100" s="73">
        <f t="shared" si="7"/>
        <v>44321</v>
      </c>
      <c r="I100" s="73">
        <f t="shared" si="7"/>
        <v>44322</v>
      </c>
      <c r="J100" s="73">
        <f t="shared" si="7"/>
        <v>44323</v>
      </c>
      <c r="K100" s="73">
        <f t="shared" si="7"/>
        <v>44324</v>
      </c>
      <c r="L100" s="73">
        <f t="shared" si="7"/>
        <v>44325</v>
      </c>
      <c r="M100" s="73">
        <f t="shared" si="7"/>
        <v>44326</v>
      </c>
      <c r="N100" s="73">
        <f t="shared" si="7"/>
        <v>44327</v>
      </c>
      <c r="O100" s="73">
        <f t="shared" si="7"/>
        <v>44328</v>
      </c>
      <c r="P100" s="73">
        <f t="shared" si="7"/>
        <v>44329</v>
      </c>
      <c r="Q100" s="73">
        <f t="shared" si="7"/>
        <v>44330</v>
      </c>
      <c r="R100" s="73">
        <f t="shared" si="7"/>
        <v>44331</v>
      </c>
      <c r="S100" s="73">
        <f t="shared" si="7"/>
        <v>44332</v>
      </c>
      <c r="T100" s="73">
        <f t="shared" si="7"/>
        <v>44333</v>
      </c>
      <c r="U100" s="73">
        <f t="shared" si="7"/>
        <v>44334</v>
      </c>
      <c r="V100" s="73">
        <f t="shared" si="7"/>
        <v>44335</v>
      </c>
      <c r="W100" s="73">
        <f t="shared" si="7"/>
        <v>44336</v>
      </c>
      <c r="X100" s="73">
        <f t="shared" si="7"/>
        <v>44337</v>
      </c>
      <c r="Y100" s="73">
        <f t="shared" si="7"/>
        <v>44338</v>
      </c>
      <c r="Z100" s="73">
        <f t="shared" si="7"/>
        <v>44339</v>
      </c>
      <c r="AA100" s="73">
        <f t="shared" si="7"/>
        <v>44340</v>
      </c>
      <c r="AB100" s="73">
        <f t="shared" si="7"/>
        <v>44341</v>
      </c>
      <c r="AC100" s="73">
        <f t="shared" si="7"/>
        <v>44342</v>
      </c>
      <c r="AD100" s="73">
        <f t="shared" si="7"/>
        <v>44343</v>
      </c>
      <c r="AE100" s="73">
        <f t="shared" si="7"/>
        <v>44344</v>
      </c>
      <c r="AF100" s="73">
        <f t="shared" si="7"/>
        <v>44345</v>
      </c>
      <c r="AG100" s="73">
        <f t="shared" si="7"/>
        <v>44346</v>
      </c>
      <c r="AH100" s="73">
        <f t="shared" si="7"/>
        <v>44347</v>
      </c>
    </row>
    <row r="101" spans="1:44" x14ac:dyDescent="0.25">
      <c r="B101" s="121" t="str">
        <f>IFERROR(INDEX(L_LEAVE,1),"")</f>
        <v>VL</v>
      </c>
      <c r="C101" s="122"/>
      <c r="D101" s="88">
        <f>IF(OR(D$8="",$B101=""),"",COUNTIFS(D$9:D$97,$B101)*INDEX(T_LEAVETYPE[DAY VALUE],1))</f>
        <v>0</v>
      </c>
      <c r="E101" s="88">
        <f>IF(OR(E$8="",$B101=""),"",COUNTIFS(E$9:E$97,$B101)*INDEX(T_LEAVETYPE[DAY VALUE],1))</f>
        <v>0</v>
      </c>
      <c r="F101" s="88">
        <f>IF(OR(F$8="",$B101=""),"",COUNTIFS(F$9:F$97,$B101)*INDEX(T_LEAVETYPE[DAY VALUE],1))</f>
        <v>0</v>
      </c>
      <c r="G101" s="88">
        <f>IF(OR(G$8="",$B101=""),"",COUNTIFS(G$9:G$97,$B101)*INDEX(T_LEAVETYPE[DAY VALUE],1))</f>
        <v>0</v>
      </c>
      <c r="H101" s="88">
        <f>IF(OR(H$8="",$B101=""),"",COUNTIFS(H$9:H$97,$B101)*INDEX(T_LEAVETYPE[DAY VALUE],1))</f>
        <v>0</v>
      </c>
      <c r="I101" s="88">
        <f>IF(OR(I$8="",$B101=""),"",COUNTIFS(I$9:I$97,$B101)*INDEX(T_LEAVETYPE[DAY VALUE],1))</f>
        <v>0</v>
      </c>
      <c r="J101" s="88">
        <f>IF(OR(J$8="",$B101=""),"",COUNTIFS(J$9:J$97,$B101)*INDEX(T_LEAVETYPE[DAY VALUE],1))</f>
        <v>0</v>
      </c>
      <c r="K101" s="88">
        <f>IF(OR(K$8="",$B101=""),"",COUNTIFS(K$9:K$97,$B101)*INDEX(T_LEAVETYPE[DAY VALUE],1))</f>
        <v>0</v>
      </c>
      <c r="L101" s="88">
        <f>IF(OR(L$8="",$B101=""),"",COUNTIFS(L$9:L$97,$B101)*INDEX(T_LEAVETYPE[DAY VALUE],1))</f>
        <v>0</v>
      </c>
      <c r="M101" s="88">
        <f>IF(OR(M$8="",$B101=""),"",COUNTIFS(M$9:M$97,$B101)*INDEX(T_LEAVETYPE[DAY VALUE],1))</f>
        <v>0</v>
      </c>
      <c r="N101" s="88">
        <f>IF(OR(N$8="",$B101=""),"",COUNTIFS(N$9:N$97,$B101)*INDEX(T_LEAVETYPE[DAY VALUE],1))</f>
        <v>0</v>
      </c>
      <c r="O101" s="88">
        <f>IF(OR(O$8="",$B101=""),"",COUNTIFS(O$9:O$97,$B101)*INDEX(T_LEAVETYPE[DAY VALUE],1))</f>
        <v>0</v>
      </c>
      <c r="P101" s="88">
        <f>IF(OR(P$8="",$B101=""),"",COUNTIFS(P$9:P$97,$B101)*INDEX(T_LEAVETYPE[DAY VALUE],1))</f>
        <v>0</v>
      </c>
      <c r="Q101" s="88">
        <f>IF(OR(Q$8="",$B101=""),"",COUNTIFS(Q$9:Q$97,$B101)*INDEX(T_LEAVETYPE[DAY VALUE],1))</f>
        <v>0</v>
      </c>
      <c r="R101" s="88">
        <f>IF(OR(R$8="",$B101=""),"",COUNTIFS(R$9:R$97,$B101)*INDEX(T_LEAVETYPE[DAY VALUE],1))</f>
        <v>0</v>
      </c>
      <c r="S101" s="88">
        <f>IF(OR(S$8="",$B101=""),"",COUNTIFS(S$9:S$97,$B101)*INDEX(T_LEAVETYPE[DAY VALUE],1))</f>
        <v>0</v>
      </c>
      <c r="T101" s="88">
        <f>IF(OR(T$8="",$B101=""),"",COUNTIFS(T$9:T$97,$B101)*INDEX(T_LEAVETYPE[DAY VALUE],1))</f>
        <v>0</v>
      </c>
      <c r="U101" s="88">
        <f>IF(OR(U$8="",$B101=""),"",COUNTIFS(U$9:U$97,$B101)*INDEX(T_LEAVETYPE[DAY VALUE],1))</f>
        <v>0</v>
      </c>
      <c r="V101" s="88">
        <f>IF(OR(V$8="",$B101=""),"",COUNTIFS(V$9:V$97,$B101)*INDEX(T_LEAVETYPE[DAY VALUE],1))</f>
        <v>0</v>
      </c>
      <c r="W101" s="88">
        <f>IF(OR(W$8="",$B101=""),"",COUNTIFS(W$9:W$97,$B101)*INDEX(T_LEAVETYPE[DAY VALUE],1))</f>
        <v>0</v>
      </c>
      <c r="X101" s="88">
        <f>IF(OR(X$8="",$B101=""),"",COUNTIFS(X$9:X$97,$B101)*INDEX(T_LEAVETYPE[DAY VALUE],1))</f>
        <v>0</v>
      </c>
      <c r="Y101" s="88">
        <f>IF(OR(Y$8="",$B101=""),"",COUNTIFS(Y$9:Y$97,$B101)*INDEX(T_LEAVETYPE[DAY VALUE],1))</f>
        <v>0</v>
      </c>
      <c r="Z101" s="88">
        <f>IF(OR(Z$8="",$B101=""),"",COUNTIFS(Z$9:Z$97,$B101)*INDEX(T_LEAVETYPE[DAY VALUE],1))</f>
        <v>0</v>
      </c>
      <c r="AA101" s="88">
        <f>IF(OR(AA$8="",$B101=""),"",COUNTIFS(AA$9:AA$97,$B101)*INDEX(T_LEAVETYPE[DAY VALUE],1))</f>
        <v>0</v>
      </c>
      <c r="AB101" s="88">
        <f>IF(OR(AB$8="",$B101=""),"",COUNTIFS(AB$9:AB$97,$B101)*INDEX(T_LEAVETYPE[DAY VALUE],1))</f>
        <v>0</v>
      </c>
      <c r="AC101" s="88">
        <f>IF(OR(AC$8="",$B101=""),"",COUNTIFS(AC$9:AC$97,$B101)*INDEX(T_LEAVETYPE[DAY VALUE],1))</f>
        <v>0</v>
      </c>
      <c r="AD101" s="88">
        <f>IF(OR(AD$8="",$B101=""),"",COUNTIFS(AD$9:AD$97,$B101)*INDEX(T_LEAVETYPE[DAY VALUE],1))</f>
        <v>0</v>
      </c>
      <c r="AE101" s="88">
        <f>IF(OR(AE$8="",$B101=""),"",COUNTIFS(AE$9:AE$97,$B101)*INDEX(T_LEAVETYPE[DAY VALUE],1))</f>
        <v>0</v>
      </c>
      <c r="AF101" s="88">
        <f>IF(OR(AF$8="",$B101=""),"",COUNTIFS(AF$9:AF$97,$B101)*INDEX(T_LEAVETYPE[DAY VALUE],1))</f>
        <v>0</v>
      </c>
      <c r="AG101" s="88">
        <f>IF(OR(AG$8="",$B101=""),"",COUNTIFS(AG$9:AG$97,$B101)*INDEX(T_LEAVETYPE[DAY VALUE],1))</f>
        <v>0</v>
      </c>
      <c r="AH101" s="88">
        <f>IF(OR(AH$8="",$B101=""),"",COUNTIFS(AH$9:AH$97,$B101)*INDEX(T_LEAVETYPE[DAY VALUE],1))</f>
        <v>0</v>
      </c>
    </row>
    <row r="102" spans="1:44" x14ac:dyDescent="0.25">
      <c r="B102" s="123" t="str">
        <f>IFERROR(INDEX(L_LEAVE,2),"")</f>
        <v>SL</v>
      </c>
      <c r="C102" s="124"/>
      <c r="D102" s="88">
        <f>IF(OR(D$8="",$B102=""),"",COUNTIFS(D$9:D$97,$B102)*INDEX(T_LEAVETYPE[DAY VALUE],1))</f>
        <v>0</v>
      </c>
      <c r="E102" s="88">
        <f>IF(OR(E$8="",$B102=""),"",COUNTIFS(E$9:E$97,$B102)*INDEX(T_LEAVETYPE[DAY VALUE],1))</f>
        <v>0</v>
      </c>
      <c r="F102" s="88">
        <f>IF(OR(F$8="",$B102=""),"",COUNTIFS(F$9:F$97,$B102)*INDEX(T_LEAVETYPE[DAY VALUE],1))</f>
        <v>0</v>
      </c>
      <c r="G102" s="88">
        <f>IF(OR(G$8="",$B102=""),"",COUNTIFS(G$9:G$97,$B102)*INDEX(T_LEAVETYPE[DAY VALUE],1))</f>
        <v>0</v>
      </c>
      <c r="H102" s="88">
        <f>IF(OR(H$8="",$B102=""),"",COUNTIFS(H$9:H$97,$B102)*INDEX(T_LEAVETYPE[DAY VALUE],1))</f>
        <v>0</v>
      </c>
      <c r="I102" s="88">
        <f>IF(OR(I$8="",$B102=""),"",COUNTIFS(I$9:I$97,$B102)*INDEX(T_LEAVETYPE[DAY VALUE],1))</f>
        <v>0</v>
      </c>
      <c r="J102" s="88">
        <f>IF(OR(J$8="",$B102=""),"",COUNTIFS(J$9:J$97,$B102)*INDEX(T_LEAVETYPE[DAY VALUE],1))</f>
        <v>0</v>
      </c>
      <c r="K102" s="88">
        <f>IF(OR(K$8="",$B102=""),"",COUNTIFS(K$9:K$97,$B102)*INDEX(T_LEAVETYPE[DAY VALUE],1))</f>
        <v>0</v>
      </c>
      <c r="L102" s="88">
        <f>IF(OR(L$8="",$B102=""),"",COUNTIFS(L$9:L$97,$B102)*INDEX(T_LEAVETYPE[DAY VALUE],1))</f>
        <v>0</v>
      </c>
      <c r="M102" s="88">
        <f>IF(OR(M$8="",$B102=""),"",COUNTIFS(M$9:M$97,$B102)*INDEX(T_LEAVETYPE[DAY VALUE],1))</f>
        <v>0</v>
      </c>
      <c r="N102" s="88">
        <f>IF(OR(N$8="",$B102=""),"",COUNTIFS(N$9:N$97,$B102)*INDEX(T_LEAVETYPE[DAY VALUE],1))</f>
        <v>0</v>
      </c>
      <c r="O102" s="88">
        <f>IF(OR(O$8="",$B102=""),"",COUNTIFS(O$9:O$97,$B102)*INDEX(T_LEAVETYPE[DAY VALUE],1))</f>
        <v>0</v>
      </c>
      <c r="P102" s="88">
        <f>IF(OR(P$8="",$B102=""),"",COUNTIFS(P$9:P$97,$B102)*INDEX(T_LEAVETYPE[DAY VALUE],1))</f>
        <v>0</v>
      </c>
      <c r="Q102" s="88">
        <f>IF(OR(Q$8="",$B102=""),"",COUNTIFS(Q$9:Q$97,$B102)*INDEX(T_LEAVETYPE[DAY VALUE],1))</f>
        <v>0</v>
      </c>
      <c r="R102" s="88">
        <f>IF(OR(R$8="",$B102=""),"",COUNTIFS(R$9:R$97,$B102)*INDEX(T_LEAVETYPE[DAY VALUE],1))</f>
        <v>0</v>
      </c>
      <c r="S102" s="88">
        <f>IF(OR(S$8="",$B102=""),"",COUNTIFS(S$9:S$97,$B102)*INDEX(T_LEAVETYPE[DAY VALUE],1))</f>
        <v>0</v>
      </c>
      <c r="T102" s="88">
        <f>IF(OR(T$8="",$B102=""),"",COUNTIFS(T$9:T$97,$B102)*INDEX(T_LEAVETYPE[DAY VALUE],1))</f>
        <v>0</v>
      </c>
      <c r="U102" s="88">
        <f>IF(OR(U$8="",$B102=""),"",COUNTIFS(U$9:U$97,$B102)*INDEX(T_LEAVETYPE[DAY VALUE],1))</f>
        <v>0</v>
      </c>
      <c r="V102" s="88">
        <f>IF(OR(V$8="",$B102=""),"",COUNTIFS(V$9:V$97,$B102)*INDEX(T_LEAVETYPE[DAY VALUE],1))</f>
        <v>0</v>
      </c>
      <c r="W102" s="88">
        <f>IF(OR(W$8="",$B102=""),"",COUNTIFS(W$9:W$97,$B102)*INDEX(T_LEAVETYPE[DAY VALUE],1))</f>
        <v>0</v>
      </c>
      <c r="X102" s="88">
        <f>IF(OR(X$8="",$B102=""),"",COUNTIFS(X$9:X$97,$B102)*INDEX(T_LEAVETYPE[DAY VALUE],1))</f>
        <v>0</v>
      </c>
      <c r="Y102" s="88">
        <f>IF(OR(Y$8="",$B102=""),"",COUNTIFS(Y$9:Y$97,$B102)*INDEX(T_LEAVETYPE[DAY VALUE],1))</f>
        <v>0</v>
      </c>
      <c r="Z102" s="88">
        <f>IF(OR(Z$8="",$B102=""),"",COUNTIFS(Z$9:Z$97,$B102)*INDEX(T_LEAVETYPE[DAY VALUE],1))</f>
        <v>0</v>
      </c>
      <c r="AA102" s="88">
        <f>IF(OR(AA$8="",$B102=""),"",COUNTIFS(AA$9:AA$97,$B102)*INDEX(T_LEAVETYPE[DAY VALUE],1))</f>
        <v>0</v>
      </c>
      <c r="AB102" s="88">
        <f>IF(OR(AB$8="",$B102=""),"",COUNTIFS(AB$9:AB$97,$B102)*INDEX(T_LEAVETYPE[DAY VALUE],1))</f>
        <v>0</v>
      </c>
      <c r="AC102" s="88">
        <f>IF(OR(AC$8="",$B102=""),"",COUNTIFS(AC$9:AC$97,$B102)*INDEX(T_LEAVETYPE[DAY VALUE],1))</f>
        <v>0</v>
      </c>
      <c r="AD102" s="88">
        <f>IF(OR(AD$8="",$B102=""),"",COUNTIFS(AD$9:AD$97,$B102)*INDEX(T_LEAVETYPE[DAY VALUE],1))</f>
        <v>0</v>
      </c>
      <c r="AE102" s="88">
        <f>IF(OR(AE$8="",$B102=""),"",COUNTIFS(AE$9:AE$97,$B102)*INDEX(T_LEAVETYPE[DAY VALUE],1))</f>
        <v>0</v>
      </c>
      <c r="AF102" s="88">
        <f>IF(OR(AF$8="",$B102=""),"",COUNTIFS(AF$9:AF$97,$B102)*INDEX(T_LEAVETYPE[DAY VALUE],1))</f>
        <v>0</v>
      </c>
      <c r="AG102" s="88">
        <f>IF(OR(AG$8="",$B102=""),"",COUNTIFS(AG$9:AG$97,$B102)*INDEX(T_LEAVETYPE[DAY VALUE],1))</f>
        <v>0</v>
      </c>
      <c r="AH102" s="88">
        <f>IF(OR(AH$8="",$B102=""),"",COUNTIFS(AH$9:AH$97,$B102)*INDEX(T_LEAVETYPE[DAY VALUE],1))</f>
        <v>0</v>
      </c>
    </row>
    <row r="103" spans="1:44" x14ac:dyDescent="0.25">
      <c r="B103" s="111" t="str">
        <f>IFERROR(INDEX(L_LEAVE,3),"")</f>
        <v>UL</v>
      </c>
      <c r="C103" s="112"/>
      <c r="D103" s="88">
        <f>IF(OR(D$8="",$B103=""),"",COUNTIFS(D$9:D$97,$B103)*INDEX(T_LEAVETYPE[DAY VALUE],1))</f>
        <v>0</v>
      </c>
      <c r="E103" s="88">
        <f>IF(OR(E$8="",$B103=""),"",COUNTIFS(E$9:E$97,$B103)*INDEX(T_LEAVETYPE[DAY VALUE],1))</f>
        <v>0</v>
      </c>
      <c r="F103" s="88">
        <f>IF(OR(F$8="",$B103=""),"",COUNTIFS(F$9:F$97,$B103)*INDEX(T_LEAVETYPE[DAY VALUE],1))</f>
        <v>0</v>
      </c>
      <c r="G103" s="88">
        <f>IF(OR(G$8="",$B103=""),"",COUNTIFS(G$9:G$97,$B103)*INDEX(T_LEAVETYPE[DAY VALUE],1))</f>
        <v>0</v>
      </c>
      <c r="H103" s="88">
        <f>IF(OR(H$8="",$B103=""),"",COUNTIFS(H$9:H$97,$B103)*INDEX(T_LEAVETYPE[DAY VALUE],1))</f>
        <v>0</v>
      </c>
      <c r="I103" s="88">
        <f>IF(OR(I$8="",$B103=""),"",COUNTIFS(I$9:I$97,$B103)*INDEX(T_LEAVETYPE[DAY VALUE],1))</f>
        <v>0</v>
      </c>
      <c r="J103" s="88">
        <f>IF(OR(J$8="",$B103=""),"",COUNTIFS(J$9:J$97,$B103)*INDEX(T_LEAVETYPE[DAY VALUE],1))</f>
        <v>0</v>
      </c>
      <c r="K103" s="88">
        <f>IF(OR(K$8="",$B103=""),"",COUNTIFS(K$9:K$97,$B103)*INDEX(T_LEAVETYPE[DAY VALUE],1))</f>
        <v>0</v>
      </c>
      <c r="L103" s="88">
        <f>IF(OR(L$8="",$B103=""),"",COUNTIFS(L$9:L$97,$B103)*INDEX(T_LEAVETYPE[DAY VALUE],1))</f>
        <v>0</v>
      </c>
      <c r="M103" s="88">
        <f>IF(OR(M$8="",$B103=""),"",COUNTIFS(M$9:M$97,$B103)*INDEX(T_LEAVETYPE[DAY VALUE],1))</f>
        <v>0</v>
      </c>
      <c r="N103" s="88">
        <f>IF(OR(N$8="",$B103=""),"",COUNTIFS(N$9:N$97,$B103)*INDEX(T_LEAVETYPE[DAY VALUE],1))</f>
        <v>0</v>
      </c>
      <c r="O103" s="88">
        <f>IF(OR(O$8="",$B103=""),"",COUNTIFS(O$9:O$97,$B103)*INDEX(T_LEAVETYPE[DAY VALUE],1))</f>
        <v>0</v>
      </c>
      <c r="P103" s="88">
        <f>IF(OR(P$8="",$B103=""),"",COUNTIFS(P$9:P$97,$B103)*INDEX(T_LEAVETYPE[DAY VALUE],1))</f>
        <v>0</v>
      </c>
      <c r="Q103" s="88">
        <f>IF(OR(Q$8="",$B103=""),"",COUNTIFS(Q$9:Q$97,$B103)*INDEX(T_LEAVETYPE[DAY VALUE],1))</f>
        <v>0</v>
      </c>
      <c r="R103" s="88">
        <f>IF(OR(R$8="",$B103=""),"",COUNTIFS(R$9:R$97,$B103)*INDEX(T_LEAVETYPE[DAY VALUE],1))</f>
        <v>0</v>
      </c>
      <c r="S103" s="88">
        <f>IF(OR(S$8="",$B103=""),"",COUNTIFS(S$9:S$97,$B103)*INDEX(T_LEAVETYPE[DAY VALUE],1))</f>
        <v>0</v>
      </c>
      <c r="T103" s="88">
        <f>IF(OR(T$8="",$B103=""),"",COUNTIFS(T$9:T$97,$B103)*INDEX(T_LEAVETYPE[DAY VALUE],1))</f>
        <v>0</v>
      </c>
      <c r="U103" s="88">
        <f>IF(OR(U$8="",$B103=""),"",COUNTIFS(U$9:U$97,$B103)*INDEX(T_LEAVETYPE[DAY VALUE],1))</f>
        <v>0</v>
      </c>
      <c r="V103" s="88">
        <f>IF(OR(V$8="",$B103=""),"",COUNTIFS(V$9:V$97,$B103)*INDEX(T_LEAVETYPE[DAY VALUE],1))</f>
        <v>0</v>
      </c>
      <c r="W103" s="88">
        <f>IF(OR(W$8="",$B103=""),"",COUNTIFS(W$9:W$97,$B103)*INDEX(T_LEAVETYPE[DAY VALUE],1))</f>
        <v>0</v>
      </c>
      <c r="X103" s="88">
        <f>IF(OR(X$8="",$B103=""),"",COUNTIFS(X$9:X$97,$B103)*INDEX(T_LEAVETYPE[DAY VALUE],1))</f>
        <v>0</v>
      </c>
      <c r="Y103" s="88">
        <f>IF(OR(Y$8="",$B103=""),"",COUNTIFS(Y$9:Y$97,$B103)*INDEX(T_LEAVETYPE[DAY VALUE],1))</f>
        <v>0</v>
      </c>
      <c r="Z103" s="88">
        <f>IF(OR(Z$8="",$B103=""),"",COUNTIFS(Z$9:Z$97,$B103)*INDEX(T_LEAVETYPE[DAY VALUE],1))</f>
        <v>0</v>
      </c>
      <c r="AA103" s="88">
        <f>IF(OR(AA$8="",$B103=""),"",COUNTIFS(AA$9:AA$97,$B103)*INDEX(T_LEAVETYPE[DAY VALUE],1))</f>
        <v>0</v>
      </c>
      <c r="AB103" s="88">
        <f>IF(OR(AB$8="",$B103=""),"",COUNTIFS(AB$9:AB$97,$B103)*INDEX(T_LEAVETYPE[DAY VALUE],1))</f>
        <v>0</v>
      </c>
      <c r="AC103" s="88">
        <f>IF(OR(AC$8="",$B103=""),"",COUNTIFS(AC$9:AC$97,$B103)*INDEX(T_LEAVETYPE[DAY VALUE],1))</f>
        <v>0</v>
      </c>
      <c r="AD103" s="88">
        <f>IF(OR(AD$8="",$B103=""),"",COUNTIFS(AD$9:AD$97,$B103)*INDEX(T_LEAVETYPE[DAY VALUE],1))</f>
        <v>0</v>
      </c>
      <c r="AE103" s="88">
        <f>IF(OR(AE$8="",$B103=""),"",COUNTIFS(AE$9:AE$97,$B103)*INDEX(T_LEAVETYPE[DAY VALUE],1))</f>
        <v>0</v>
      </c>
      <c r="AF103" s="88">
        <f>IF(OR(AF$8="",$B103=""),"",COUNTIFS(AF$9:AF$97,$B103)*INDEX(T_LEAVETYPE[DAY VALUE],1))</f>
        <v>0</v>
      </c>
      <c r="AG103" s="88">
        <f>IF(OR(AG$8="",$B103=""),"",COUNTIFS(AG$9:AG$97,$B103)*INDEX(T_LEAVETYPE[DAY VALUE],1))</f>
        <v>0</v>
      </c>
      <c r="AH103" s="88">
        <f>IF(OR(AH$8="",$B103=""),"",COUNTIFS(AH$9:AH$97,$B103)*INDEX(T_LEAVETYPE[DAY VALUE],1))</f>
        <v>0</v>
      </c>
    </row>
    <row r="104" spans="1:44" x14ac:dyDescent="0.25">
      <c r="B104" s="113" t="str">
        <f>IFERROR(INDEX(L_LEAVE,4),"")</f>
        <v>HD</v>
      </c>
      <c r="C104" s="114"/>
      <c r="D104" s="88">
        <f>IF(OR(D$8="",$B104=""),"",COUNTIFS(D$9:D$97,$B104)*INDEX(T_LEAVETYPE[DAY VALUE],1))</f>
        <v>0</v>
      </c>
      <c r="E104" s="88">
        <f>IF(OR(E$8="",$B104=""),"",COUNTIFS(E$9:E$97,$B104)*INDEX(T_LEAVETYPE[DAY VALUE],1))</f>
        <v>0</v>
      </c>
      <c r="F104" s="88">
        <f>IF(OR(F$8="",$B104=""),"",COUNTIFS(F$9:F$97,$B104)*INDEX(T_LEAVETYPE[DAY VALUE],1))</f>
        <v>0</v>
      </c>
      <c r="G104" s="88">
        <f>IF(OR(G$8="",$B104=""),"",COUNTIFS(G$9:G$97,$B104)*INDEX(T_LEAVETYPE[DAY VALUE],1))</f>
        <v>0</v>
      </c>
      <c r="H104" s="88">
        <f>IF(OR(H$8="",$B104=""),"",COUNTIFS(H$9:H$97,$B104)*INDEX(T_LEAVETYPE[DAY VALUE],1))</f>
        <v>0</v>
      </c>
      <c r="I104" s="88">
        <f>IF(OR(I$8="",$B104=""),"",COUNTIFS(I$9:I$97,$B104)*INDEX(T_LEAVETYPE[DAY VALUE],1))</f>
        <v>0</v>
      </c>
      <c r="J104" s="88">
        <f>IF(OR(J$8="",$B104=""),"",COUNTIFS(J$9:J$97,$B104)*INDEX(T_LEAVETYPE[DAY VALUE],1))</f>
        <v>0</v>
      </c>
      <c r="K104" s="88">
        <f>IF(OR(K$8="",$B104=""),"",COUNTIFS(K$9:K$97,$B104)*INDEX(T_LEAVETYPE[DAY VALUE],1))</f>
        <v>0</v>
      </c>
      <c r="L104" s="88">
        <f>IF(OR(L$8="",$B104=""),"",COUNTIFS(L$9:L$97,$B104)*INDEX(T_LEAVETYPE[DAY VALUE],1))</f>
        <v>0</v>
      </c>
      <c r="M104" s="88">
        <f>IF(OR(M$8="",$B104=""),"",COUNTIFS(M$9:M$97,$B104)*INDEX(T_LEAVETYPE[DAY VALUE],1))</f>
        <v>0</v>
      </c>
      <c r="N104" s="88">
        <f>IF(OR(N$8="",$B104=""),"",COUNTIFS(N$9:N$97,$B104)*INDEX(T_LEAVETYPE[DAY VALUE],1))</f>
        <v>0</v>
      </c>
      <c r="O104" s="88">
        <f>IF(OR(O$8="",$B104=""),"",COUNTIFS(O$9:O$97,$B104)*INDEX(T_LEAVETYPE[DAY VALUE],1))</f>
        <v>0</v>
      </c>
      <c r="P104" s="88">
        <f>IF(OR(P$8="",$B104=""),"",COUNTIFS(P$9:P$97,$B104)*INDEX(T_LEAVETYPE[DAY VALUE],1))</f>
        <v>0</v>
      </c>
      <c r="Q104" s="88">
        <f>IF(OR(Q$8="",$B104=""),"",COUNTIFS(Q$9:Q$97,$B104)*INDEX(T_LEAVETYPE[DAY VALUE],1))</f>
        <v>0</v>
      </c>
      <c r="R104" s="88">
        <f>IF(OR(R$8="",$B104=""),"",COUNTIFS(R$9:R$97,$B104)*INDEX(T_LEAVETYPE[DAY VALUE],1))</f>
        <v>0</v>
      </c>
      <c r="S104" s="88">
        <f>IF(OR(S$8="",$B104=""),"",COUNTIFS(S$9:S$97,$B104)*INDEX(T_LEAVETYPE[DAY VALUE],1))</f>
        <v>0</v>
      </c>
      <c r="T104" s="88">
        <f>IF(OR(T$8="",$B104=""),"",COUNTIFS(T$9:T$97,$B104)*INDEX(T_LEAVETYPE[DAY VALUE],1))</f>
        <v>0</v>
      </c>
      <c r="U104" s="88">
        <f>IF(OR(U$8="",$B104=""),"",COUNTIFS(U$9:U$97,$B104)*INDEX(T_LEAVETYPE[DAY VALUE],1))</f>
        <v>0</v>
      </c>
      <c r="V104" s="88">
        <f>IF(OR(V$8="",$B104=""),"",COUNTIFS(V$9:V$97,$B104)*INDEX(T_LEAVETYPE[DAY VALUE],1))</f>
        <v>0</v>
      </c>
      <c r="W104" s="88">
        <f>IF(OR(W$8="",$B104=""),"",COUNTIFS(W$9:W$97,$B104)*INDEX(T_LEAVETYPE[DAY VALUE],1))</f>
        <v>0</v>
      </c>
      <c r="X104" s="88">
        <f>IF(OR(X$8="",$B104=""),"",COUNTIFS(X$9:X$97,$B104)*INDEX(T_LEAVETYPE[DAY VALUE],1))</f>
        <v>0</v>
      </c>
      <c r="Y104" s="88">
        <f>IF(OR(Y$8="",$B104=""),"",COUNTIFS(Y$9:Y$97,$B104)*INDEX(T_LEAVETYPE[DAY VALUE],1))</f>
        <v>0</v>
      </c>
      <c r="Z104" s="88">
        <f>IF(OR(Z$8="",$B104=""),"",COUNTIFS(Z$9:Z$97,$B104)*INDEX(T_LEAVETYPE[DAY VALUE],1))</f>
        <v>0</v>
      </c>
      <c r="AA104" s="88">
        <f>IF(OR(AA$8="",$B104=""),"",COUNTIFS(AA$9:AA$97,$B104)*INDEX(T_LEAVETYPE[DAY VALUE],1))</f>
        <v>0</v>
      </c>
      <c r="AB104" s="88">
        <f>IF(OR(AB$8="",$B104=""),"",COUNTIFS(AB$9:AB$97,$B104)*INDEX(T_LEAVETYPE[DAY VALUE],1))</f>
        <v>0</v>
      </c>
      <c r="AC104" s="88">
        <f>IF(OR(AC$8="",$B104=""),"",COUNTIFS(AC$9:AC$97,$B104)*INDEX(T_LEAVETYPE[DAY VALUE],1))</f>
        <v>0</v>
      </c>
      <c r="AD104" s="88">
        <f>IF(OR(AD$8="",$B104=""),"",COUNTIFS(AD$9:AD$97,$B104)*INDEX(T_LEAVETYPE[DAY VALUE],1))</f>
        <v>0</v>
      </c>
      <c r="AE104" s="88">
        <f>IF(OR(AE$8="",$B104=""),"",COUNTIFS(AE$9:AE$97,$B104)*INDEX(T_LEAVETYPE[DAY VALUE],1))</f>
        <v>0</v>
      </c>
      <c r="AF104" s="88">
        <f>IF(OR(AF$8="",$B104=""),"",COUNTIFS(AF$9:AF$97,$B104)*INDEX(T_LEAVETYPE[DAY VALUE],1))</f>
        <v>0</v>
      </c>
      <c r="AG104" s="88">
        <f>IF(OR(AG$8="",$B104=""),"",COUNTIFS(AG$9:AG$97,$B104)*INDEX(T_LEAVETYPE[DAY VALUE],1))</f>
        <v>0</v>
      </c>
      <c r="AH104" s="88">
        <f>IF(OR(AH$8="",$B104=""),"",COUNTIFS(AH$9:AH$97,$B104)*INDEX(T_LEAVETYPE[DAY VALUE],1))</f>
        <v>0</v>
      </c>
    </row>
    <row r="105" spans="1:44" x14ac:dyDescent="0.25">
      <c r="B105" s="115" t="str">
        <f>IFERROR(INDEX(L_LEAVE,5),"")</f>
        <v>ML</v>
      </c>
      <c r="C105" s="116"/>
      <c r="D105" s="88">
        <f>IF(OR(D$8="",$B105=""),"",COUNTIFS(D$9:D$97,$B105)*INDEX(T_LEAVETYPE[DAY VALUE],1))</f>
        <v>0</v>
      </c>
      <c r="E105" s="88">
        <f>IF(OR(E$8="",$B105=""),"",COUNTIFS(E$9:E$97,$B105)*INDEX(T_LEAVETYPE[DAY VALUE],1))</f>
        <v>0</v>
      </c>
      <c r="F105" s="88">
        <f>IF(OR(F$8="",$B105=""),"",COUNTIFS(F$9:F$97,$B105)*INDEX(T_LEAVETYPE[DAY VALUE],1))</f>
        <v>0</v>
      </c>
      <c r="G105" s="88">
        <f>IF(OR(G$8="",$B105=""),"",COUNTIFS(G$9:G$97,$B105)*INDEX(T_LEAVETYPE[DAY VALUE],1))</f>
        <v>0</v>
      </c>
      <c r="H105" s="88">
        <f>IF(OR(H$8="",$B105=""),"",COUNTIFS(H$9:H$97,$B105)*INDEX(T_LEAVETYPE[DAY VALUE],1))</f>
        <v>0</v>
      </c>
      <c r="I105" s="88">
        <f>IF(OR(I$8="",$B105=""),"",COUNTIFS(I$9:I$97,$B105)*INDEX(T_LEAVETYPE[DAY VALUE],1))</f>
        <v>0</v>
      </c>
      <c r="J105" s="88">
        <f>IF(OR(J$8="",$B105=""),"",COUNTIFS(J$9:J$97,$B105)*INDEX(T_LEAVETYPE[DAY VALUE],1))</f>
        <v>0</v>
      </c>
      <c r="K105" s="88">
        <f>IF(OR(K$8="",$B105=""),"",COUNTIFS(K$9:K$97,$B105)*INDEX(T_LEAVETYPE[DAY VALUE],1))</f>
        <v>0</v>
      </c>
      <c r="L105" s="88">
        <f>IF(OR(L$8="",$B105=""),"",COUNTIFS(L$9:L$97,$B105)*INDEX(T_LEAVETYPE[DAY VALUE],1))</f>
        <v>0</v>
      </c>
      <c r="M105" s="88">
        <f>IF(OR(M$8="",$B105=""),"",COUNTIFS(M$9:M$97,$B105)*INDEX(T_LEAVETYPE[DAY VALUE],1))</f>
        <v>0</v>
      </c>
      <c r="N105" s="88">
        <f>IF(OR(N$8="",$B105=""),"",COUNTIFS(N$9:N$97,$B105)*INDEX(T_LEAVETYPE[DAY VALUE],1))</f>
        <v>0</v>
      </c>
      <c r="O105" s="88">
        <f>IF(OR(O$8="",$B105=""),"",COUNTIFS(O$9:O$97,$B105)*INDEX(T_LEAVETYPE[DAY VALUE],1))</f>
        <v>0</v>
      </c>
      <c r="P105" s="88">
        <f>IF(OR(P$8="",$B105=""),"",COUNTIFS(P$9:P$97,$B105)*INDEX(T_LEAVETYPE[DAY VALUE],1))</f>
        <v>0</v>
      </c>
      <c r="Q105" s="88">
        <f>IF(OR(Q$8="",$B105=""),"",COUNTIFS(Q$9:Q$97,$B105)*INDEX(T_LEAVETYPE[DAY VALUE],1))</f>
        <v>0</v>
      </c>
      <c r="R105" s="88">
        <f>IF(OR(R$8="",$B105=""),"",COUNTIFS(R$9:R$97,$B105)*INDEX(T_LEAVETYPE[DAY VALUE],1))</f>
        <v>0</v>
      </c>
      <c r="S105" s="88">
        <f>IF(OR(S$8="",$B105=""),"",COUNTIFS(S$9:S$97,$B105)*INDEX(T_LEAVETYPE[DAY VALUE],1))</f>
        <v>0</v>
      </c>
      <c r="T105" s="88">
        <f>IF(OR(T$8="",$B105=""),"",COUNTIFS(T$9:T$97,$B105)*INDEX(T_LEAVETYPE[DAY VALUE],1))</f>
        <v>0</v>
      </c>
      <c r="U105" s="88">
        <f>IF(OR(U$8="",$B105=""),"",COUNTIFS(U$9:U$97,$B105)*INDEX(T_LEAVETYPE[DAY VALUE],1))</f>
        <v>0</v>
      </c>
      <c r="V105" s="88">
        <f>IF(OR(V$8="",$B105=""),"",COUNTIFS(V$9:V$97,$B105)*INDEX(T_LEAVETYPE[DAY VALUE],1))</f>
        <v>0</v>
      </c>
      <c r="W105" s="88">
        <f>IF(OR(W$8="",$B105=""),"",COUNTIFS(W$9:W$97,$B105)*INDEX(T_LEAVETYPE[DAY VALUE],1))</f>
        <v>0</v>
      </c>
      <c r="X105" s="88">
        <f>IF(OR(X$8="",$B105=""),"",COUNTIFS(X$9:X$97,$B105)*INDEX(T_LEAVETYPE[DAY VALUE],1))</f>
        <v>0</v>
      </c>
      <c r="Y105" s="88">
        <f>IF(OR(Y$8="",$B105=""),"",COUNTIFS(Y$9:Y$97,$B105)*INDEX(T_LEAVETYPE[DAY VALUE],1))</f>
        <v>0</v>
      </c>
      <c r="Z105" s="88">
        <f>IF(OR(Z$8="",$B105=""),"",COUNTIFS(Z$9:Z$97,$B105)*INDEX(T_LEAVETYPE[DAY VALUE],1))</f>
        <v>0</v>
      </c>
      <c r="AA105" s="88">
        <f>IF(OR(AA$8="",$B105=""),"",COUNTIFS(AA$9:AA$97,$B105)*INDEX(T_LEAVETYPE[DAY VALUE],1))</f>
        <v>0</v>
      </c>
      <c r="AB105" s="88">
        <f>IF(OR(AB$8="",$B105=""),"",COUNTIFS(AB$9:AB$97,$B105)*INDEX(T_LEAVETYPE[DAY VALUE],1))</f>
        <v>0</v>
      </c>
      <c r="AC105" s="88">
        <f>IF(OR(AC$8="",$B105=""),"",COUNTIFS(AC$9:AC$97,$B105)*INDEX(T_LEAVETYPE[DAY VALUE],1))</f>
        <v>0</v>
      </c>
      <c r="AD105" s="88">
        <f>IF(OR(AD$8="",$B105=""),"",COUNTIFS(AD$9:AD$97,$B105)*INDEX(T_LEAVETYPE[DAY VALUE],1))</f>
        <v>0</v>
      </c>
      <c r="AE105" s="88">
        <f>IF(OR(AE$8="",$B105=""),"",COUNTIFS(AE$9:AE$97,$B105)*INDEX(T_LEAVETYPE[DAY VALUE],1))</f>
        <v>0</v>
      </c>
      <c r="AF105" s="88">
        <f>IF(OR(AF$8="",$B105=""),"",COUNTIFS(AF$9:AF$97,$B105)*INDEX(T_LEAVETYPE[DAY VALUE],1))</f>
        <v>0</v>
      </c>
      <c r="AG105" s="88">
        <f>IF(OR(AG$8="",$B105=""),"",COUNTIFS(AG$9:AG$97,$B105)*INDEX(T_LEAVETYPE[DAY VALUE],1))</f>
        <v>0</v>
      </c>
      <c r="AH105" s="88">
        <f>IF(OR(AH$8="",$B105=""),"",COUNTIFS(AH$9:AH$97,$B105)*INDEX(T_LEAVETYPE[DAY VALUE],1))</f>
        <v>0</v>
      </c>
    </row>
    <row r="106" spans="1:44" x14ac:dyDescent="0.25">
      <c r="B106" s="117" t="s">
        <v>68</v>
      </c>
      <c r="C106" s="118"/>
      <c r="D106" s="88">
        <f>IF(OR(D$8="",$B106=""),"",COUNTIFS(D$9:D$97,$B106)*INDEX(T_LEAVETYPE[DAY VALUE],1))</f>
        <v>0</v>
      </c>
      <c r="E106" s="88">
        <f>IF(OR(E$8="",$B106=""),"",COUNTIFS(E$9:E$97,$B106)*INDEX(T_LEAVETYPE[DAY VALUE],1))</f>
        <v>0</v>
      </c>
      <c r="F106" s="88">
        <f>IF(OR(F$8="",$B106=""),"",COUNTIFS(F$9:F$97,$B106)*INDEX(T_LEAVETYPE[DAY VALUE],1))</f>
        <v>0</v>
      </c>
      <c r="G106" s="88">
        <f>IF(OR(G$8="",$B106=""),"",COUNTIFS(G$9:G$97,$B106)*INDEX(T_LEAVETYPE[DAY VALUE],1))</f>
        <v>0</v>
      </c>
      <c r="H106" s="88">
        <f>IF(OR(H$8="",$B106=""),"",COUNTIFS(H$9:H$97,$B106)*INDEX(T_LEAVETYPE[DAY VALUE],1))</f>
        <v>0</v>
      </c>
      <c r="I106" s="88">
        <f>IF(OR(I$8="",$B106=""),"",COUNTIFS(I$9:I$97,$B106)*INDEX(T_LEAVETYPE[DAY VALUE],1))</f>
        <v>0</v>
      </c>
      <c r="J106" s="88">
        <f>IF(OR(J$8="",$B106=""),"",COUNTIFS(J$9:J$97,$B106)*INDEX(T_LEAVETYPE[DAY VALUE],1))</f>
        <v>0</v>
      </c>
      <c r="K106" s="88">
        <f>IF(OR(K$8="",$B106=""),"",COUNTIFS(K$9:K$97,$B106)*INDEX(T_LEAVETYPE[DAY VALUE],1))</f>
        <v>0</v>
      </c>
      <c r="L106" s="88">
        <f>IF(OR(L$8="",$B106=""),"",COUNTIFS(L$9:L$97,$B106)*INDEX(T_LEAVETYPE[DAY VALUE],1))</f>
        <v>0</v>
      </c>
      <c r="M106" s="88">
        <f>IF(OR(M$8="",$B106=""),"",COUNTIFS(M$9:M$97,$B106)*INDEX(T_LEAVETYPE[DAY VALUE],1))</f>
        <v>0</v>
      </c>
      <c r="N106" s="88">
        <f>IF(OR(N$8="",$B106=""),"",COUNTIFS(N$9:N$97,$B106)*INDEX(T_LEAVETYPE[DAY VALUE],1))</f>
        <v>0</v>
      </c>
      <c r="O106" s="88">
        <f>IF(OR(O$8="",$B106=""),"",COUNTIFS(O$9:O$97,$B106)*INDEX(T_LEAVETYPE[DAY VALUE],1))</f>
        <v>0</v>
      </c>
      <c r="P106" s="88">
        <f>IF(OR(P$8="",$B106=""),"",COUNTIFS(P$9:P$97,$B106)*INDEX(T_LEAVETYPE[DAY VALUE],1))</f>
        <v>0</v>
      </c>
      <c r="Q106" s="88">
        <f>IF(OR(Q$8="",$B106=""),"",COUNTIFS(Q$9:Q$97,$B106)*INDEX(T_LEAVETYPE[DAY VALUE],1))</f>
        <v>0</v>
      </c>
      <c r="R106" s="88">
        <f>IF(OR(R$8="",$B106=""),"",COUNTIFS(R$9:R$97,$B106)*INDEX(T_LEAVETYPE[DAY VALUE],1))</f>
        <v>0</v>
      </c>
      <c r="S106" s="88">
        <f>IF(OR(S$8="",$B106=""),"",COUNTIFS(S$9:S$97,$B106)*INDEX(T_LEAVETYPE[DAY VALUE],1))</f>
        <v>0</v>
      </c>
      <c r="T106" s="88">
        <f>IF(OR(T$8="",$B106=""),"",COUNTIFS(T$9:T$97,$B106)*INDEX(T_LEAVETYPE[DAY VALUE],1))</f>
        <v>0</v>
      </c>
      <c r="U106" s="88">
        <f>IF(OR(U$8="",$B106=""),"",COUNTIFS(U$9:U$97,$B106)*INDEX(T_LEAVETYPE[DAY VALUE],1))</f>
        <v>0</v>
      </c>
      <c r="V106" s="88">
        <f>IF(OR(V$8="",$B106=""),"",COUNTIFS(V$9:V$97,$B106)*INDEX(T_LEAVETYPE[DAY VALUE],1))</f>
        <v>0</v>
      </c>
      <c r="W106" s="88">
        <f>IF(OR(W$8="",$B106=""),"",COUNTIFS(W$9:W$97,$B106)*INDEX(T_LEAVETYPE[DAY VALUE],1))</f>
        <v>0</v>
      </c>
      <c r="X106" s="88">
        <f>IF(OR(X$8="",$B106=""),"",COUNTIFS(X$9:X$97,$B106)*INDEX(T_LEAVETYPE[DAY VALUE],1))</f>
        <v>0</v>
      </c>
      <c r="Y106" s="88">
        <f>IF(OR(Y$8="",$B106=""),"",COUNTIFS(Y$9:Y$97,$B106)*INDEX(T_LEAVETYPE[DAY VALUE],1))</f>
        <v>0</v>
      </c>
      <c r="Z106" s="88">
        <f>IF(OR(Z$8="",$B106=""),"",COUNTIFS(Z$9:Z$97,$B106)*INDEX(T_LEAVETYPE[DAY VALUE],1))</f>
        <v>0</v>
      </c>
      <c r="AA106" s="88">
        <f>IF(OR(AA$8="",$B106=""),"",COUNTIFS(AA$9:AA$97,$B106)*INDEX(T_LEAVETYPE[DAY VALUE],1))</f>
        <v>0</v>
      </c>
      <c r="AB106" s="88">
        <f>IF(OR(AB$8="",$B106=""),"",COUNTIFS(AB$9:AB$97,$B106)*INDEX(T_LEAVETYPE[DAY VALUE],1))</f>
        <v>0</v>
      </c>
      <c r="AC106" s="88">
        <f>IF(OR(AC$8="",$B106=""),"",COUNTIFS(AC$9:AC$97,$B106)*INDEX(T_LEAVETYPE[DAY VALUE],1))</f>
        <v>0</v>
      </c>
      <c r="AD106" s="88">
        <f>IF(OR(AD$8="",$B106=""),"",COUNTIFS(AD$9:AD$97,$B106)*INDEX(T_LEAVETYPE[DAY VALUE],1))</f>
        <v>0</v>
      </c>
      <c r="AE106" s="88">
        <f>IF(OR(AE$8="",$B106=""),"",COUNTIFS(AE$9:AE$97,$B106)*INDEX(T_LEAVETYPE[DAY VALUE],1))</f>
        <v>0</v>
      </c>
      <c r="AF106" s="88">
        <f>IF(OR(AF$8="",$B106=""),"",COUNTIFS(AF$9:AF$97,$B106)*INDEX(T_LEAVETYPE[DAY VALUE],1))</f>
        <v>0</v>
      </c>
      <c r="AG106" s="88">
        <f>IF(OR(AG$8="",$B106=""),"",COUNTIFS(AG$9:AG$97,$B106)*INDEX(T_LEAVETYPE[DAY VALUE],1))</f>
        <v>0</v>
      </c>
      <c r="AH106" s="88">
        <f>IF(OR(AH$8="",$B106=""),"",COUNTIFS(AH$9:AH$97,$B106)*INDEX(T_LEAVETYPE[DAY VALUE],1))</f>
        <v>0</v>
      </c>
    </row>
    <row r="107" spans="1:44" x14ac:dyDescent="0.25">
      <c r="B107" s="119" t="s">
        <v>69</v>
      </c>
      <c r="C107" s="120"/>
      <c r="D107" s="88">
        <f>IF(OR(D$8="",$B107=""),"",COUNTIFS(D$9:D$97,$B107)*INDEX(T_LEAVETYPE[DAY VALUE],1))</f>
        <v>0</v>
      </c>
      <c r="E107" s="88">
        <f>IF(OR(E$8="",$B107=""),"",COUNTIFS(E$9:E$97,$B107)*INDEX(T_LEAVETYPE[DAY VALUE],1))</f>
        <v>0</v>
      </c>
      <c r="F107" s="88">
        <f>IF(OR(F$8="",$B107=""),"",COUNTIFS(F$9:F$97,$B107)*INDEX(T_LEAVETYPE[DAY VALUE],1))</f>
        <v>0</v>
      </c>
      <c r="G107" s="88">
        <f>IF(OR(G$8="",$B107=""),"",COUNTIFS(G$9:G$97,$B107)*INDEX(T_LEAVETYPE[DAY VALUE],1))</f>
        <v>0</v>
      </c>
      <c r="H107" s="88">
        <f>IF(OR(H$8="",$B107=""),"",COUNTIFS(H$9:H$97,$B107)*INDEX(T_LEAVETYPE[DAY VALUE],1))</f>
        <v>0</v>
      </c>
      <c r="I107" s="88">
        <f>IF(OR(I$8="",$B107=""),"",COUNTIFS(I$9:I$97,$B107)*INDEX(T_LEAVETYPE[DAY VALUE],1))</f>
        <v>0</v>
      </c>
      <c r="J107" s="88">
        <f>IF(OR(J$8="",$B107=""),"",COUNTIFS(J$9:J$97,$B107)*INDEX(T_LEAVETYPE[DAY VALUE],1))</f>
        <v>0</v>
      </c>
      <c r="K107" s="88">
        <f>IF(OR(K$8="",$B107=""),"",COUNTIFS(K$9:K$97,$B107)*INDEX(T_LEAVETYPE[DAY VALUE],1))</f>
        <v>0</v>
      </c>
      <c r="L107" s="88">
        <f>IF(OR(L$8="",$B107=""),"",COUNTIFS(L$9:L$97,$B107)*INDEX(T_LEAVETYPE[DAY VALUE],1))</f>
        <v>0</v>
      </c>
      <c r="M107" s="88">
        <f>IF(OR(M$8="",$B107=""),"",COUNTIFS(M$9:M$97,$B107)*INDEX(T_LEAVETYPE[DAY VALUE],1))</f>
        <v>0</v>
      </c>
      <c r="N107" s="88">
        <f>IF(OR(N$8="",$B107=""),"",COUNTIFS(N$9:N$97,$B107)*INDEX(T_LEAVETYPE[DAY VALUE],1))</f>
        <v>0</v>
      </c>
      <c r="O107" s="88">
        <f>IF(OR(O$8="",$B107=""),"",COUNTIFS(O$9:O$97,$B107)*INDEX(T_LEAVETYPE[DAY VALUE],1))</f>
        <v>0</v>
      </c>
      <c r="P107" s="88">
        <f>IF(OR(P$8="",$B107=""),"",COUNTIFS(P$9:P$97,$B107)*INDEX(T_LEAVETYPE[DAY VALUE],1))</f>
        <v>0</v>
      </c>
      <c r="Q107" s="88">
        <f>IF(OR(Q$8="",$B107=""),"",COUNTIFS(Q$9:Q$97,$B107)*INDEX(T_LEAVETYPE[DAY VALUE],1))</f>
        <v>0</v>
      </c>
      <c r="R107" s="88">
        <f>IF(OR(R$8="",$B107=""),"",COUNTIFS(R$9:R$97,$B107)*INDEX(T_LEAVETYPE[DAY VALUE],1))</f>
        <v>0</v>
      </c>
      <c r="S107" s="88">
        <f>IF(OR(S$8="",$B107=""),"",COUNTIFS(S$9:S$97,$B107)*INDEX(T_LEAVETYPE[DAY VALUE],1))</f>
        <v>0</v>
      </c>
      <c r="T107" s="88">
        <f>IF(OR(T$8="",$B107=""),"",COUNTIFS(T$9:T$97,$B107)*INDEX(T_LEAVETYPE[DAY VALUE],1))</f>
        <v>0</v>
      </c>
      <c r="U107" s="88">
        <f>IF(OR(U$8="",$B107=""),"",COUNTIFS(U$9:U$97,$B107)*INDEX(T_LEAVETYPE[DAY VALUE],1))</f>
        <v>0</v>
      </c>
      <c r="V107" s="88">
        <f>IF(OR(V$8="",$B107=""),"",COUNTIFS(V$9:V$97,$B107)*INDEX(T_LEAVETYPE[DAY VALUE],1))</f>
        <v>0</v>
      </c>
      <c r="W107" s="88">
        <f>IF(OR(W$8="",$B107=""),"",COUNTIFS(W$9:W$97,$B107)*INDEX(T_LEAVETYPE[DAY VALUE],1))</f>
        <v>0</v>
      </c>
      <c r="X107" s="88">
        <f>IF(OR(X$8="",$B107=""),"",COUNTIFS(X$9:X$97,$B107)*INDEX(T_LEAVETYPE[DAY VALUE],1))</f>
        <v>0</v>
      </c>
      <c r="Y107" s="88">
        <f>IF(OR(Y$8="",$B107=""),"",COUNTIFS(Y$9:Y$97,$B107)*INDEX(T_LEAVETYPE[DAY VALUE],1))</f>
        <v>0</v>
      </c>
      <c r="Z107" s="88">
        <f>IF(OR(Z$8="",$B107=""),"",COUNTIFS(Z$9:Z$97,$B107)*INDEX(T_LEAVETYPE[DAY VALUE],1))</f>
        <v>0</v>
      </c>
      <c r="AA107" s="88">
        <f>IF(OR(AA$8="",$B107=""),"",COUNTIFS(AA$9:AA$97,$B107)*INDEX(T_LEAVETYPE[DAY VALUE],1))</f>
        <v>0</v>
      </c>
      <c r="AB107" s="88">
        <f>IF(OR(AB$8="",$B107=""),"",COUNTIFS(AB$9:AB$97,$B107)*INDEX(T_LEAVETYPE[DAY VALUE],1))</f>
        <v>0</v>
      </c>
      <c r="AC107" s="88">
        <f>IF(OR(AC$8="",$B107=""),"",COUNTIFS(AC$9:AC$97,$B107)*INDEX(T_LEAVETYPE[DAY VALUE],1))</f>
        <v>0</v>
      </c>
      <c r="AD107" s="88">
        <f>IF(OR(AD$8="",$B107=""),"",COUNTIFS(AD$9:AD$97,$B107)*INDEX(T_LEAVETYPE[DAY VALUE],1))</f>
        <v>0</v>
      </c>
      <c r="AE107" s="88">
        <f>IF(OR(AE$8="",$B107=""),"",COUNTIFS(AE$9:AE$97,$B107)*INDEX(T_LEAVETYPE[DAY VALUE],1))</f>
        <v>0</v>
      </c>
      <c r="AF107" s="88">
        <f>IF(OR(AF$8="",$B107=""),"",COUNTIFS(AF$9:AF$97,$B107)*INDEX(T_LEAVETYPE[DAY VALUE],1))</f>
        <v>0</v>
      </c>
      <c r="AG107" s="88">
        <f>IF(OR(AG$8="",$B107=""),"",COUNTIFS(AG$9:AG$97,$B107)*INDEX(T_LEAVETYPE[DAY VALUE],1))</f>
        <v>0</v>
      </c>
      <c r="AH107" s="88">
        <f>IF(OR(AH$8="",$B107=""),"",COUNTIFS(AH$9:AH$97,$B107)*INDEX(T_LEAVETYPE[DAY VALUE],1))</f>
        <v>0</v>
      </c>
    </row>
    <row r="108" spans="1:44" x14ac:dyDescent="0.25">
      <c r="B108" s="95" t="s">
        <v>55</v>
      </c>
      <c r="C108" s="96"/>
      <c r="D108" s="88">
        <f>IF(OR(D$8="",$B108=""),"",COUNTIFS(D$9:D$97,$B108)*INDEX(T_LEAVETYPE[DAY VALUE],1))</f>
        <v>0</v>
      </c>
      <c r="E108" s="88">
        <f>IF(OR(E$8="",$B108=""),"",COUNTIFS(E$9:E$97,$B108)*INDEX(T_LEAVETYPE[DAY VALUE],1))</f>
        <v>0</v>
      </c>
      <c r="F108" s="88">
        <f>IF(OR(F$8="",$B108=""),"",COUNTIFS(F$9:F$97,$B108)*INDEX(T_LEAVETYPE[DAY VALUE],1))</f>
        <v>0</v>
      </c>
      <c r="G108" s="88">
        <f>IF(OR(G$8="",$B108=""),"",COUNTIFS(G$9:G$97,$B108)*INDEX(T_LEAVETYPE[DAY VALUE],1))</f>
        <v>0</v>
      </c>
      <c r="H108" s="88">
        <f>IF(OR(H$8="",$B108=""),"",COUNTIFS(H$9:H$97,$B108)*INDEX(T_LEAVETYPE[DAY VALUE],1))</f>
        <v>0</v>
      </c>
      <c r="I108" s="88">
        <f>IF(OR(I$8="",$B108=""),"",COUNTIFS(I$9:I$97,$B108)*INDEX(T_LEAVETYPE[DAY VALUE],1))</f>
        <v>0</v>
      </c>
      <c r="J108" s="88">
        <f>IF(OR(J$8="",$B108=""),"",COUNTIFS(J$9:J$97,$B108)*INDEX(T_LEAVETYPE[DAY VALUE],1))</f>
        <v>0</v>
      </c>
      <c r="K108" s="88">
        <f>IF(OR(K$8="",$B108=""),"",COUNTIFS(K$9:K$97,$B108)*INDEX(T_LEAVETYPE[DAY VALUE],1))</f>
        <v>0</v>
      </c>
      <c r="L108" s="88">
        <f>IF(OR(L$8="",$B108=""),"",COUNTIFS(L$9:L$97,$B108)*INDEX(T_LEAVETYPE[DAY VALUE],1))</f>
        <v>0</v>
      </c>
      <c r="M108" s="88">
        <f>IF(OR(M$8="",$B108=""),"",COUNTIFS(M$9:M$97,$B108)*INDEX(T_LEAVETYPE[DAY VALUE],1))</f>
        <v>0</v>
      </c>
      <c r="N108" s="88">
        <f>IF(OR(N$8="",$B108=""),"",COUNTIFS(N$9:N$97,$B108)*INDEX(T_LEAVETYPE[DAY VALUE],1))</f>
        <v>0</v>
      </c>
      <c r="O108" s="88">
        <f>IF(OR(O$8="",$B108=""),"",COUNTIFS(O$9:O$97,$B108)*INDEX(T_LEAVETYPE[DAY VALUE],1))</f>
        <v>0</v>
      </c>
      <c r="P108" s="88">
        <f>IF(OR(P$8="",$B108=""),"",COUNTIFS(P$9:P$97,$B108)*INDEX(T_LEAVETYPE[DAY VALUE],1))</f>
        <v>0</v>
      </c>
      <c r="Q108" s="88">
        <f>IF(OR(Q$8="",$B108=""),"",COUNTIFS(Q$9:Q$97,$B108)*INDEX(T_LEAVETYPE[DAY VALUE],1))</f>
        <v>0</v>
      </c>
      <c r="R108" s="88">
        <f>IF(OR(R$8="",$B108=""),"",COUNTIFS(R$9:R$97,$B108)*INDEX(T_LEAVETYPE[DAY VALUE],1))</f>
        <v>0</v>
      </c>
      <c r="S108" s="88">
        <f>IF(OR(S$8="",$B108=""),"",COUNTIFS(S$9:S$97,$B108)*INDEX(T_LEAVETYPE[DAY VALUE],1))</f>
        <v>0</v>
      </c>
      <c r="T108" s="88">
        <f>IF(OR(T$8="",$B108=""),"",COUNTIFS(T$9:T$97,$B108)*INDEX(T_LEAVETYPE[DAY VALUE],1))</f>
        <v>0</v>
      </c>
      <c r="U108" s="88">
        <f>IF(OR(U$8="",$B108=""),"",COUNTIFS(U$9:U$97,$B108)*INDEX(T_LEAVETYPE[DAY VALUE],1))</f>
        <v>0</v>
      </c>
      <c r="V108" s="88">
        <f>IF(OR(V$8="",$B108=""),"",COUNTIFS(V$9:V$97,$B108)*INDEX(T_LEAVETYPE[DAY VALUE],1))</f>
        <v>0</v>
      </c>
      <c r="W108" s="88">
        <f>IF(OR(W$8="",$B108=""),"",COUNTIFS(W$9:W$97,$B108)*INDEX(T_LEAVETYPE[DAY VALUE],1))</f>
        <v>0</v>
      </c>
      <c r="X108" s="88">
        <f>IF(OR(X$8="",$B108=""),"",COUNTIFS(X$9:X$97,$B108)*INDEX(T_LEAVETYPE[DAY VALUE],1))</f>
        <v>0</v>
      </c>
      <c r="Y108" s="88">
        <f>IF(OR(Y$8="",$B108=""),"",COUNTIFS(Y$9:Y$97,$B108)*INDEX(T_LEAVETYPE[DAY VALUE],1))</f>
        <v>0</v>
      </c>
      <c r="Z108" s="88">
        <f>IF(OR(Z$8="",$B108=""),"",COUNTIFS(Z$9:Z$97,$B108)*INDEX(T_LEAVETYPE[DAY VALUE],1))</f>
        <v>0</v>
      </c>
      <c r="AA108" s="88">
        <f>IF(OR(AA$8="",$B108=""),"",COUNTIFS(AA$9:AA$97,$B108)*INDEX(T_LEAVETYPE[DAY VALUE],1))</f>
        <v>0</v>
      </c>
      <c r="AB108" s="88">
        <f>IF(OR(AB$8="",$B108=""),"",COUNTIFS(AB$9:AB$97,$B108)*INDEX(T_LEAVETYPE[DAY VALUE],1))</f>
        <v>0</v>
      </c>
      <c r="AC108" s="88">
        <f>IF(OR(AC$8="",$B108=""),"",COUNTIFS(AC$9:AC$97,$B108)*INDEX(T_LEAVETYPE[DAY VALUE],1))</f>
        <v>0</v>
      </c>
      <c r="AD108" s="88">
        <f>IF(OR(AD$8="",$B108=""),"",COUNTIFS(AD$9:AD$97,$B108)*INDEX(T_LEAVETYPE[DAY VALUE],1))</f>
        <v>0</v>
      </c>
      <c r="AE108" s="88">
        <f>IF(OR(AE$8="",$B108=""),"",COUNTIFS(AE$9:AE$97,$B108)*INDEX(T_LEAVETYPE[DAY VALUE],1))</f>
        <v>0</v>
      </c>
      <c r="AF108" s="88">
        <f>IF(OR(AF$8="",$B108=""),"",COUNTIFS(AF$9:AF$97,$B108)*INDEX(T_LEAVETYPE[DAY VALUE],1))</f>
        <v>0</v>
      </c>
      <c r="AG108" s="88">
        <f>IF(OR(AG$8="",$B108=""),"",COUNTIFS(AG$9:AG$97,$B108)*INDEX(T_LEAVETYPE[DAY VALUE],1))</f>
        <v>0</v>
      </c>
      <c r="AH108" s="88">
        <f>IF(OR(AH$8="",$B108=""),"",COUNTIFS(AH$9:AH$97,$B108)*INDEX(T_LEAVETYPE[DAY VALUE],1))</f>
        <v>0</v>
      </c>
    </row>
    <row r="109" spans="1:44" x14ac:dyDescent="0.25">
      <c r="B109" s="97" t="s">
        <v>66</v>
      </c>
      <c r="C109" s="98"/>
      <c r="D109" s="88">
        <f>IF(D100="","",SUM(D101:D108))</f>
        <v>0</v>
      </c>
      <c r="E109" s="88">
        <f t="shared" ref="E109:AH109" si="8">IF(E100="","",SUM(E101:E108))</f>
        <v>0</v>
      </c>
      <c r="F109" s="88">
        <f t="shared" si="8"/>
        <v>0</v>
      </c>
      <c r="G109" s="88">
        <f t="shared" si="8"/>
        <v>0</v>
      </c>
      <c r="H109" s="88">
        <f t="shared" si="8"/>
        <v>0</v>
      </c>
      <c r="I109" s="88">
        <f t="shared" si="8"/>
        <v>0</v>
      </c>
      <c r="J109" s="88">
        <f t="shared" si="8"/>
        <v>0</v>
      </c>
      <c r="K109" s="88">
        <f t="shared" si="8"/>
        <v>0</v>
      </c>
      <c r="L109" s="88">
        <f t="shared" si="8"/>
        <v>0</v>
      </c>
      <c r="M109" s="88">
        <f t="shared" si="8"/>
        <v>0</v>
      </c>
      <c r="N109" s="88">
        <f t="shared" si="8"/>
        <v>0</v>
      </c>
      <c r="O109" s="88">
        <f t="shared" si="8"/>
        <v>0</v>
      </c>
      <c r="P109" s="88">
        <f t="shared" si="8"/>
        <v>0</v>
      </c>
      <c r="Q109" s="88">
        <f t="shared" si="8"/>
        <v>0</v>
      </c>
      <c r="R109" s="88">
        <f t="shared" si="8"/>
        <v>0</v>
      </c>
      <c r="S109" s="88">
        <f t="shared" si="8"/>
        <v>0</v>
      </c>
      <c r="T109" s="88">
        <f t="shared" si="8"/>
        <v>0</v>
      </c>
      <c r="U109" s="88">
        <f t="shared" si="8"/>
        <v>0</v>
      </c>
      <c r="V109" s="88">
        <f t="shared" si="8"/>
        <v>0</v>
      </c>
      <c r="W109" s="88">
        <f t="shared" si="8"/>
        <v>0</v>
      </c>
      <c r="X109" s="88">
        <f t="shared" si="8"/>
        <v>0</v>
      </c>
      <c r="Y109" s="88">
        <f t="shared" si="8"/>
        <v>0</v>
      </c>
      <c r="Z109" s="88">
        <f t="shared" si="8"/>
        <v>0</v>
      </c>
      <c r="AA109" s="88">
        <f t="shared" si="8"/>
        <v>0</v>
      </c>
      <c r="AB109" s="88">
        <f t="shared" si="8"/>
        <v>0</v>
      </c>
      <c r="AC109" s="88">
        <f t="shared" si="8"/>
        <v>0</v>
      </c>
      <c r="AD109" s="88">
        <f t="shared" si="8"/>
        <v>0</v>
      </c>
      <c r="AE109" s="88">
        <f t="shared" si="8"/>
        <v>0</v>
      </c>
      <c r="AF109" s="88">
        <f t="shared" si="8"/>
        <v>0</v>
      </c>
      <c r="AG109" s="88">
        <f t="shared" si="8"/>
        <v>0</v>
      </c>
      <c r="AH109" s="88">
        <f t="shared" si="8"/>
        <v>0</v>
      </c>
    </row>
  </sheetData>
  <sheetProtection sheet="1" objects="1" scenarios="1"/>
  <mergeCells count="15">
    <mergeCell ref="B108:C108"/>
    <mergeCell ref="B109:C109"/>
    <mergeCell ref="B99:C100"/>
    <mergeCell ref="B2:C2"/>
    <mergeCell ref="B3:C3"/>
    <mergeCell ref="B4:C4"/>
    <mergeCell ref="B5:C5"/>
    <mergeCell ref="B6:C6"/>
    <mergeCell ref="B103:C103"/>
    <mergeCell ref="B104:C104"/>
    <mergeCell ref="B105:C105"/>
    <mergeCell ref="B106:C106"/>
    <mergeCell ref="B107:C107"/>
    <mergeCell ref="B101:C101"/>
    <mergeCell ref="B102:C102"/>
  </mergeCells>
  <conditionalFormatting sqref="AI9:AR42">
    <cfRule type="expression" dxfId="174" priority="269">
      <formula>MOD(ROW(AJ9),2)=0</formula>
    </cfRule>
  </conditionalFormatting>
  <conditionalFormatting sqref="AJ8:AM8 AQ8">
    <cfRule type="expression" dxfId="173" priority="252">
      <formula>AJ8=""</formula>
    </cfRule>
  </conditionalFormatting>
  <conditionalFormatting sqref="AR9:AR42">
    <cfRule type="expression" dxfId="172" priority="271">
      <formula>MOD(ROW(#REF!),2)=0</formula>
    </cfRule>
  </conditionalFormatting>
  <conditionalFormatting sqref="AE3">
    <cfRule type="expression" dxfId="171" priority="241" stopIfTrue="1">
      <formula>AE3="NA"</formula>
    </cfRule>
    <cfRule type="expression" dxfId="170" priority="242" stopIfTrue="1">
      <formula>AE3="NE"</formula>
    </cfRule>
    <cfRule type="expression" dxfId="169" priority="243" stopIfTrue="1">
      <formula>AE3="H"</formula>
    </cfRule>
    <cfRule type="expression" dxfId="168" priority="244" stopIfTrue="1">
      <formula>AE3="WKND"</formula>
    </cfRule>
    <cfRule type="expression" dxfId="167" priority="245">
      <formula>AE3=INDEX(L_LEAVE,5)</formula>
    </cfRule>
    <cfRule type="expression" dxfId="166" priority="246">
      <formula>AE3=INDEX(L_LEAVE,4)</formula>
    </cfRule>
    <cfRule type="expression" dxfId="165" priority="247">
      <formula>AE3=INDEX(L_LEAVE,3)</formula>
    </cfRule>
    <cfRule type="expression" dxfId="164" priority="248">
      <formula>AE3=INDEX(L_LEAVE,2)</formula>
    </cfRule>
    <cfRule type="expression" dxfId="163" priority="249">
      <formula>AE3=INDEX(L_LEAVE,1)</formula>
    </cfRule>
    <cfRule type="expression" dxfId="162" priority="250">
      <formula>MOD(COLUMN(AE3),2)=0</formula>
    </cfRule>
  </conditionalFormatting>
  <conditionalFormatting sqref="AE3">
    <cfRule type="expression" dxfId="161" priority="251">
      <formula>MOD(ROW(AF3),2)=0</formula>
    </cfRule>
  </conditionalFormatting>
  <conditionalFormatting sqref="AM9:AM42">
    <cfRule type="expression" dxfId="160" priority="274">
      <formula>MOD(ROW(AQ9),2)=0</formula>
    </cfRule>
  </conditionalFormatting>
  <conditionalFormatting sqref="AN9:AN42">
    <cfRule type="expression" dxfId="159" priority="240">
      <formula>MOD(ROW(AQ9),2)=0</formula>
    </cfRule>
  </conditionalFormatting>
  <conditionalFormatting sqref="AN8">
    <cfRule type="expression" dxfId="158" priority="239">
      <formula>AN8=""</formula>
    </cfRule>
  </conditionalFormatting>
  <conditionalFormatting sqref="AO9:AO42 B9:B42">
    <cfRule type="expression" dxfId="157" priority="238">
      <formula>MOD(ROW(D9),2)=0</formula>
    </cfRule>
  </conditionalFormatting>
  <conditionalFormatting sqref="AO8">
    <cfRule type="expression" dxfId="156" priority="237">
      <formula>AO8=""</formula>
    </cfRule>
  </conditionalFormatting>
  <conditionalFormatting sqref="AP9:AP42">
    <cfRule type="expression" dxfId="155" priority="236">
      <formula>MOD(ROW(AQ9),2)=0</formula>
    </cfRule>
  </conditionalFormatting>
  <conditionalFormatting sqref="AP8">
    <cfRule type="expression" dxfId="154" priority="235">
      <formula>AP8=""</formula>
    </cfRule>
  </conditionalFormatting>
  <conditionalFormatting sqref="D9:AH42">
    <cfRule type="expression" dxfId="153" priority="204">
      <formula>D9=INDEX(L_LEAVE,7)</formula>
    </cfRule>
    <cfRule type="expression" dxfId="152" priority="205">
      <formula>D9=INDEX(L_LEAVE,6)</formula>
    </cfRule>
    <cfRule type="expression" dxfId="151" priority="206">
      <formula>D9=INDEX(L_LEAVE,5)</formula>
    </cfRule>
    <cfRule type="expression" dxfId="150" priority="207" stopIfTrue="1">
      <formula>D9="NA"</formula>
    </cfRule>
    <cfRule type="expression" dxfId="149" priority="208" stopIfTrue="1">
      <formula>D9="NE"</formula>
    </cfRule>
    <cfRule type="expression" dxfId="148" priority="209" stopIfTrue="1">
      <formula>D9="H"</formula>
    </cfRule>
    <cfRule type="expression" dxfId="147" priority="210" stopIfTrue="1">
      <formula>D9="WKND"</formula>
    </cfRule>
    <cfRule type="expression" dxfId="146" priority="211">
      <formula>D9=INDEX(L_LEAVE,8)</formula>
    </cfRule>
    <cfRule type="expression" dxfId="145" priority="212">
      <formula>D9=INDEX(L_LEAVE,4)</formula>
    </cfRule>
    <cfRule type="expression" dxfId="144" priority="213">
      <formula>D9=INDEX(L_LEAVE,3)</formula>
    </cfRule>
    <cfRule type="expression" dxfId="143" priority="214">
      <formula>D9=INDEX(L_LEAVE,2)</formula>
    </cfRule>
    <cfRule type="expression" dxfId="142" priority="215">
      <formula>D9=INDEX(L_LEAVE,1)</formula>
    </cfRule>
    <cfRule type="expression" dxfId="141" priority="216">
      <formula>MOD(COLUMN(D9),2)=0</formula>
    </cfRule>
  </conditionalFormatting>
  <conditionalFormatting sqref="D9:AH42">
    <cfRule type="expression" dxfId="140" priority="217">
      <formula>MOD(ROW(E9),2)=0</formula>
    </cfRule>
  </conditionalFormatting>
  <conditionalFormatting sqref="B101:B104 B108">
    <cfRule type="expression" dxfId="139" priority="197">
      <formula>B101=""</formula>
    </cfRule>
  </conditionalFormatting>
  <conditionalFormatting sqref="B105">
    <cfRule type="expression" dxfId="138" priority="196">
      <formula>B105=""</formula>
    </cfRule>
  </conditionalFormatting>
  <conditionalFormatting sqref="B106">
    <cfRule type="expression" dxfId="137" priority="195">
      <formula>B106=""</formula>
    </cfRule>
  </conditionalFormatting>
  <conditionalFormatting sqref="B107">
    <cfRule type="expression" dxfId="136" priority="194">
      <formula>B107=""</formula>
    </cfRule>
  </conditionalFormatting>
  <conditionalFormatting sqref="D101:AH109">
    <cfRule type="expression" dxfId="135" priority="193">
      <formula>MOD(ROW(E101),2)=0</formula>
    </cfRule>
  </conditionalFormatting>
  <conditionalFormatting sqref="D9:AH42">
    <cfRule type="expression" dxfId="134" priority="165">
      <formula>D9=INDEX(L_LEAVE,7)</formula>
    </cfRule>
    <cfRule type="expression" dxfId="133" priority="166">
      <formula>D9=INDEX(L_LEAVE,6)</formula>
    </cfRule>
    <cfRule type="expression" dxfId="132" priority="167">
      <formula>D9=INDEX(L_LEAVE,5)</formula>
    </cfRule>
    <cfRule type="expression" dxfId="131" priority="168" stopIfTrue="1">
      <formula>D9="NA"</formula>
    </cfRule>
    <cfRule type="expression" dxfId="130" priority="169" stopIfTrue="1">
      <formula>D9="NE"</formula>
    </cfRule>
    <cfRule type="expression" dxfId="129" priority="170" stopIfTrue="1">
      <formula>D9="H"</formula>
    </cfRule>
    <cfRule type="expression" dxfId="128" priority="171" stopIfTrue="1">
      <formula>D9="WKND"</formula>
    </cfRule>
    <cfRule type="expression" dxfId="127" priority="172">
      <formula>D9=INDEX(L_LEAVE,8)</formula>
    </cfRule>
    <cfRule type="expression" dxfId="126" priority="173">
      <formula>D9=INDEX(L_LEAVE,4)</formula>
    </cfRule>
    <cfRule type="expression" dxfId="125" priority="174">
      <formula>D9=INDEX(L_LEAVE,3)</formula>
    </cfRule>
    <cfRule type="expression" dxfId="124" priority="175">
      <formula>D9=INDEX(L_LEAVE,2)</formula>
    </cfRule>
    <cfRule type="expression" dxfId="123" priority="176">
      <formula>D9=INDEX(L_LEAVE,1)</formula>
    </cfRule>
    <cfRule type="expression" dxfId="122" priority="177">
      <formula>MOD(COLUMN(D9),2)=0</formula>
    </cfRule>
  </conditionalFormatting>
  <conditionalFormatting sqref="D9:AH42">
    <cfRule type="expression" dxfId="121" priority="178">
      <formula>MOD(ROW(E9),2)=0</formula>
    </cfRule>
  </conditionalFormatting>
  <conditionalFormatting sqref="AI43:AR97">
    <cfRule type="expression" dxfId="120" priority="80">
      <formula>MOD(ROW(AJ43),2)=0</formula>
    </cfRule>
  </conditionalFormatting>
  <conditionalFormatting sqref="AR43:AR97">
    <cfRule type="expression" dxfId="119" priority="81">
      <formula>MOD(ROW(#REF!),2)=0</formula>
    </cfRule>
  </conditionalFormatting>
  <conditionalFormatting sqref="AM43:AM97">
    <cfRule type="expression" dxfId="118" priority="82">
      <formula>MOD(ROW(AQ43),2)=0</formula>
    </cfRule>
  </conditionalFormatting>
  <conditionalFormatting sqref="AN43:AN97">
    <cfRule type="expression" dxfId="117" priority="79">
      <formula>MOD(ROW(AQ43),2)=0</formula>
    </cfRule>
  </conditionalFormatting>
  <conditionalFormatting sqref="B43:B97 AO43:AO97">
    <cfRule type="expression" dxfId="116" priority="78">
      <formula>MOD(ROW(D43),2)=0</formula>
    </cfRule>
  </conditionalFormatting>
  <conditionalFormatting sqref="AP43:AP97">
    <cfRule type="expression" dxfId="115" priority="77">
      <formula>MOD(ROW(AQ43),2)=0</formula>
    </cfRule>
  </conditionalFormatting>
  <conditionalFormatting sqref="D43:AH97">
    <cfRule type="expression" dxfId="114" priority="62">
      <formula>D43=INDEX(L_LEAVE,7)</formula>
    </cfRule>
    <cfRule type="expression" dxfId="113" priority="63">
      <formula>D43=INDEX(L_LEAVE,6)</formula>
    </cfRule>
    <cfRule type="expression" dxfId="112" priority="64">
      <formula>D43=INDEX(L_LEAVE,5)</formula>
    </cfRule>
    <cfRule type="expression" dxfId="111" priority="65" stopIfTrue="1">
      <formula>D43="NA"</formula>
    </cfRule>
    <cfRule type="expression" dxfId="110" priority="66" stopIfTrue="1">
      <formula>D43="NE"</formula>
    </cfRule>
    <cfRule type="expression" dxfId="109" priority="67" stopIfTrue="1">
      <formula>D43="H"</formula>
    </cfRule>
    <cfRule type="expression" dxfId="108" priority="68" stopIfTrue="1">
      <formula>D43="WKND"</formula>
    </cfRule>
    <cfRule type="expression" dxfId="107" priority="69">
      <formula>D43=INDEX(L_LEAVE,8)</formula>
    </cfRule>
    <cfRule type="expression" dxfId="106" priority="70">
      <formula>D43=INDEX(L_LEAVE,4)</formula>
    </cfRule>
    <cfRule type="expression" dxfId="105" priority="71">
      <formula>D43=INDEX(L_LEAVE,3)</formula>
    </cfRule>
    <cfRule type="expression" dxfId="104" priority="72">
      <formula>D43=INDEX(L_LEAVE,2)</formula>
    </cfRule>
    <cfRule type="expression" dxfId="103" priority="73">
      <formula>D43=INDEX(L_LEAVE,1)</formula>
    </cfRule>
    <cfRule type="expression" dxfId="102" priority="74">
      <formula>MOD(COLUMN(D43),2)=0</formula>
    </cfRule>
  </conditionalFormatting>
  <conditionalFormatting sqref="D43:AH97">
    <cfRule type="expression" dxfId="101" priority="75">
      <formula>MOD(ROW(E43),2)=0</formula>
    </cfRule>
  </conditionalFormatting>
  <conditionalFormatting sqref="D43:AH97">
    <cfRule type="expression" dxfId="100" priority="42">
      <formula>D43=INDEX(L_LEAVE,7)</formula>
    </cfRule>
    <cfRule type="expression" dxfId="99" priority="43">
      <formula>D43=INDEX(L_LEAVE,6)</formula>
    </cfRule>
    <cfRule type="expression" dxfId="98" priority="44">
      <formula>D43=INDEX(L_LEAVE,5)</formula>
    </cfRule>
    <cfRule type="expression" dxfId="97" priority="45" stopIfTrue="1">
      <formula>D43="NA"</formula>
    </cfRule>
    <cfRule type="expression" dxfId="96" priority="46" stopIfTrue="1">
      <formula>D43="NE"</formula>
    </cfRule>
    <cfRule type="expression" dxfId="95" priority="47" stopIfTrue="1">
      <formula>D43="H"</formula>
    </cfRule>
    <cfRule type="expression" dxfId="94" priority="48" stopIfTrue="1">
      <formula>D43="WKND"</formula>
    </cfRule>
    <cfRule type="expression" dxfId="93" priority="49">
      <formula>D43=INDEX(L_LEAVE,8)</formula>
    </cfRule>
    <cfRule type="expression" dxfId="92" priority="50">
      <formula>D43=INDEX(L_LEAVE,4)</formula>
    </cfRule>
    <cfRule type="expression" dxfId="91" priority="51">
      <formula>D43=INDEX(L_LEAVE,3)</formula>
    </cfRule>
    <cfRule type="expression" dxfId="90" priority="52">
      <formula>D43=INDEX(L_LEAVE,2)</formula>
    </cfRule>
    <cfRule type="expression" dxfId="89" priority="53">
      <formula>D43=INDEX(L_LEAVE,1)</formula>
    </cfRule>
    <cfRule type="expression" dxfId="88" priority="54">
      <formula>MOD(COLUMN(D43),2)=0</formula>
    </cfRule>
  </conditionalFormatting>
  <conditionalFormatting sqref="D43:AH97">
    <cfRule type="expression" dxfId="87" priority="55">
      <formula>MOD(ROW(E43),2)=0</formula>
    </cfRule>
  </conditionalFormatting>
  <dataValidations count="1">
    <dataValidation type="list" allowBlank="1" showInputMessage="1" showErrorMessage="1" sqref="B6" xr:uid="{2AF72456-EE00-4A05-B111-6B53B5ADC64E}">
      <formula1>L_MTHS</formula1>
    </dataValidation>
  </dataValidations>
  <pageMargins left="0.7" right="0.7" top="0.75" bottom="0.75" header="0.3" footer="0.3"/>
  <pageSetup orientation="portrait" r:id="rId1"/>
  <ignoredErrors>
    <ignoredError sqref="AQ8:AR8 AJ8:AO8 AJ9:AN9 AR9 D101:AH108 AJ7:AQ7 D109:AH109 AO9:AQ42 AR10:AR42 AJ10:AN42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0C2A3-D42F-4245-84CA-FF8DA9BAC538}">
  <sheetPr codeName="Sheet6">
    <tabColor theme="4"/>
  </sheetPr>
  <dimension ref="A2:AS25"/>
  <sheetViews>
    <sheetView showGridLines="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Y17" sqref="Y17"/>
    </sheetView>
  </sheetViews>
  <sheetFormatPr defaultRowHeight="15" x14ac:dyDescent="0.25"/>
  <cols>
    <col min="1" max="1" width="2.7109375" style="4" customWidth="1"/>
    <col min="2" max="2" width="30.7109375" style="4" customWidth="1"/>
    <col min="3" max="33" width="4.7109375" style="4" customWidth="1"/>
    <col min="34" max="34" width="1.28515625" style="4" customWidth="1"/>
    <col min="35" max="35" width="1.42578125" style="4" customWidth="1"/>
    <col min="36" max="43" width="9.7109375" style="4" customWidth="1"/>
    <col min="44" max="44" width="11" style="4" bestFit="1" customWidth="1"/>
    <col min="45" max="45" width="1.85546875" style="4" customWidth="1"/>
    <col min="46" max="16384" width="9.140625" style="4"/>
  </cols>
  <sheetData>
    <row r="2" spans="1:45" x14ac:dyDescent="0.25">
      <c r="B2" s="29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3"/>
      <c r="AI2" s="2"/>
      <c r="AJ2" s="2"/>
      <c r="AK2" s="2"/>
      <c r="AL2" s="2"/>
      <c r="AM2" s="2"/>
      <c r="AN2" s="2"/>
      <c r="AO2" s="2"/>
      <c r="AP2" s="2"/>
      <c r="AQ2" s="2"/>
      <c r="AR2" s="2"/>
      <c r="AS2" s="3"/>
    </row>
    <row r="3" spans="1:45" x14ac:dyDescent="0.25">
      <c r="B3" s="37" t="s">
        <v>8</v>
      </c>
      <c r="AH3" s="6"/>
      <c r="AJ3" s="30"/>
      <c r="AK3" s="5" t="s">
        <v>60</v>
      </c>
      <c r="AL3" s="126" t="str">
        <f>IFERROR(IF(INDEX(L_EMPSTDT,MATCH(B6,L_EMPS,0))="","NA",INDEX(L_EMPSTDT,MATCH(B6,L_EMPS,0))),"")</f>
        <v/>
      </c>
      <c r="AM3" s="126"/>
      <c r="AR3" s="5" t="str">
        <f>IFERROR(IF(#REF!&lt;&gt;"","Termination Date",""),"")</f>
        <v/>
      </c>
      <c r="AS3" s="31"/>
    </row>
    <row r="4" spans="1:45" x14ac:dyDescent="0.25">
      <c r="B4" s="42">
        <v>2021</v>
      </c>
      <c r="AH4" s="6"/>
      <c r="AS4" s="6"/>
    </row>
    <row r="5" spans="1:45" ht="15" customHeight="1" x14ac:dyDescent="0.25">
      <c r="B5" s="37" t="s">
        <v>61</v>
      </c>
      <c r="AB5" s="55" t="s">
        <v>9</v>
      </c>
      <c r="AC5" s="32" t="s">
        <v>10</v>
      </c>
      <c r="AH5" s="6"/>
      <c r="AJ5" s="127">
        <f t="shared" ref="AJ5:AQ5" ca="1" si="0">IF(AJ8="","",SUM(AJ12:AJ23))</f>
        <v>0</v>
      </c>
      <c r="AK5" s="128">
        <f t="shared" ca="1" si="0"/>
        <v>0</v>
      </c>
      <c r="AL5" s="129">
        <f t="shared" ca="1" si="0"/>
        <v>0</v>
      </c>
      <c r="AM5" s="130">
        <f t="shared" ca="1" si="0"/>
        <v>0</v>
      </c>
      <c r="AN5" s="132">
        <f t="shared" ca="1" si="0"/>
        <v>0</v>
      </c>
      <c r="AO5" s="133">
        <f t="shared" ca="1" si="0"/>
        <v>0</v>
      </c>
      <c r="AP5" s="134">
        <f t="shared" ca="1" si="0"/>
        <v>0</v>
      </c>
      <c r="AQ5" s="131">
        <f t="shared" ca="1" si="0"/>
        <v>0</v>
      </c>
      <c r="AR5" s="125">
        <f ca="1">SUM(AR12:AR23)</f>
        <v>0</v>
      </c>
      <c r="AS5" s="6"/>
    </row>
    <row r="6" spans="1:45" ht="15" customHeight="1" x14ac:dyDescent="0.25">
      <c r="B6" s="42"/>
      <c r="AB6" s="7" t="s">
        <v>13</v>
      </c>
      <c r="AC6" s="4" t="s">
        <v>14</v>
      </c>
      <c r="AH6" s="6"/>
      <c r="AJ6" s="127"/>
      <c r="AK6" s="128"/>
      <c r="AL6" s="129"/>
      <c r="AM6" s="130"/>
      <c r="AN6" s="132"/>
      <c r="AO6" s="133"/>
      <c r="AP6" s="134"/>
      <c r="AQ6" s="131"/>
      <c r="AR6" s="125"/>
      <c r="AS6" s="6"/>
    </row>
    <row r="7" spans="1:45" ht="15" customHeight="1" x14ac:dyDescent="0.25">
      <c r="B7" s="37" t="s">
        <v>2</v>
      </c>
      <c r="AB7" s="8" t="s">
        <v>16</v>
      </c>
      <c r="AC7" s="4" t="s">
        <v>17</v>
      </c>
      <c r="AH7" s="6"/>
      <c r="AJ7" s="127"/>
      <c r="AK7" s="128"/>
      <c r="AL7" s="129"/>
      <c r="AM7" s="130"/>
      <c r="AN7" s="132"/>
      <c r="AO7" s="133"/>
      <c r="AP7" s="134"/>
      <c r="AQ7" s="131"/>
      <c r="AR7" s="125"/>
      <c r="AS7" s="6"/>
    </row>
    <row r="8" spans="1:45" x14ac:dyDescent="0.25">
      <c r="B8" s="53">
        <f ca="1">TODAY()</f>
        <v>45552</v>
      </c>
      <c r="AH8" s="6"/>
      <c r="AJ8" s="50" t="str">
        <f t="shared" ref="AJ8:AR8" si="1">AJ11</f>
        <v>VL</v>
      </c>
      <c r="AK8" s="50" t="str">
        <f t="shared" si="1"/>
        <v>SL</v>
      </c>
      <c r="AL8" s="50" t="str">
        <f t="shared" si="1"/>
        <v>UL</v>
      </c>
      <c r="AM8" s="50" t="str">
        <f t="shared" si="1"/>
        <v>HD</v>
      </c>
      <c r="AN8" s="50" t="str">
        <f t="shared" si="1"/>
        <v>ML</v>
      </c>
      <c r="AO8" s="50" t="str">
        <f t="shared" si="1"/>
        <v>PL</v>
      </c>
      <c r="AP8" s="50" t="str">
        <f t="shared" si="1"/>
        <v>LOA</v>
      </c>
      <c r="AQ8" s="50" t="str">
        <f t="shared" si="1"/>
        <v>O</v>
      </c>
      <c r="AR8" s="50" t="str">
        <f t="shared" si="1"/>
        <v>Total</v>
      </c>
      <c r="AS8" s="6"/>
    </row>
    <row r="9" spans="1:45" x14ac:dyDescent="0.25">
      <c r="B9" s="12"/>
      <c r="AH9" s="6"/>
      <c r="AJ9" s="50"/>
      <c r="AK9" s="50"/>
      <c r="AL9" s="50"/>
      <c r="AM9" s="50"/>
      <c r="AN9" s="50"/>
      <c r="AO9" s="50"/>
      <c r="AP9" s="50"/>
      <c r="AQ9" s="50"/>
      <c r="AR9" s="50"/>
      <c r="AS9" s="6"/>
    </row>
    <row r="10" spans="1:45" x14ac:dyDescent="0.25">
      <c r="B10" s="14"/>
      <c r="C10" s="46">
        <f>C11</f>
        <v>1</v>
      </c>
      <c r="D10" s="46">
        <f t="shared" ref="D10:AG10" si="2">D11</f>
        <v>2</v>
      </c>
      <c r="E10" s="46">
        <f t="shared" si="2"/>
        <v>3</v>
      </c>
      <c r="F10" s="46">
        <f t="shared" si="2"/>
        <v>4</v>
      </c>
      <c r="G10" s="46">
        <f t="shared" si="2"/>
        <v>5</v>
      </c>
      <c r="H10" s="46">
        <f t="shared" si="2"/>
        <v>6</v>
      </c>
      <c r="I10" s="46">
        <f t="shared" si="2"/>
        <v>7</v>
      </c>
      <c r="J10" s="46">
        <f t="shared" si="2"/>
        <v>8</v>
      </c>
      <c r="K10" s="46">
        <f t="shared" si="2"/>
        <v>9</v>
      </c>
      <c r="L10" s="46">
        <f t="shared" si="2"/>
        <v>10</v>
      </c>
      <c r="M10" s="46">
        <f t="shared" si="2"/>
        <v>11</v>
      </c>
      <c r="N10" s="46">
        <f t="shared" si="2"/>
        <v>12</v>
      </c>
      <c r="O10" s="46">
        <f t="shared" si="2"/>
        <v>13</v>
      </c>
      <c r="P10" s="46">
        <f t="shared" si="2"/>
        <v>14</v>
      </c>
      <c r="Q10" s="46">
        <f t="shared" si="2"/>
        <v>15</v>
      </c>
      <c r="R10" s="46">
        <f t="shared" si="2"/>
        <v>16</v>
      </c>
      <c r="S10" s="46">
        <f t="shared" si="2"/>
        <v>17</v>
      </c>
      <c r="T10" s="46">
        <f t="shared" si="2"/>
        <v>18</v>
      </c>
      <c r="U10" s="46">
        <f t="shared" si="2"/>
        <v>19</v>
      </c>
      <c r="V10" s="46">
        <f t="shared" si="2"/>
        <v>20</v>
      </c>
      <c r="W10" s="46">
        <f t="shared" si="2"/>
        <v>21</v>
      </c>
      <c r="X10" s="46">
        <f t="shared" si="2"/>
        <v>22</v>
      </c>
      <c r="Y10" s="46">
        <f t="shared" si="2"/>
        <v>23</v>
      </c>
      <c r="Z10" s="46">
        <f t="shared" si="2"/>
        <v>24</v>
      </c>
      <c r="AA10" s="46">
        <f t="shared" si="2"/>
        <v>25</v>
      </c>
      <c r="AB10" s="46">
        <f t="shared" si="2"/>
        <v>26</v>
      </c>
      <c r="AC10" s="46">
        <f t="shared" si="2"/>
        <v>27</v>
      </c>
      <c r="AD10" s="46">
        <f t="shared" si="2"/>
        <v>28</v>
      </c>
      <c r="AE10" s="46">
        <f t="shared" si="2"/>
        <v>29</v>
      </c>
      <c r="AF10" s="46">
        <f t="shared" si="2"/>
        <v>30</v>
      </c>
      <c r="AG10" s="46">
        <f t="shared" si="2"/>
        <v>31</v>
      </c>
      <c r="AH10" s="6"/>
      <c r="AS10" s="6"/>
    </row>
    <row r="11" spans="1:45" x14ac:dyDescent="0.25">
      <c r="B11" s="15" t="s">
        <v>12</v>
      </c>
      <c r="C11" s="41">
        <v>1</v>
      </c>
      <c r="D11" s="41">
        <v>2</v>
      </c>
      <c r="E11" s="41">
        <v>3</v>
      </c>
      <c r="F11" s="41">
        <v>4</v>
      </c>
      <c r="G11" s="41">
        <v>5</v>
      </c>
      <c r="H11" s="41">
        <v>6</v>
      </c>
      <c r="I11" s="41">
        <v>7</v>
      </c>
      <c r="J11" s="41">
        <v>8</v>
      </c>
      <c r="K11" s="41">
        <v>9</v>
      </c>
      <c r="L11" s="41">
        <v>10</v>
      </c>
      <c r="M11" s="41">
        <v>11</v>
      </c>
      <c r="N11" s="41">
        <v>12</v>
      </c>
      <c r="O11" s="41">
        <v>13</v>
      </c>
      <c r="P11" s="41">
        <v>14</v>
      </c>
      <c r="Q11" s="41">
        <v>15</v>
      </c>
      <c r="R11" s="41">
        <v>16</v>
      </c>
      <c r="S11" s="41">
        <v>17</v>
      </c>
      <c r="T11" s="41">
        <v>18</v>
      </c>
      <c r="U11" s="41">
        <v>19</v>
      </c>
      <c r="V11" s="41">
        <v>20</v>
      </c>
      <c r="W11" s="41">
        <v>21</v>
      </c>
      <c r="X11" s="41">
        <v>22</v>
      </c>
      <c r="Y11" s="41">
        <v>23</v>
      </c>
      <c r="Z11" s="41">
        <v>24</v>
      </c>
      <c r="AA11" s="41">
        <v>25</v>
      </c>
      <c r="AB11" s="41">
        <v>26</v>
      </c>
      <c r="AC11" s="41">
        <v>27</v>
      </c>
      <c r="AD11" s="41">
        <v>28</v>
      </c>
      <c r="AE11" s="41">
        <v>29</v>
      </c>
      <c r="AF11" s="41">
        <v>30</v>
      </c>
      <c r="AG11" s="41">
        <v>31</v>
      </c>
      <c r="AH11" s="33"/>
      <c r="AI11" s="34"/>
      <c r="AJ11" s="59" t="s">
        <v>50</v>
      </c>
      <c r="AK11" s="60" t="s">
        <v>51</v>
      </c>
      <c r="AL11" s="61" t="s">
        <v>53</v>
      </c>
      <c r="AM11" s="62" t="s">
        <v>54</v>
      </c>
      <c r="AN11" s="63" t="s">
        <v>67</v>
      </c>
      <c r="AO11" s="64" t="s">
        <v>68</v>
      </c>
      <c r="AP11" s="65" t="s">
        <v>69</v>
      </c>
      <c r="AQ11" s="66" t="s">
        <v>55</v>
      </c>
      <c r="AR11" s="67" t="s">
        <v>66</v>
      </c>
      <c r="AS11" s="6"/>
    </row>
    <row r="12" spans="1:45" ht="15.75" x14ac:dyDescent="0.25">
      <c r="A12" s="51">
        <v>1</v>
      </c>
      <c r="B12" s="54">
        <f t="shared" ref="B12:B23" si="3">DATE($B$4,ROW(B12)-ROW($B$11),1)</f>
        <v>44197</v>
      </c>
      <c r="C12" s="55" t="str">
        <f ca="1">IFERROR(IF(MONTH(DATE(I_RPT_YR,$A12,C$11))&lt;&gt;$A12,"NA",IF(DATE(I_RPT_YR,$A12,C$11)&gt;I_RPT_ED,"NA",IF(NOT(ISERROR(MATCH(DATE($B$4,$A12,C$11),L_HOLS,0))),"H",IF(INDEX(L_WKNDVAL,WEEKDAY(DATE($B$4,$A12,C$11),1))=1,"WKND",INDEX(T_LEAVE[LEAVE CODE],SUMPRODUCT(--(T_LEAVE[NAME]=I_RPT_EMP),--(T_LEAVE[DATE]&lt;=DATE($B$4,$A12,C$11)),--(T_LEAVE[DATE]&gt;=DATE($B$4,$A12,C$11)),ROW(T_LEAVE[LEAVE CODE]))-ROW(T_LEAVE[#Headers])))))),"")</f>
        <v>H</v>
      </c>
      <c r="D12" s="55" t="str">
        <f ca="1">IFERROR(IF(MONTH(DATE(I_RPT_YR,$A12,D$11))&lt;&gt;$A12,"NA",IF(DATE(I_RPT_YR,$A12,D$11)&gt;I_RPT_ED,"NA",IF(NOT(ISERROR(MATCH(DATE($B$4,$A12,D$11),L_HOLS,0))),"H",IF(INDEX(L_WKNDVAL,WEEKDAY(DATE($B$4,$A12,D$11),1))=1,"WKND",INDEX(T_LEAVE[LEAVE CODE],SUMPRODUCT(--(T_LEAVE[NAME]=I_RPT_EMP),--(T_LEAVE[DATE]&lt;=DATE($B$4,$A12,D$11)),--(T_LEAVE[DATE]&gt;=DATE($B$4,$A12,D$11)),ROW(T_LEAVE[LEAVE CODE]))-ROW(T_LEAVE[#Headers])))))),"")</f>
        <v/>
      </c>
      <c r="E12" s="55" t="str">
        <f ca="1">IFERROR(IF(MONTH(DATE(I_RPT_YR,$A12,E$11))&lt;&gt;$A12,"NA",IF(DATE(I_RPT_YR,$A12,E$11)&gt;I_RPT_ED,"NA",IF(NOT(ISERROR(MATCH(DATE($B$4,$A12,E$11),L_HOLS,0))),"H",IF(INDEX(L_WKNDVAL,WEEKDAY(DATE($B$4,$A12,E$11),1))=1,"WKND",INDEX(T_LEAVE[LEAVE CODE],SUMPRODUCT(--(T_LEAVE[NAME]=I_RPT_EMP),--(T_LEAVE[DATE]&lt;=DATE($B$4,$A12,E$11)),--(T_LEAVE[DATE]&gt;=DATE($B$4,$A12,E$11)),ROW(T_LEAVE[LEAVE CODE]))-ROW(T_LEAVE[#Headers])))))),"")</f>
        <v/>
      </c>
      <c r="F12" s="55" t="str">
        <f ca="1">IFERROR(IF(MONTH(DATE(I_RPT_YR,$A12,F$11))&lt;&gt;$A12,"NA",IF(DATE(I_RPT_YR,$A12,F$11)&gt;I_RPT_ED,"NA",IF(NOT(ISERROR(MATCH(DATE($B$4,$A12,F$11),L_HOLS,0))),"H",IF(INDEX(L_WKNDVAL,WEEKDAY(DATE($B$4,$A12,F$11),1))=1,"WKND",INDEX(T_LEAVE[LEAVE CODE],SUMPRODUCT(--(T_LEAVE[NAME]=I_RPT_EMP),--(T_LEAVE[DATE]&lt;=DATE($B$4,$A12,F$11)),--(T_LEAVE[DATE]&gt;=DATE($B$4,$A12,F$11)),ROW(T_LEAVE[LEAVE CODE]))-ROW(T_LEAVE[#Headers])))))),"")</f>
        <v/>
      </c>
      <c r="G12" s="55" t="str">
        <f ca="1">IFERROR(IF(MONTH(DATE(I_RPT_YR,$A12,G$11))&lt;&gt;$A12,"NA",IF(DATE(I_RPT_YR,$A12,G$11)&gt;I_RPT_ED,"NA",IF(NOT(ISERROR(MATCH(DATE($B$4,$A12,G$11),L_HOLS,0))),"H",IF(INDEX(L_WKNDVAL,WEEKDAY(DATE($B$4,$A12,G$11),1))=1,"WKND",INDEX(T_LEAVE[LEAVE CODE],SUMPRODUCT(--(T_LEAVE[NAME]=I_RPT_EMP),--(T_LEAVE[DATE]&lt;=DATE($B$4,$A12,G$11)),--(T_LEAVE[DATE]&gt;=DATE($B$4,$A12,G$11)),ROW(T_LEAVE[LEAVE CODE]))-ROW(T_LEAVE[#Headers])))))),"")</f>
        <v/>
      </c>
      <c r="H12" s="55" t="str">
        <f ca="1">IFERROR(IF(MONTH(DATE(I_RPT_YR,$A12,H$11))&lt;&gt;$A12,"NA",IF(DATE(I_RPT_YR,$A12,H$11)&gt;I_RPT_ED,"NA",IF(NOT(ISERROR(MATCH(DATE($B$4,$A12,H$11),L_HOLS,0))),"H",IF(INDEX(L_WKNDVAL,WEEKDAY(DATE($B$4,$A12,H$11),1))=1,"WKND",INDEX(T_LEAVE[LEAVE CODE],SUMPRODUCT(--(T_LEAVE[NAME]=I_RPT_EMP),--(T_LEAVE[DATE]&lt;=DATE($B$4,$A12,H$11)),--(T_LEAVE[DATE]&gt;=DATE($B$4,$A12,H$11)),ROW(T_LEAVE[LEAVE CODE]))-ROW(T_LEAVE[#Headers])))))),"")</f>
        <v/>
      </c>
      <c r="I12" s="55" t="str">
        <f ca="1">IFERROR(IF(MONTH(DATE(I_RPT_YR,$A12,I$11))&lt;&gt;$A12,"NA",IF(DATE(I_RPT_YR,$A12,I$11)&gt;I_RPT_ED,"NA",IF(NOT(ISERROR(MATCH(DATE($B$4,$A12,I$11),L_HOLS,0))),"H",IF(INDEX(L_WKNDVAL,WEEKDAY(DATE($B$4,$A12,I$11),1))=1,"WKND",INDEX(T_LEAVE[LEAVE CODE],SUMPRODUCT(--(T_LEAVE[NAME]=I_RPT_EMP),--(T_LEAVE[DATE]&lt;=DATE($B$4,$A12,I$11)),--(T_LEAVE[DATE]&gt;=DATE($B$4,$A12,I$11)),ROW(T_LEAVE[LEAVE CODE]))-ROW(T_LEAVE[#Headers])))))),"")</f>
        <v/>
      </c>
      <c r="J12" s="55" t="str">
        <f ca="1">IFERROR(IF(MONTH(DATE(I_RPT_YR,$A12,J$11))&lt;&gt;$A12,"NA",IF(DATE(I_RPT_YR,$A12,J$11)&gt;I_RPT_ED,"NA",IF(NOT(ISERROR(MATCH(DATE($B$4,$A12,J$11),L_HOLS,0))),"H",IF(INDEX(L_WKNDVAL,WEEKDAY(DATE($B$4,$A12,J$11),1))=1,"WKND",INDEX(T_LEAVE[LEAVE CODE],SUMPRODUCT(--(T_LEAVE[NAME]=I_RPT_EMP),--(T_LEAVE[DATE]&lt;=DATE($B$4,$A12,J$11)),--(T_LEAVE[DATE]&gt;=DATE($B$4,$A12,J$11)),ROW(T_LEAVE[LEAVE CODE]))-ROW(T_LEAVE[#Headers])))))),"")</f>
        <v/>
      </c>
      <c r="K12" s="55" t="str">
        <f ca="1">IFERROR(IF(MONTH(DATE(I_RPT_YR,$A12,K$11))&lt;&gt;$A12,"NA",IF(DATE(I_RPT_YR,$A12,K$11)&gt;I_RPT_ED,"NA",IF(NOT(ISERROR(MATCH(DATE($B$4,$A12,K$11),L_HOLS,0))),"H",IF(INDEX(L_WKNDVAL,WEEKDAY(DATE($B$4,$A12,K$11),1))=1,"WKND",INDEX(T_LEAVE[LEAVE CODE],SUMPRODUCT(--(T_LEAVE[NAME]=I_RPT_EMP),--(T_LEAVE[DATE]&lt;=DATE($B$4,$A12,K$11)),--(T_LEAVE[DATE]&gt;=DATE($B$4,$A12,K$11)),ROW(T_LEAVE[LEAVE CODE]))-ROW(T_LEAVE[#Headers])))))),"")</f>
        <v/>
      </c>
      <c r="L12" s="55" t="str">
        <f ca="1">IFERROR(IF(MONTH(DATE(I_RPT_YR,$A12,L$11))&lt;&gt;$A12,"NA",IF(DATE(I_RPT_YR,$A12,L$11)&gt;I_RPT_ED,"NA",IF(NOT(ISERROR(MATCH(DATE($B$4,$A12,L$11),L_HOLS,0))),"H",IF(INDEX(L_WKNDVAL,WEEKDAY(DATE($B$4,$A12,L$11),1))=1,"WKND",INDEX(T_LEAVE[LEAVE CODE],SUMPRODUCT(--(T_LEAVE[NAME]=I_RPT_EMP),--(T_LEAVE[DATE]&lt;=DATE($B$4,$A12,L$11)),--(T_LEAVE[DATE]&gt;=DATE($B$4,$A12,L$11)),ROW(T_LEAVE[LEAVE CODE]))-ROW(T_LEAVE[#Headers])))))),"")</f>
        <v/>
      </c>
      <c r="M12" s="55" t="str">
        <f ca="1">IFERROR(IF(MONTH(DATE(I_RPT_YR,$A12,M$11))&lt;&gt;$A12,"NA",IF(DATE(I_RPT_YR,$A12,M$11)&gt;I_RPT_ED,"NA",IF(NOT(ISERROR(MATCH(DATE($B$4,$A12,M$11),L_HOLS,0))),"H",IF(INDEX(L_WKNDVAL,WEEKDAY(DATE($B$4,$A12,M$11),1))=1,"WKND",INDEX(T_LEAVE[LEAVE CODE],SUMPRODUCT(--(T_LEAVE[NAME]=I_RPT_EMP),--(T_LEAVE[DATE]&lt;=DATE($B$4,$A12,M$11)),--(T_LEAVE[DATE]&gt;=DATE($B$4,$A12,M$11)),ROW(T_LEAVE[LEAVE CODE]))-ROW(T_LEAVE[#Headers])))))),"")</f>
        <v/>
      </c>
      <c r="N12" s="55" t="str">
        <f ca="1">IFERROR(IF(MONTH(DATE(I_RPT_YR,$A12,N$11))&lt;&gt;$A12,"NA",IF(DATE(I_RPT_YR,$A12,N$11)&gt;I_RPT_ED,"NA",IF(NOT(ISERROR(MATCH(DATE($B$4,$A12,N$11),L_HOLS,0))),"H",IF(INDEX(L_WKNDVAL,WEEKDAY(DATE($B$4,$A12,N$11),1))=1,"WKND",INDEX(T_LEAVE[LEAVE CODE],SUMPRODUCT(--(T_LEAVE[NAME]=I_RPT_EMP),--(T_LEAVE[DATE]&lt;=DATE($B$4,$A12,N$11)),--(T_LEAVE[DATE]&gt;=DATE($B$4,$A12,N$11)),ROW(T_LEAVE[LEAVE CODE]))-ROW(T_LEAVE[#Headers])))))),"")</f>
        <v/>
      </c>
      <c r="O12" s="55" t="str">
        <f ca="1">IFERROR(IF(MONTH(DATE(I_RPT_YR,$A12,O$11))&lt;&gt;$A12,"NA",IF(DATE(I_RPT_YR,$A12,O$11)&gt;I_RPT_ED,"NA",IF(NOT(ISERROR(MATCH(DATE($B$4,$A12,O$11),L_HOLS,0))),"H",IF(INDEX(L_WKNDVAL,WEEKDAY(DATE($B$4,$A12,O$11),1))=1,"WKND",INDEX(T_LEAVE[LEAVE CODE],SUMPRODUCT(--(T_LEAVE[NAME]=I_RPT_EMP),--(T_LEAVE[DATE]&lt;=DATE($B$4,$A12,O$11)),--(T_LEAVE[DATE]&gt;=DATE($B$4,$A12,O$11)),ROW(T_LEAVE[LEAVE CODE]))-ROW(T_LEAVE[#Headers])))))),"")</f>
        <v/>
      </c>
      <c r="P12" s="55" t="str">
        <f ca="1">IFERROR(IF(MONTH(DATE(I_RPT_YR,$A12,P$11))&lt;&gt;$A12,"NA",IF(DATE(I_RPT_YR,$A12,P$11)&gt;I_RPT_ED,"NA",IF(NOT(ISERROR(MATCH(DATE($B$4,$A12,P$11),L_HOLS,0))),"H",IF(INDEX(L_WKNDVAL,WEEKDAY(DATE($B$4,$A12,P$11),1))=1,"WKND",INDEX(T_LEAVE[LEAVE CODE],SUMPRODUCT(--(T_LEAVE[NAME]=I_RPT_EMP),--(T_LEAVE[DATE]&lt;=DATE($B$4,$A12,P$11)),--(T_LEAVE[DATE]&gt;=DATE($B$4,$A12,P$11)),ROW(T_LEAVE[LEAVE CODE]))-ROW(T_LEAVE[#Headers])))))),"")</f>
        <v/>
      </c>
      <c r="Q12" s="55" t="str">
        <f ca="1">IFERROR(IF(MONTH(DATE(I_RPT_YR,$A12,Q$11))&lt;&gt;$A12,"NA",IF(DATE(I_RPT_YR,$A12,Q$11)&gt;I_RPT_ED,"NA",IF(NOT(ISERROR(MATCH(DATE($B$4,$A12,Q$11),L_HOLS,0))),"H",IF(INDEX(L_WKNDVAL,WEEKDAY(DATE($B$4,$A12,Q$11),1))=1,"WKND",INDEX(T_LEAVE[LEAVE CODE],SUMPRODUCT(--(T_LEAVE[NAME]=I_RPT_EMP),--(T_LEAVE[DATE]&lt;=DATE($B$4,$A12,Q$11)),--(T_LEAVE[DATE]&gt;=DATE($B$4,$A12,Q$11)),ROW(T_LEAVE[LEAVE CODE]))-ROW(T_LEAVE[#Headers])))))),"")</f>
        <v/>
      </c>
      <c r="R12" s="55" t="str">
        <f ca="1">IFERROR(IF(MONTH(DATE(I_RPT_YR,$A12,R$11))&lt;&gt;$A12,"NA",IF(DATE(I_RPT_YR,$A12,R$11)&gt;I_RPT_ED,"NA",IF(NOT(ISERROR(MATCH(DATE($B$4,$A12,R$11),L_HOLS,0))),"H",IF(INDEX(L_WKNDVAL,WEEKDAY(DATE($B$4,$A12,R$11),1))=1,"WKND",INDEX(T_LEAVE[LEAVE CODE],SUMPRODUCT(--(T_LEAVE[NAME]=I_RPT_EMP),--(T_LEAVE[DATE]&lt;=DATE($B$4,$A12,R$11)),--(T_LEAVE[DATE]&gt;=DATE($B$4,$A12,R$11)),ROW(T_LEAVE[LEAVE CODE]))-ROW(T_LEAVE[#Headers])))))),"")</f>
        <v/>
      </c>
      <c r="S12" s="55" t="str">
        <f ca="1">IFERROR(IF(MONTH(DATE(I_RPT_YR,$A12,S$11))&lt;&gt;$A12,"NA",IF(DATE(I_RPT_YR,$A12,S$11)&gt;I_RPT_ED,"NA",IF(NOT(ISERROR(MATCH(DATE($B$4,$A12,S$11),L_HOLS,0))),"H",IF(INDEX(L_WKNDVAL,WEEKDAY(DATE($B$4,$A12,S$11),1))=1,"WKND",INDEX(T_LEAVE[LEAVE CODE],SUMPRODUCT(--(T_LEAVE[NAME]=I_RPT_EMP),--(T_LEAVE[DATE]&lt;=DATE($B$4,$A12,S$11)),--(T_LEAVE[DATE]&gt;=DATE($B$4,$A12,S$11)),ROW(T_LEAVE[LEAVE CODE]))-ROW(T_LEAVE[#Headers])))))),"")</f>
        <v/>
      </c>
      <c r="T12" s="55" t="str">
        <f ca="1">IFERROR(IF(MONTH(DATE(I_RPT_YR,$A12,T$11))&lt;&gt;$A12,"NA",IF(DATE(I_RPT_YR,$A12,T$11)&gt;I_RPT_ED,"NA",IF(NOT(ISERROR(MATCH(DATE($B$4,$A12,T$11),L_HOLS,0))),"H",IF(INDEX(L_WKNDVAL,WEEKDAY(DATE($B$4,$A12,T$11),1))=1,"WKND",INDEX(T_LEAVE[LEAVE CODE],SUMPRODUCT(--(T_LEAVE[NAME]=I_RPT_EMP),--(T_LEAVE[DATE]&lt;=DATE($B$4,$A12,T$11)),--(T_LEAVE[DATE]&gt;=DATE($B$4,$A12,T$11)),ROW(T_LEAVE[LEAVE CODE]))-ROW(T_LEAVE[#Headers])))))),"")</f>
        <v/>
      </c>
      <c r="U12" s="55" t="str">
        <f ca="1">IFERROR(IF(MONTH(DATE(I_RPT_YR,$A12,U$11))&lt;&gt;$A12,"NA",IF(DATE(I_RPT_YR,$A12,U$11)&gt;I_RPT_ED,"NA",IF(NOT(ISERROR(MATCH(DATE($B$4,$A12,U$11),L_HOLS,0))),"H",IF(INDEX(L_WKNDVAL,WEEKDAY(DATE($B$4,$A12,U$11),1))=1,"WKND",INDEX(T_LEAVE[LEAVE CODE],SUMPRODUCT(--(T_LEAVE[NAME]=I_RPT_EMP),--(T_LEAVE[DATE]&lt;=DATE($B$4,$A12,U$11)),--(T_LEAVE[DATE]&gt;=DATE($B$4,$A12,U$11)),ROW(T_LEAVE[LEAVE CODE]))-ROW(T_LEAVE[#Headers])))))),"")</f>
        <v/>
      </c>
      <c r="V12" s="55" t="str">
        <f ca="1">IFERROR(IF(MONTH(DATE(I_RPT_YR,$A12,V$11))&lt;&gt;$A12,"NA",IF(DATE(I_RPT_YR,$A12,V$11)&gt;I_RPT_ED,"NA",IF(NOT(ISERROR(MATCH(DATE($B$4,$A12,V$11),L_HOLS,0))),"H",IF(INDEX(L_WKNDVAL,WEEKDAY(DATE($B$4,$A12,V$11),1))=1,"WKND",INDEX(T_LEAVE[LEAVE CODE],SUMPRODUCT(--(T_LEAVE[NAME]=I_RPT_EMP),--(T_LEAVE[DATE]&lt;=DATE($B$4,$A12,V$11)),--(T_LEAVE[DATE]&gt;=DATE($B$4,$A12,V$11)),ROW(T_LEAVE[LEAVE CODE]))-ROW(T_LEAVE[#Headers])))))),"")</f>
        <v/>
      </c>
      <c r="W12" s="55" t="str">
        <f ca="1">IFERROR(IF(MONTH(DATE(I_RPT_YR,$A12,W$11))&lt;&gt;$A12,"NA",IF(DATE(I_RPT_YR,$A12,W$11)&gt;I_RPT_ED,"NA",IF(NOT(ISERROR(MATCH(DATE($B$4,$A12,W$11),L_HOLS,0))),"H",IF(INDEX(L_WKNDVAL,WEEKDAY(DATE($B$4,$A12,W$11),1))=1,"WKND",INDEX(T_LEAVE[LEAVE CODE],SUMPRODUCT(--(T_LEAVE[NAME]=I_RPT_EMP),--(T_LEAVE[DATE]&lt;=DATE($B$4,$A12,W$11)),--(T_LEAVE[DATE]&gt;=DATE($B$4,$A12,W$11)),ROW(T_LEAVE[LEAVE CODE]))-ROW(T_LEAVE[#Headers])))))),"")</f>
        <v/>
      </c>
      <c r="X12" s="55" t="str">
        <f ca="1">IFERROR(IF(MONTH(DATE(I_RPT_YR,$A12,X$11))&lt;&gt;$A12,"NA",IF(DATE(I_RPT_YR,$A12,X$11)&gt;I_RPT_ED,"NA",IF(NOT(ISERROR(MATCH(DATE($B$4,$A12,X$11),L_HOLS,0))),"H",IF(INDEX(L_WKNDVAL,WEEKDAY(DATE($B$4,$A12,X$11),1))=1,"WKND",INDEX(T_LEAVE[LEAVE CODE],SUMPRODUCT(--(T_LEAVE[NAME]=I_RPT_EMP),--(T_LEAVE[DATE]&lt;=DATE($B$4,$A12,X$11)),--(T_LEAVE[DATE]&gt;=DATE($B$4,$A12,X$11)),ROW(T_LEAVE[LEAVE CODE]))-ROW(T_LEAVE[#Headers])))))),"")</f>
        <v/>
      </c>
      <c r="Y12" s="55" t="str">
        <f ca="1">IFERROR(IF(MONTH(DATE(I_RPT_YR,$A12,Y$11))&lt;&gt;$A12,"NA",IF(DATE(I_RPT_YR,$A12,Y$11)&gt;I_RPT_ED,"NA",IF(NOT(ISERROR(MATCH(DATE($B$4,$A12,Y$11),L_HOLS,0))),"H",IF(INDEX(L_WKNDVAL,WEEKDAY(DATE($B$4,$A12,Y$11),1))=1,"WKND",INDEX(T_LEAVE[LEAVE CODE],SUMPRODUCT(--(T_LEAVE[NAME]=I_RPT_EMP),--(T_LEAVE[DATE]&lt;=DATE($B$4,$A12,Y$11)),--(T_LEAVE[DATE]&gt;=DATE($B$4,$A12,Y$11)),ROW(T_LEAVE[LEAVE CODE]))-ROW(T_LEAVE[#Headers])))))),"")</f>
        <v>H</v>
      </c>
      <c r="Z12" s="55" t="str">
        <f ca="1">IFERROR(IF(MONTH(DATE(I_RPT_YR,$A12,Z$11))&lt;&gt;$A12,"NA",IF(DATE(I_RPT_YR,$A12,Z$11)&gt;I_RPT_ED,"NA",IF(NOT(ISERROR(MATCH(DATE($B$4,$A12,Z$11),L_HOLS,0))),"H",IF(INDEX(L_WKNDVAL,WEEKDAY(DATE($B$4,$A12,Z$11),1))=1,"WKND",INDEX(T_LEAVE[LEAVE CODE],SUMPRODUCT(--(T_LEAVE[NAME]=I_RPT_EMP),--(T_LEAVE[DATE]&lt;=DATE($B$4,$A12,Z$11)),--(T_LEAVE[DATE]&gt;=DATE($B$4,$A12,Z$11)),ROW(T_LEAVE[LEAVE CODE]))-ROW(T_LEAVE[#Headers])))))),"")</f>
        <v/>
      </c>
      <c r="AA12" s="55" t="str">
        <f ca="1">IFERROR(IF(MONTH(DATE(I_RPT_YR,$A12,AA$11))&lt;&gt;$A12,"NA",IF(DATE(I_RPT_YR,$A12,AA$11)&gt;I_RPT_ED,"NA",IF(NOT(ISERROR(MATCH(DATE($B$4,$A12,AA$11),L_HOLS,0))),"H",IF(INDEX(L_WKNDVAL,WEEKDAY(DATE($B$4,$A12,AA$11),1))=1,"WKND",INDEX(T_LEAVE[LEAVE CODE],SUMPRODUCT(--(T_LEAVE[NAME]=I_RPT_EMP),--(T_LEAVE[DATE]&lt;=DATE($B$4,$A12,AA$11)),--(T_LEAVE[DATE]&gt;=DATE($B$4,$A12,AA$11)),ROW(T_LEAVE[LEAVE CODE]))-ROW(T_LEAVE[#Headers])))))),"")</f>
        <v/>
      </c>
      <c r="AB12" s="55" t="str">
        <f ca="1">IFERROR(IF(MONTH(DATE(I_RPT_YR,$A12,AB$11))&lt;&gt;$A12,"NA",IF(DATE(I_RPT_YR,$A12,AB$11)&gt;I_RPT_ED,"NA",IF(NOT(ISERROR(MATCH(DATE($B$4,$A12,AB$11),L_HOLS,0))),"H",IF(INDEX(L_WKNDVAL,WEEKDAY(DATE($B$4,$A12,AB$11),1))=1,"WKND",INDEX(T_LEAVE[LEAVE CODE],SUMPRODUCT(--(T_LEAVE[NAME]=I_RPT_EMP),--(T_LEAVE[DATE]&lt;=DATE($B$4,$A12,AB$11)),--(T_LEAVE[DATE]&gt;=DATE($B$4,$A12,AB$11)),ROW(T_LEAVE[LEAVE CODE]))-ROW(T_LEAVE[#Headers])))))),"")</f>
        <v/>
      </c>
      <c r="AC12" s="55" t="str">
        <f ca="1">IFERROR(IF(MONTH(DATE(I_RPT_YR,$A12,AC$11))&lt;&gt;$A12,"NA",IF(DATE(I_RPT_YR,$A12,AC$11)&gt;I_RPT_ED,"NA",IF(NOT(ISERROR(MATCH(DATE($B$4,$A12,AC$11),L_HOLS,0))),"H",IF(INDEX(L_WKNDVAL,WEEKDAY(DATE($B$4,$A12,AC$11),1))=1,"WKND",INDEX(T_LEAVE[LEAVE CODE],SUMPRODUCT(--(T_LEAVE[NAME]=I_RPT_EMP),--(T_LEAVE[DATE]&lt;=DATE($B$4,$A12,AC$11)),--(T_LEAVE[DATE]&gt;=DATE($B$4,$A12,AC$11)),ROW(T_LEAVE[LEAVE CODE]))-ROW(T_LEAVE[#Headers])))))),"")</f>
        <v/>
      </c>
      <c r="AD12" s="55" t="str">
        <f ca="1">IFERROR(IF(MONTH(DATE(I_RPT_YR,$A12,AD$11))&lt;&gt;$A12,"NA",IF(DATE(I_RPT_YR,$A12,AD$11)&gt;I_RPT_ED,"NA",IF(NOT(ISERROR(MATCH(DATE($B$4,$A12,AD$11),L_HOLS,0))),"H",IF(INDEX(L_WKNDVAL,WEEKDAY(DATE($B$4,$A12,AD$11),1))=1,"WKND",INDEX(T_LEAVE[LEAVE CODE],SUMPRODUCT(--(T_LEAVE[NAME]=I_RPT_EMP),--(T_LEAVE[DATE]&lt;=DATE($B$4,$A12,AD$11)),--(T_LEAVE[DATE]&gt;=DATE($B$4,$A12,AD$11)),ROW(T_LEAVE[LEAVE CODE]))-ROW(T_LEAVE[#Headers])))))),"")</f>
        <v/>
      </c>
      <c r="AE12" s="55" t="str">
        <f ca="1">IFERROR(IF(MONTH(DATE(I_RPT_YR,$A12,AE$11))&lt;&gt;$A12,"NA",IF(DATE(I_RPT_YR,$A12,AE$11)&gt;I_RPT_ED,"NA",IF(NOT(ISERROR(MATCH(DATE($B$4,$A12,AE$11),L_HOLS,0))),"H",IF(INDEX(L_WKNDVAL,WEEKDAY(DATE($B$4,$A12,AE$11),1))=1,"WKND",INDEX(T_LEAVE[LEAVE CODE],SUMPRODUCT(--(T_LEAVE[NAME]=I_RPT_EMP),--(T_LEAVE[DATE]&lt;=DATE($B$4,$A12,AE$11)),--(T_LEAVE[DATE]&gt;=DATE($B$4,$A12,AE$11)),ROW(T_LEAVE[LEAVE CODE]))-ROW(T_LEAVE[#Headers])))))),"")</f>
        <v/>
      </c>
      <c r="AF12" s="55" t="str">
        <f ca="1">IFERROR(IF(MONTH(DATE(I_RPT_YR,$A12,AF$11))&lt;&gt;$A12,"NA",IF(DATE(I_RPT_YR,$A12,AF$11)&gt;I_RPT_ED,"NA",IF(NOT(ISERROR(MATCH(DATE($B$4,$A12,AF$11),L_HOLS,0))),"H",IF(INDEX(L_WKNDVAL,WEEKDAY(DATE($B$4,$A12,AF$11),1))=1,"WKND",INDEX(T_LEAVE[LEAVE CODE],SUMPRODUCT(--(T_LEAVE[NAME]=I_RPT_EMP),--(T_LEAVE[DATE]&lt;=DATE($B$4,$A12,AF$11)),--(T_LEAVE[DATE]&gt;=DATE($B$4,$A12,AF$11)),ROW(T_LEAVE[LEAVE CODE]))-ROW(T_LEAVE[#Headers])))))),"")</f>
        <v/>
      </c>
      <c r="AG12" s="55" t="str">
        <f ca="1">IFERROR(IF(MONTH(DATE(I_RPT_YR,$A12,AG$11))&lt;&gt;$A12,"NA",IF(DATE(I_RPT_YR,$A12,AG$11)&gt;I_RPT_ED,"NA",IF(NOT(ISERROR(MATCH(DATE($B$4,$A12,AG$11),L_HOLS,0))),"H",IF(INDEX(L_WKNDVAL,WEEKDAY(DATE($B$4,$A12,AG$11),1))=1,"WKND",INDEX(T_LEAVE[LEAVE CODE],SUMPRODUCT(--(T_LEAVE[NAME]=I_RPT_EMP),--(T_LEAVE[DATE]&lt;=DATE($B$4,$A12,AG$11)),--(T_LEAVE[DATE]&gt;=DATE($B$4,$A12,AG$11)),ROW(T_LEAVE[LEAVE CODE]))-ROW(T_LEAVE[#Headers])))))),"")</f>
        <v/>
      </c>
      <c r="AH12" s="35"/>
      <c r="AI12" s="36"/>
      <c r="AJ12" s="52">
        <f ca="1">IF(OR($B12&gt;I_RPT_ED,AJ$11=""),"",COUNTIFS($C12:$AG12,AJ$11)*INDEX(T_LEAVETYPE[DAY VALUE],1))</f>
        <v>0</v>
      </c>
      <c r="AK12" s="52">
        <f ca="1">IF(OR($B12&gt;I_RPT_ED,AK$11=""),"",COUNTIFS($C12:$AG12,AK$11)*INDEX(T_LEAVETYPE[DAY VALUE],2))</f>
        <v>0</v>
      </c>
      <c r="AL12" s="52">
        <f ca="1">IF(OR($B12&gt;I_RPT_ED,AL$11=""),"",COUNTIFS($C12:$AG12,AL$11)*INDEX(T_LEAVETYPE[DAY VALUE],3))</f>
        <v>0</v>
      </c>
      <c r="AM12" s="52">
        <f ca="1">IF(OR($B12&gt;I_RPT_ED,AM$11=""),"",COUNTIFS($C12:$AG12,AM$11)*INDEX(T_LEAVETYPE[DAY VALUE],4))</f>
        <v>0</v>
      </c>
      <c r="AN12" s="52">
        <f ca="1">IF(OR($B12&gt;I_RPT_ED,AN$11=""),"",COUNTIFS($C12:$AG12,AN$11)*INDEX(T_LEAVETYPE[DAY VALUE],5))</f>
        <v>0</v>
      </c>
      <c r="AO12" s="52">
        <f ca="1">IF(OR($B12&gt;I_RPT_ED,AO$11=""),"",COUNTIFS($C12:$AG12,AO$11)*INDEX(T_LEAVETYPE[DAY VALUE],6))</f>
        <v>0</v>
      </c>
      <c r="AP12" s="52">
        <f ca="1">IF(OR($B12&gt;I_RPT_ED,AP$11=""),"",COUNTIFS($C12:$AG12,AP$11)*INDEX(T_LEAVETYPE[DAY VALUE],7))</f>
        <v>0</v>
      </c>
      <c r="AQ12" s="52">
        <f ca="1">IF(OR($B12&gt;I_RPT_ED,AQ$11=""),"",COUNTIFS($C12:$AG12,AQ$11)*INDEX(T_LEAVETYPE[DAY VALUE],8))</f>
        <v>0</v>
      </c>
      <c r="AR12" s="52">
        <f t="shared" ref="AR12:AR23" ca="1" si="4">IF(B12&gt;I_RPT_ED,"",SUM(AJ12:AQ12))</f>
        <v>0</v>
      </c>
      <c r="AS12" s="6"/>
    </row>
    <row r="13" spans="1:45" ht="15.75" x14ac:dyDescent="0.25">
      <c r="A13" s="51">
        <v>2</v>
      </c>
      <c r="B13" s="54">
        <f t="shared" si="3"/>
        <v>44228</v>
      </c>
      <c r="C13" s="55" t="str">
        <f ca="1">IFERROR(IF(MONTH(DATE(I_RPT_YR,$A13,C$11))&lt;&gt;$A13,"NA",IF(DATE(I_RPT_YR,$A13,C$11)&gt;I_RPT_ED,"NA",IF(NOT(ISERROR(MATCH(DATE($B$4,$A13,C$11),L_HOLS,0))),"H",IF(INDEX(L_WKNDVAL,WEEKDAY(DATE($B$4,$A13,C$11),1))=1,"WKND",INDEX(T_LEAVE[LEAVE CODE],SUMPRODUCT(--(T_LEAVE[NAME]=I_RPT_EMP),--(T_LEAVE[DATE]&lt;=DATE($B$4,$A13,C$11)),--(T_LEAVE[DATE]&gt;=DATE($B$4,$A13,C$11)),ROW(T_LEAVE[LEAVE CODE]))-ROW(T_LEAVE[#Headers])))))),"")</f>
        <v/>
      </c>
      <c r="D13" s="55" t="str">
        <f ca="1">IFERROR(IF(MONTH(DATE(I_RPT_YR,$A13,D$11))&lt;&gt;$A13,"NA",IF(DATE(I_RPT_YR,$A13,D$11)&gt;I_RPT_ED,"NA",IF(NOT(ISERROR(MATCH(DATE($B$4,$A13,D$11),L_HOLS,0))),"H",IF(INDEX(L_WKNDVAL,WEEKDAY(DATE($B$4,$A13,D$11),1))=1,"WKND",INDEX(T_LEAVE[LEAVE CODE],SUMPRODUCT(--(T_LEAVE[NAME]=I_RPT_EMP),--(T_LEAVE[DATE]&lt;=DATE($B$4,$A13,D$11)),--(T_LEAVE[DATE]&gt;=DATE($B$4,$A13,D$11)),ROW(T_LEAVE[LEAVE CODE]))-ROW(T_LEAVE[#Headers])))))),"")</f>
        <v/>
      </c>
      <c r="E13" s="55" t="str">
        <f ca="1">IFERROR(IF(MONTH(DATE(I_RPT_YR,$A13,E$11))&lt;&gt;$A13,"NA",IF(DATE(I_RPT_YR,$A13,E$11)&gt;I_RPT_ED,"NA",IF(NOT(ISERROR(MATCH(DATE($B$4,$A13,E$11),L_HOLS,0))),"H",IF(INDEX(L_WKNDVAL,WEEKDAY(DATE($B$4,$A13,E$11),1))=1,"WKND",INDEX(T_LEAVE[LEAVE CODE],SUMPRODUCT(--(T_LEAVE[NAME]=I_RPT_EMP),--(T_LEAVE[DATE]&lt;=DATE($B$4,$A13,E$11)),--(T_LEAVE[DATE]&gt;=DATE($B$4,$A13,E$11)),ROW(T_LEAVE[LEAVE CODE]))-ROW(T_LEAVE[#Headers])))))),"")</f>
        <v/>
      </c>
      <c r="F13" s="55" t="str">
        <f ca="1">IFERROR(IF(MONTH(DATE(I_RPT_YR,$A13,F$11))&lt;&gt;$A13,"NA",IF(DATE(I_RPT_YR,$A13,F$11)&gt;I_RPT_ED,"NA",IF(NOT(ISERROR(MATCH(DATE($B$4,$A13,F$11),L_HOLS,0))),"H",IF(INDEX(L_WKNDVAL,WEEKDAY(DATE($B$4,$A13,F$11),1))=1,"WKND",INDEX(T_LEAVE[LEAVE CODE],SUMPRODUCT(--(T_LEAVE[NAME]=I_RPT_EMP),--(T_LEAVE[DATE]&lt;=DATE($B$4,$A13,F$11)),--(T_LEAVE[DATE]&gt;=DATE($B$4,$A13,F$11)),ROW(T_LEAVE[LEAVE CODE]))-ROW(T_LEAVE[#Headers])))))),"")</f>
        <v/>
      </c>
      <c r="G13" s="55" t="str">
        <f ca="1">IFERROR(IF(MONTH(DATE(I_RPT_YR,$A13,G$11))&lt;&gt;$A13,"NA",IF(DATE(I_RPT_YR,$A13,G$11)&gt;I_RPT_ED,"NA",IF(NOT(ISERROR(MATCH(DATE($B$4,$A13,G$11),L_HOLS,0))),"H",IF(INDEX(L_WKNDVAL,WEEKDAY(DATE($B$4,$A13,G$11),1))=1,"WKND",INDEX(T_LEAVE[LEAVE CODE],SUMPRODUCT(--(T_LEAVE[NAME]=I_RPT_EMP),--(T_LEAVE[DATE]&lt;=DATE($B$4,$A13,G$11)),--(T_LEAVE[DATE]&gt;=DATE($B$4,$A13,G$11)),ROW(T_LEAVE[LEAVE CODE]))-ROW(T_LEAVE[#Headers])))))),"")</f>
        <v/>
      </c>
      <c r="H13" s="55" t="str">
        <f ca="1">IFERROR(IF(MONTH(DATE(I_RPT_YR,$A13,H$11))&lt;&gt;$A13,"NA",IF(DATE(I_RPT_YR,$A13,H$11)&gt;I_RPT_ED,"NA",IF(NOT(ISERROR(MATCH(DATE($B$4,$A13,H$11),L_HOLS,0))),"H",IF(INDEX(L_WKNDVAL,WEEKDAY(DATE($B$4,$A13,H$11),1))=1,"WKND",INDEX(T_LEAVE[LEAVE CODE],SUMPRODUCT(--(T_LEAVE[NAME]=I_RPT_EMP),--(T_LEAVE[DATE]&lt;=DATE($B$4,$A13,H$11)),--(T_LEAVE[DATE]&gt;=DATE($B$4,$A13,H$11)),ROW(T_LEAVE[LEAVE CODE]))-ROW(T_LEAVE[#Headers])))))),"")</f>
        <v/>
      </c>
      <c r="I13" s="55" t="str">
        <f ca="1">IFERROR(IF(MONTH(DATE(I_RPT_YR,$A13,I$11))&lt;&gt;$A13,"NA",IF(DATE(I_RPT_YR,$A13,I$11)&gt;I_RPT_ED,"NA",IF(NOT(ISERROR(MATCH(DATE($B$4,$A13,I$11),L_HOLS,0))),"H",IF(INDEX(L_WKNDVAL,WEEKDAY(DATE($B$4,$A13,I$11),1))=1,"WKND",INDEX(T_LEAVE[LEAVE CODE],SUMPRODUCT(--(T_LEAVE[NAME]=I_RPT_EMP),--(T_LEAVE[DATE]&lt;=DATE($B$4,$A13,I$11)),--(T_LEAVE[DATE]&gt;=DATE($B$4,$A13,I$11)),ROW(T_LEAVE[LEAVE CODE]))-ROW(T_LEAVE[#Headers])))))),"")</f>
        <v/>
      </c>
      <c r="J13" s="55" t="str">
        <f ca="1">IFERROR(IF(MONTH(DATE(I_RPT_YR,$A13,J$11))&lt;&gt;$A13,"NA",IF(DATE(I_RPT_YR,$A13,J$11)&gt;I_RPT_ED,"NA",IF(NOT(ISERROR(MATCH(DATE($B$4,$A13,J$11),L_HOLS,0))),"H",IF(INDEX(L_WKNDVAL,WEEKDAY(DATE($B$4,$A13,J$11),1))=1,"WKND",INDEX(T_LEAVE[LEAVE CODE],SUMPRODUCT(--(T_LEAVE[NAME]=I_RPT_EMP),--(T_LEAVE[DATE]&lt;=DATE($B$4,$A13,J$11)),--(T_LEAVE[DATE]&gt;=DATE($B$4,$A13,J$11)),ROW(T_LEAVE[LEAVE CODE]))-ROW(T_LEAVE[#Headers])))))),"")</f>
        <v/>
      </c>
      <c r="K13" s="55" t="str">
        <f ca="1">IFERROR(IF(MONTH(DATE(I_RPT_YR,$A13,K$11))&lt;&gt;$A13,"NA",IF(DATE(I_RPT_YR,$A13,K$11)&gt;I_RPT_ED,"NA",IF(NOT(ISERROR(MATCH(DATE($B$4,$A13,K$11),L_HOLS,0))),"H",IF(INDEX(L_WKNDVAL,WEEKDAY(DATE($B$4,$A13,K$11),1))=1,"WKND",INDEX(T_LEAVE[LEAVE CODE],SUMPRODUCT(--(T_LEAVE[NAME]=I_RPT_EMP),--(T_LEAVE[DATE]&lt;=DATE($B$4,$A13,K$11)),--(T_LEAVE[DATE]&gt;=DATE($B$4,$A13,K$11)),ROW(T_LEAVE[LEAVE CODE]))-ROW(T_LEAVE[#Headers])))))),"")</f>
        <v/>
      </c>
      <c r="L13" s="55" t="str">
        <f ca="1">IFERROR(IF(MONTH(DATE(I_RPT_YR,$A13,L$11))&lt;&gt;$A13,"NA",IF(DATE(I_RPT_YR,$A13,L$11)&gt;I_RPT_ED,"NA",IF(NOT(ISERROR(MATCH(DATE($B$4,$A13,L$11),L_HOLS,0))),"H",IF(INDEX(L_WKNDVAL,WEEKDAY(DATE($B$4,$A13,L$11),1))=1,"WKND",INDEX(T_LEAVE[LEAVE CODE],SUMPRODUCT(--(T_LEAVE[NAME]=I_RPT_EMP),--(T_LEAVE[DATE]&lt;=DATE($B$4,$A13,L$11)),--(T_LEAVE[DATE]&gt;=DATE($B$4,$A13,L$11)),ROW(T_LEAVE[LEAVE CODE]))-ROW(T_LEAVE[#Headers])))))),"")</f>
        <v/>
      </c>
      <c r="M13" s="55" t="str">
        <f ca="1">IFERROR(IF(MONTH(DATE(I_RPT_YR,$A13,M$11))&lt;&gt;$A13,"NA",IF(DATE(I_RPT_YR,$A13,M$11)&gt;I_RPT_ED,"NA",IF(NOT(ISERROR(MATCH(DATE($B$4,$A13,M$11),L_HOLS,0))),"H",IF(INDEX(L_WKNDVAL,WEEKDAY(DATE($B$4,$A13,M$11),1))=1,"WKND",INDEX(T_LEAVE[LEAVE CODE],SUMPRODUCT(--(T_LEAVE[NAME]=I_RPT_EMP),--(T_LEAVE[DATE]&lt;=DATE($B$4,$A13,M$11)),--(T_LEAVE[DATE]&gt;=DATE($B$4,$A13,M$11)),ROW(T_LEAVE[LEAVE CODE]))-ROW(T_LEAVE[#Headers])))))),"")</f>
        <v/>
      </c>
      <c r="N13" s="55" t="str">
        <f ca="1">IFERROR(IF(MONTH(DATE(I_RPT_YR,$A13,N$11))&lt;&gt;$A13,"NA",IF(DATE(I_RPT_YR,$A13,N$11)&gt;I_RPT_ED,"NA",IF(NOT(ISERROR(MATCH(DATE($B$4,$A13,N$11),L_HOLS,0))),"H",IF(INDEX(L_WKNDVAL,WEEKDAY(DATE($B$4,$A13,N$11),1))=1,"WKND",INDEX(T_LEAVE[LEAVE CODE],SUMPRODUCT(--(T_LEAVE[NAME]=I_RPT_EMP),--(T_LEAVE[DATE]&lt;=DATE($B$4,$A13,N$11)),--(T_LEAVE[DATE]&gt;=DATE($B$4,$A13,N$11)),ROW(T_LEAVE[LEAVE CODE]))-ROW(T_LEAVE[#Headers])))))),"")</f>
        <v>H</v>
      </c>
      <c r="O13" s="55" t="str">
        <f ca="1">IFERROR(IF(MONTH(DATE(I_RPT_YR,$A13,O$11))&lt;&gt;$A13,"NA",IF(DATE(I_RPT_YR,$A13,O$11)&gt;I_RPT_ED,"NA",IF(NOT(ISERROR(MATCH(DATE($B$4,$A13,O$11),L_HOLS,0))),"H",IF(INDEX(L_WKNDVAL,WEEKDAY(DATE($B$4,$A13,O$11),1))=1,"WKND",INDEX(T_LEAVE[LEAVE CODE],SUMPRODUCT(--(T_LEAVE[NAME]=I_RPT_EMP),--(T_LEAVE[DATE]&lt;=DATE($B$4,$A13,O$11)),--(T_LEAVE[DATE]&gt;=DATE($B$4,$A13,O$11)),ROW(T_LEAVE[LEAVE CODE]))-ROW(T_LEAVE[#Headers])))))),"")</f>
        <v/>
      </c>
      <c r="P13" s="55" t="str">
        <f ca="1">IFERROR(IF(MONTH(DATE(I_RPT_YR,$A13,P$11))&lt;&gt;$A13,"NA",IF(DATE(I_RPT_YR,$A13,P$11)&gt;I_RPT_ED,"NA",IF(NOT(ISERROR(MATCH(DATE($B$4,$A13,P$11),L_HOLS,0))),"H",IF(INDEX(L_WKNDVAL,WEEKDAY(DATE($B$4,$A13,P$11),1))=1,"WKND",INDEX(T_LEAVE[LEAVE CODE],SUMPRODUCT(--(T_LEAVE[NAME]=I_RPT_EMP),--(T_LEAVE[DATE]&lt;=DATE($B$4,$A13,P$11)),--(T_LEAVE[DATE]&gt;=DATE($B$4,$A13,P$11)),ROW(T_LEAVE[LEAVE CODE]))-ROW(T_LEAVE[#Headers])))))),"")</f>
        <v/>
      </c>
      <c r="Q13" s="55" t="str">
        <f ca="1">IFERROR(IF(MONTH(DATE(I_RPT_YR,$A13,Q$11))&lt;&gt;$A13,"NA",IF(DATE(I_RPT_YR,$A13,Q$11)&gt;I_RPT_ED,"NA",IF(NOT(ISERROR(MATCH(DATE($B$4,$A13,Q$11),L_HOLS,0))),"H",IF(INDEX(L_WKNDVAL,WEEKDAY(DATE($B$4,$A13,Q$11),1))=1,"WKND",INDEX(T_LEAVE[LEAVE CODE],SUMPRODUCT(--(T_LEAVE[NAME]=I_RPT_EMP),--(T_LEAVE[DATE]&lt;=DATE($B$4,$A13,Q$11)),--(T_LEAVE[DATE]&gt;=DATE($B$4,$A13,Q$11)),ROW(T_LEAVE[LEAVE CODE]))-ROW(T_LEAVE[#Headers])))))),"")</f>
        <v/>
      </c>
      <c r="R13" s="55" t="str">
        <f ca="1">IFERROR(IF(MONTH(DATE(I_RPT_YR,$A13,R$11))&lt;&gt;$A13,"NA",IF(DATE(I_RPT_YR,$A13,R$11)&gt;I_RPT_ED,"NA",IF(NOT(ISERROR(MATCH(DATE($B$4,$A13,R$11),L_HOLS,0))),"H",IF(INDEX(L_WKNDVAL,WEEKDAY(DATE($B$4,$A13,R$11),1))=1,"WKND",INDEX(T_LEAVE[LEAVE CODE],SUMPRODUCT(--(T_LEAVE[NAME]=I_RPT_EMP),--(T_LEAVE[DATE]&lt;=DATE($B$4,$A13,R$11)),--(T_LEAVE[DATE]&gt;=DATE($B$4,$A13,R$11)),ROW(T_LEAVE[LEAVE CODE]))-ROW(T_LEAVE[#Headers])))))),"")</f>
        <v/>
      </c>
      <c r="S13" s="55" t="str">
        <f ca="1">IFERROR(IF(MONTH(DATE(I_RPT_YR,$A13,S$11))&lt;&gt;$A13,"NA",IF(DATE(I_RPT_YR,$A13,S$11)&gt;I_RPT_ED,"NA",IF(NOT(ISERROR(MATCH(DATE($B$4,$A13,S$11),L_HOLS,0))),"H",IF(INDEX(L_WKNDVAL,WEEKDAY(DATE($B$4,$A13,S$11),1))=1,"WKND",INDEX(T_LEAVE[LEAVE CODE],SUMPRODUCT(--(T_LEAVE[NAME]=I_RPT_EMP),--(T_LEAVE[DATE]&lt;=DATE($B$4,$A13,S$11)),--(T_LEAVE[DATE]&gt;=DATE($B$4,$A13,S$11)),ROW(T_LEAVE[LEAVE CODE]))-ROW(T_LEAVE[#Headers])))))),"")</f>
        <v/>
      </c>
      <c r="T13" s="55" t="str">
        <f ca="1">IFERROR(IF(MONTH(DATE(I_RPT_YR,$A13,T$11))&lt;&gt;$A13,"NA",IF(DATE(I_RPT_YR,$A13,T$11)&gt;I_RPT_ED,"NA",IF(NOT(ISERROR(MATCH(DATE($B$4,$A13,T$11),L_HOLS,0))),"H",IF(INDEX(L_WKNDVAL,WEEKDAY(DATE($B$4,$A13,T$11),1))=1,"WKND",INDEX(T_LEAVE[LEAVE CODE],SUMPRODUCT(--(T_LEAVE[NAME]=I_RPT_EMP),--(T_LEAVE[DATE]&lt;=DATE($B$4,$A13,T$11)),--(T_LEAVE[DATE]&gt;=DATE($B$4,$A13,T$11)),ROW(T_LEAVE[LEAVE CODE]))-ROW(T_LEAVE[#Headers])))))),"")</f>
        <v/>
      </c>
      <c r="U13" s="55" t="str">
        <f ca="1">IFERROR(IF(MONTH(DATE(I_RPT_YR,$A13,U$11))&lt;&gt;$A13,"NA",IF(DATE(I_RPT_YR,$A13,U$11)&gt;I_RPT_ED,"NA",IF(NOT(ISERROR(MATCH(DATE($B$4,$A13,U$11),L_HOLS,0))),"H",IF(INDEX(L_WKNDVAL,WEEKDAY(DATE($B$4,$A13,U$11),1))=1,"WKND",INDEX(T_LEAVE[LEAVE CODE],SUMPRODUCT(--(T_LEAVE[NAME]=I_RPT_EMP),--(T_LEAVE[DATE]&lt;=DATE($B$4,$A13,U$11)),--(T_LEAVE[DATE]&gt;=DATE($B$4,$A13,U$11)),ROW(T_LEAVE[LEAVE CODE]))-ROW(T_LEAVE[#Headers])))))),"")</f>
        <v/>
      </c>
      <c r="V13" s="55" t="str">
        <f ca="1">IFERROR(IF(MONTH(DATE(I_RPT_YR,$A13,V$11))&lt;&gt;$A13,"NA",IF(DATE(I_RPT_YR,$A13,V$11)&gt;I_RPT_ED,"NA",IF(NOT(ISERROR(MATCH(DATE($B$4,$A13,V$11),L_HOLS,0))),"H",IF(INDEX(L_WKNDVAL,WEEKDAY(DATE($B$4,$A13,V$11),1))=1,"WKND",INDEX(T_LEAVE[LEAVE CODE],SUMPRODUCT(--(T_LEAVE[NAME]=I_RPT_EMP),--(T_LEAVE[DATE]&lt;=DATE($B$4,$A13,V$11)),--(T_LEAVE[DATE]&gt;=DATE($B$4,$A13,V$11)),ROW(T_LEAVE[LEAVE CODE]))-ROW(T_LEAVE[#Headers])))))),"")</f>
        <v/>
      </c>
      <c r="W13" s="55" t="str">
        <f ca="1">IFERROR(IF(MONTH(DATE(I_RPT_YR,$A13,W$11))&lt;&gt;$A13,"NA",IF(DATE(I_RPT_YR,$A13,W$11)&gt;I_RPT_ED,"NA",IF(NOT(ISERROR(MATCH(DATE($B$4,$A13,W$11),L_HOLS,0))),"H",IF(INDEX(L_WKNDVAL,WEEKDAY(DATE($B$4,$A13,W$11),1))=1,"WKND",INDEX(T_LEAVE[LEAVE CODE],SUMPRODUCT(--(T_LEAVE[NAME]=I_RPT_EMP),--(T_LEAVE[DATE]&lt;=DATE($B$4,$A13,W$11)),--(T_LEAVE[DATE]&gt;=DATE($B$4,$A13,W$11)),ROW(T_LEAVE[LEAVE CODE]))-ROW(T_LEAVE[#Headers])))))),"")</f>
        <v/>
      </c>
      <c r="X13" s="55" t="str">
        <f ca="1">IFERROR(IF(MONTH(DATE(I_RPT_YR,$A13,X$11))&lt;&gt;$A13,"NA",IF(DATE(I_RPT_YR,$A13,X$11)&gt;I_RPT_ED,"NA",IF(NOT(ISERROR(MATCH(DATE($B$4,$A13,X$11),L_HOLS,0))),"H",IF(INDEX(L_WKNDVAL,WEEKDAY(DATE($B$4,$A13,X$11),1))=1,"WKND",INDEX(T_LEAVE[LEAVE CODE],SUMPRODUCT(--(T_LEAVE[NAME]=I_RPT_EMP),--(T_LEAVE[DATE]&lt;=DATE($B$4,$A13,X$11)),--(T_LEAVE[DATE]&gt;=DATE($B$4,$A13,X$11)),ROW(T_LEAVE[LEAVE CODE]))-ROW(T_LEAVE[#Headers])))))),"")</f>
        <v/>
      </c>
      <c r="Y13" s="55" t="str">
        <f ca="1">IFERROR(IF(MONTH(DATE(I_RPT_YR,$A13,Y$11))&lt;&gt;$A13,"NA",IF(DATE(I_RPT_YR,$A13,Y$11)&gt;I_RPT_ED,"NA",IF(NOT(ISERROR(MATCH(DATE($B$4,$A13,Y$11),L_HOLS,0))),"H",IF(INDEX(L_WKNDVAL,WEEKDAY(DATE($B$4,$A13,Y$11),1))=1,"WKND",INDEX(T_LEAVE[LEAVE CODE],SUMPRODUCT(--(T_LEAVE[NAME]=I_RPT_EMP),--(T_LEAVE[DATE]&lt;=DATE($B$4,$A13,Y$11)),--(T_LEAVE[DATE]&gt;=DATE($B$4,$A13,Y$11)),ROW(T_LEAVE[LEAVE CODE]))-ROW(T_LEAVE[#Headers])))))),"")</f>
        <v/>
      </c>
      <c r="Z13" s="55" t="str">
        <f ca="1">IFERROR(IF(MONTH(DATE(I_RPT_YR,$A13,Z$11))&lt;&gt;$A13,"NA",IF(DATE(I_RPT_YR,$A13,Z$11)&gt;I_RPT_ED,"NA",IF(NOT(ISERROR(MATCH(DATE($B$4,$A13,Z$11),L_HOLS,0))),"H",IF(INDEX(L_WKNDVAL,WEEKDAY(DATE($B$4,$A13,Z$11),1))=1,"WKND",INDEX(T_LEAVE[LEAVE CODE],SUMPRODUCT(--(T_LEAVE[NAME]=I_RPT_EMP),--(T_LEAVE[DATE]&lt;=DATE($B$4,$A13,Z$11)),--(T_LEAVE[DATE]&gt;=DATE($B$4,$A13,Z$11)),ROW(T_LEAVE[LEAVE CODE]))-ROW(T_LEAVE[#Headers])))))),"")</f>
        <v/>
      </c>
      <c r="AA13" s="55" t="str">
        <f ca="1">IFERROR(IF(MONTH(DATE(I_RPT_YR,$A13,AA$11))&lt;&gt;$A13,"NA",IF(DATE(I_RPT_YR,$A13,AA$11)&gt;I_RPT_ED,"NA",IF(NOT(ISERROR(MATCH(DATE($B$4,$A13,AA$11),L_HOLS,0))),"H",IF(INDEX(L_WKNDVAL,WEEKDAY(DATE($B$4,$A13,AA$11),1))=1,"WKND",INDEX(T_LEAVE[LEAVE CODE],SUMPRODUCT(--(T_LEAVE[NAME]=I_RPT_EMP),--(T_LEAVE[DATE]&lt;=DATE($B$4,$A13,AA$11)),--(T_LEAVE[DATE]&gt;=DATE($B$4,$A13,AA$11)),ROW(T_LEAVE[LEAVE CODE]))-ROW(T_LEAVE[#Headers])))))),"")</f>
        <v>H</v>
      </c>
      <c r="AB13" s="55" t="str">
        <f ca="1">IFERROR(IF(MONTH(DATE(I_RPT_YR,$A13,AB$11))&lt;&gt;$A13,"NA",IF(DATE(I_RPT_YR,$A13,AB$11)&gt;I_RPT_ED,"NA",IF(NOT(ISERROR(MATCH(DATE($B$4,$A13,AB$11),L_HOLS,0))),"H",IF(INDEX(L_WKNDVAL,WEEKDAY(DATE($B$4,$A13,AB$11),1))=1,"WKND",INDEX(T_LEAVE[LEAVE CODE],SUMPRODUCT(--(T_LEAVE[NAME]=I_RPT_EMP),--(T_LEAVE[DATE]&lt;=DATE($B$4,$A13,AB$11)),--(T_LEAVE[DATE]&gt;=DATE($B$4,$A13,AB$11)),ROW(T_LEAVE[LEAVE CODE]))-ROW(T_LEAVE[#Headers])))))),"")</f>
        <v/>
      </c>
      <c r="AC13" s="55" t="str">
        <f ca="1">IFERROR(IF(MONTH(DATE(I_RPT_YR,$A13,AC$11))&lt;&gt;$A13,"NA",IF(DATE(I_RPT_YR,$A13,AC$11)&gt;I_RPT_ED,"NA",IF(NOT(ISERROR(MATCH(DATE($B$4,$A13,AC$11),L_HOLS,0))),"H",IF(INDEX(L_WKNDVAL,WEEKDAY(DATE($B$4,$A13,AC$11),1))=1,"WKND",INDEX(T_LEAVE[LEAVE CODE],SUMPRODUCT(--(T_LEAVE[NAME]=I_RPT_EMP),--(T_LEAVE[DATE]&lt;=DATE($B$4,$A13,AC$11)),--(T_LEAVE[DATE]&gt;=DATE($B$4,$A13,AC$11)),ROW(T_LEAVE[LEAVE CODE]))-ROW(T_LEAVE[#Headers])))))),"")</f>
        <v/>
      </c>
      <c r="AD13" s="55" t="str">
        <f ca="1">IFERROR(IF(MONTH(DATE(I_RPT_YR,$A13,AD$11))&lt;&gt;$A13,"NA",IF(DATE(I_RPT_YR,$A13,AD$11)&gt;I_RPT_ED,"NA",IF(NOT(ISERROR(MATCH(DATE($B$4,$A13,AD$11),L_HOLS,0))),"H",IF(INDEX(L_WKNDVAL,WEEKDAY(DATE($B$4,$A13,AD$11),1))=1,"WKND",INDEX(T_LEAVE[LEAVE CODE],SUMPRODUCT(--(T_LEAVE[NAME]=I_RPT_EMP),--(T_LEAVE[DATE]&lt;=DATE($B$4,$A13,AD$11)),--(T_LEAVE[DATE]&gt;=DATE($B$4,$A13,AD$11)),ROW(T_LEAVE[LEAVE CODE]))-ROW(T_LEAVE[#Headers])))))),"")</f>
        <v/>
      </c>
      <c r="AE13" s="55" t="str">
        <f>IFERROR(IF(MONTH(DATE(I_RPT_YR,$A13,AE$11))&lt;&gt;$A13,"NA",IF(DATE(I_RPT_YR,$A13,AE$11)&gt;I_RPT_ED,"NA",IF(NOT(ISERROR(MATCH(DATE($B$4,$A13,AE$11),L_HOLS,0))),"H",IF(INDEX(L_WKNDVAL,WEEKDAY(DATE($B$4,$A13,AE$11),1))=1,"WKND",INDEX(T_LEAVE[LEAVE CODE],SUMPRODUCT(--(T_LEAVE[NAME]=I_RPT_EMP),--(T_LEAVE[DATE]&lt;=DATE($B$4,$A13,AE$11)),--(T_LEAVE[DATE]&gt;=DATE($B$4,$A13,AE$11)),ROW(T_LEAVE[LEAVE CODE]))-ROW(T_LEAVE[#Headers])))))),"")</f>
        <v>NA</v>
      </c>
      <c r="AF13" s="55" t="str">
        <f>IFERROR(IF(MONTH(DATE(I_RPT_YR,$A13,AF$11))&lt;&gt;$A13,"NA",IF(DATE(I_RPT_YR,$A13,AF$11)&gt;I_RPT_ED,"NA",IF(NOT(ISERROR(MATCH(DATE($B$4,$A13,AF$11),L_HOLS,0))),"H",IF(INDEX(L_WKNDVAL,WEEKDAY(DATE($B$4,$A13,AF$11),1))=1,"WKND",INDEX(T_LEAVE[LEAVE CODE],SUMPRODUCT(--(T_LEAVE[NAME]=I_RPT_EMP),--(T_LEAVE[DATE]&lt;=DATE($B$4,$A13,AF$11)),--(T_LEAVE[DATE]&gt;=DATE($B$4,$A13,AF$11)),ROW(T_LEAVE[LEAVE CODE]))-ROW(T_LEAVE[#Headers])))))),"")</f>
        <v>NA</v>
      </c>
      <c r="AG13" s="55" t="str">
        <f>IFERROR(IF(MONTH(DATE(I_RPT_YR,$A13,AG$11))&lt;&gt;$A13,"NA",IF(DATE(I_RPT_YR,$A13,AG$11)&gt;I_RPT_ED,"NA",IF(NOT(ISERROR(MATCH(DATE($B$4,$A13,AG$11),L_HOLS,0))),"H",IF(INDEX(L_WKNDVAL,WEEKDAY(DATE($B$4,$A13,AG$11),1))=1,"WKND",INDEX(T_LEAVE[LEAVE CODE],SUMPRODUCT(--(T_LEAVE[NAME]=I_RPT_EMP),--(T_LEAVE[DATE]&lt;=DATE($B$4,$A13,AG$11)),--(T_LEAVE[DATE]&gt;=DATE($B$4,$A13,AG$11)),ROW(T_LEAVE[LEAVE CODE]))-ROW(T_LEAVE[#Headers])))))),"")</f>
        <v>NA</v>
      </c>
      <c r="AH13" s="35"/>
      <c r="AI13" s="36"/>
      <c r="AJ13" s="52">
        <f ca="1">IF(OR($B13&gt;I_RPT_ED,AJ$11=""),"",COUNTIFS($C13:$AG13,AJ$11)*INDEX(T_LEAVETYPE[DAY VALUE],1))</f>
        <v>0</v>
      </c>
      <c r="AK13" s="52">
        <f ca="1">IF(OR($B13&gt;I_RPT_ED,AK$11=""),"",COUNTIFS($C13:$AG13,AK$11)*INDEX(T_LEAVETYPE[DAY VALUE],2))</f>
        <v>0</v>
      </c>
      <c r="AL13" s="52">
        <f ca="1">IF(OR($B13&gt;I_RPT_ED,AL$11=""),"",COUNTIFS($C13:$AG13,AL$11)*INDEX(T_LEAVETYPE[DAY VALUE],3))</f>
        <v>0</v>
      </c>
      <c r="AM13" s="52">
        <f ca="1">IF(OR($B13&gt;I_RPT_ED,AM$11=""),"",COUNTIFS($C13:$AG13,AM$11)*INDEX(T_LEAVETYPE[DAY VALUE],4))</f>
        <v>0</v>
      </c>
      <c r="AN13" s="52">
        <f ca="1">IF(OR($B13&gt;I_RPT_ED,AN$11=""),"",COUNTIFS($C13:$AG13,AN$11)*INDEX(T_LEAVETYPE[DAY VALUE],5))</f>
        <v>0</v>
      </c>
      <c r="AO13" s="52">
        <f ca="1">IF(OR($B13&gt;I_RPT_ED,AO$11=""),"",COUNTIFS($C13:$AG13,AO$11)*INDEX(T_LEAVETYPE[DAY VALUE],6))</f>
        <v>0</v>
      </c>
      <c r="AP13" s="52">
        <f ca="1">IF(OR($B13&gt;I_RPT_ED,AP$11=""),"",COUNTIFS($C13:$AG13,AP$11)*INDEX(T_LEAVETYPE[DAY VALUE],7))</f>
        <v>0</v>
      </c>
      <c r="AQ13" s="52">
        <f ca="1">IF(OR($B13&gt;I_RPT_ED,AQ$11=""),"",COUNTIFS($C13:$AG13,AQ$11)*INDEX(T_LEAVETYPE[DAY VALUE],8))</f>
        <v>0</v>
      </c>
      <c r="AR13" s="52">
        <f t="shared" ca="1" si="4"/>
        <v>0</v>
      </c>
      <c r="AS13" s="6"/>
    </row>
    <row r="14" spans="1:45" ht="15.75" x14ac:dyDescent="0.25">
      <c r="A14" s="51">
        <v>3</v>
      </c>
      <c r="B14" s="54">
        <f t="shared" si="3"/>
        <v>44256</v>
      </c>
      <c r="C14" s="55" t="str">
        <f ca="1">IFERROR(IF(MONTH(DATE(I_RPT_YR,$A14,C$11))&lt;&gt;$A14,"NA",IF(DATE(I_RPT_YR,$A14,C$11)&gt;I_RPT_ED,"NA",IF(NOT(ISERROR(MATCH(DATE($B$4,$A14,C$11),L_HOLS,0))),"H",IF(INDEX(L_WKNDVAL,WEEKDAY(DATE($B$4,$A14,C$11),1))=1,"WKND",INDEX(T_LEAVE[LEAVE CODE],SUMPRODUCT(--(T_LEAVE[NAME]=I_RPT_EMP),--(T_LEAVE[DATE]&lt;=DATE($B$4,$A14,C$11)),--(T_LEAVE[DATE]&gt;=DATE($B$4,$A14,C$11)),ROW(T_LEAVE[LEAVE CODE]))-ROW(T_LEAVE[#Headers])))))),"")</f>
        <v/>
      </c>
      <c r="D14" s="55" t="str">
        <f ca="1">IFERROR(IF(MONTH(DATE(I_RPT_YR,$A14,D$11))&lt;&gt;$A14,"NA",IF(DATE(I_RPT_YR,$A14,D$11)&gt;I_RPT_ED,"NA",IF(NOT(ISERROR(MATCH(DATE($B$4,$A14,D$11),L_HOLS,0))),"H",IF(INDEX(L_WKNDVAL,WEEKDAY(DATE($B$4,$A14,D$11),1))=1,"WKND",INDEX(T_LEAVE[LEAVE CODE],SUMPRODUCT(--(T_LEAVE[NAME]=I_RPT_EMP),--(T_LEAVE[DATE]&lt;=DATE($B$4,$A14,D$11)),--(T_LEAVE[DATE]&gt;=DATE($B$4,$A14,D$11)),ROW(T_LEAVE[LEAVE CODE]))-ROW(T_LEAVE[#Headers])))))),"")</f>
        <v/>
      </c>
      <c r="E14" s="55" t="str">
        <f ca="1">IFERROR(IF(MONTH(DATE(I_RPT_YR,$A14,E$11))&lt;&gt;$A14,"NA",IF(DATE(I_RPT_YR,$A14,E$11)&gt;I_RPT_ED,"NA",IF(NOT(ISERROR(MATCH(DATE($B$4,$A14,E$11),L_HOLS,0))),"H",IF(INDEX(L_WKNDVAL,WEEKDAY(DATE($B$4,$A14,E$11),1))=1,"WKND",INDEX(T_LEAVE[LEAVE CODE],SUMPRODUCT(--(T_LEAVE[NAME]=I_RPT_EMP),--(T_LEAVE[DATE]&lt;=DATE($B$4,$A14,E$11)),--(T_LEAVE[DATE]&gt;=DATE($B$4,$A14,E$11)),ROW(T_LEAVE[LEAVE CODE]))-ROW(T_LEAVE[#Headers])))))),"")</f>
        <v/>
      </c>
      <c r="F14" s="55" t="str">
        <f ca="1">IFERROR(IF(MONTH(DATE(I_RPT_YR,$A14,F$11))&lt;&gt;$A14,"NA",IF(DATE(I_RPT_YR,$A14,F$11)&gt;I_RPT_ED,"NA",IF(NOT(ISERROR(MATCH(DATE($B$4,$A14,F$11),L_HOLS,0))),"H",IF(INDEX(L_WKNDVAL,WEEKDAY(DATE($B$4,$A14,F$11),1))=1,"WKND",INDEX(T_LEAVE[LEAVE CODE],SUMPRODUCT(--(T_LEAVE[NAME]=I_RPT_EMP),--(T_LEAVE[DATE]&lt;=DATE($B$4,$A14,F$11)),--(T_LEAVE[DATE]&gt;=DATE($B$4,$A14,F$11)),ROW(T_LEAVE[LEAVE CODE]))-ROW(T_LEAVE[#Headers])))))),"")</f>
        <v/>
      </c>
      <c r="G14" s="55" t="str">
        <f ca="1">IFERROR(IF(MONTH(DATE(I_RPT_YR,$A14,G$11))&lt;&gt;$A14,"NA",IF(DATE(I_RPT_YR,$A14,G$11)&gt;I_RPT_ED,"NA",IF(NOT(ISERROR(MATCH(DATE($B$4,$A14,G$11),L_HOLS,0))),"H",IF(INDEX(L_WKNDVAL,WEEKDAY(DATE($B$4,$A14,G$11),1))=1,"WKND",INDEX(T_LEAVE[LEAVE CODE],SUMPRODUCT(--(T_LEAVE[NAME]=I_RPT_EMP),--(T_LEAVE[DATE]&lt;=DATE($B$4,$A14,G$11)),--(T_LEAVE[DATE]&gt;=DATE($B$4,$A14,G$11)),ROW(T_LEAVE[LEAVE CODE]))-ROW(T_LEAVE[#Headers])))))),"")</f>
        <v/>
      </c>
      <c r="H14" s="55" t="str">
        <f ca="1">IFERROR(IF(MONTH(DATE(I_RPT_YR,$A14,H$11))&lt;&gt;$A14,"NA",IF(DATE(I_RPT_YR,$A14,H$11)&gt;I_RPT_ED,"NA",IF(NOT(ISERROR(MATCH(DATE($B$4,$A14,H$11),L_HOLS,0))),"H",IF(INDEX(L_WKNDVAL,WEEKDAY(DATE($B$4,$A14,H$11),1))=1,"WKND",INDEX(T_LEAVE[LEAVE CODE],SUMPRODUCT(--(T_LEAVE[NAME]=I_RPT_EMP),--(T_LEAVE[DATE]&lt;=DATE($B$4,$A14,H$11)),--(T_LEAVE[DATE]&gt;=DATE($B$4,$A14,H$11)),ROW(T_LEAVE[LEAVE CODE]))-ROW(T_LEAVE[#Headers])))))),"")</f>
        <v/>
      </c>
      <c r="I14" s="55" t="str">
        <f ca="1">IFERROR(IF(MONTH(DATE(I_RPT_YR,$A14,I$11))&lt;&gt;$A14,"NA",IF(DATE(I_RPT_YR,$A14,I$11)&gt;I_RPT_ED,"NA",IF(NOT(ISERROR(MATCH(DATE($B$4,$A14,I$11),L_HOLS,0))),"H",IF(INDEX(L_WKNDVAL,WEEKDAY(DATE($B$4,$A14,I$11),1))=1,"WKND",INDEX(T_LEAVE[LEAVE CODE],SUMPRODUCT(--(T_LEAVE[NAME]=I_RPT_EMP),--(T_LEAVE[DATE]&lt;=DATE($B$4,$A14,I$11)),--(T_LEAVE[DATE]&gt;=DATE($B$4,$A14,I$11)),ROW(T_LEAVE[LEAVE CODE]))-ROW(T_LEAVE[#Headers])))))),"")</f>
        <v/>
      </c>
      <c r="J14" s="55" t="str">
        <f ca="1">IFERROR(IF(MONTH(DATE(I_RPT_YR,$A14,J$11))&lt;&gt;$A14,"NA",IF(DATE(I_RPT_YR,$A14,J$11)&gt;I_RPT_ED,"NA",IF(NOT(ISERROR(MATCH(DATE($B$4,$A14,J$11),L_HOLS,0))),"H",IF(INDEX(L_WKNDVAL,WEEKDAY(DATE($B$4,$A14,J$11),1))=1,"WKND",INDEX(T_LEAVE[LEAVE CODE],SUMPRODUCT(--(T_LEAVE[NAME]=I_RPT_EMP),--(T_LEAVE[DATE]&lt;=DATE($B$4,$A14,J$11)),--(T_LEAVE[DATE]&gt;=DATE($B$4,$A14,J$11)),ROW(T_LEAVE[LEAVE CODE]))-ROW(T_LEAVE[#Headers])))))),"")</f>
        <v/>
      </c>
      <c r="K14" s="55" t="str">
        <f ca="1">IFERROR(IF(MONTH(DATE(I_RPT_YR,$A14,K$11))&lt;&gt;$A14,"NA",IF(DATE(I_RPT_YR,$A14,K$11)&gt;I_RPT_ED,"NA",IF(NOT(ISERROR(MATCH(DATE($B$4,$A14,K$11),L_HOLS,0))),"H",IF(INDEX(L_WKNDVAL,WEEKDAY(DATE($B$4,$A14,K$11),1))=1,"WKND",INDEX(T_LEAVE[LEAVE CODE],SUMPRODUCT(--(T_LEAVE[NAME]=I_RPT_EMP),--(T_LEAVE[DATE]&lt;=DATE($B$4,$A14,K$11)),--(T_LEAVE[DATE]&gt;=DATE($B$4,$A14,K$11)),ROW(T_LEAVE[LEAVE CODE]))-ROW(T_LEAVE[#Headers])))))),"")</f>
        <v/>
      </c>
      <c r="L14" s="55" t="str">
        <f ca="1">IFERROR(IF(MONTH(DATE(I_RPT_YR,$A14,L$11))&lt;&gt;$A14,"NA",IF(DATE(I_RPT_YR,$A14,L$11)&gt;I_RPT_ED,"NA",IF(NOT(ISERROR(MATCH(DATE($B$4,$A14,L$11),L_HOLS,0))),"H",IF(INDEX(L_WKNDVAL,WEEKDAY(DATE($B$4,$A14,L$11),1))=1,"WKND",INDEX(T_LEAVE[LEAVE CODE],SUMPRODUCT(--(T_LEAVE[NAME]=I_RPT_EMP),--(T_LEAVE[DATE]&lt;=DATE($B$4,$A14,L$11)),--(T_LEAVE[DATE]&gt;=DATE($B$4,$A14,L$11)),ROW(T_LEAVE[LEAVE CODE]))-ROW(T_LEAVE[#Headers])))))),"")</f>
        <v/>
      </c>
      <c r="M14" s="55" t="str">
        <f ca="1">IFERROR(IF(MONTH(DATE(I_RPT_YR,$A14,M$11))&lt;&gt;$A14,"NA",IF(DATE(I_RPT_YR,$A14,M$11)&gt;I_RPT_ED,"NA",IF(NOT(ISERROR(MATCH(DATE($B$4,$A14,M$11),L_HOLS,0))),"H",IF(INDEX(L_WKNDVAL,WEEKDAY(DATE($B$4,$A14,M$11),1))=1,"WKND",INDEX(T_LEAVE[LEAVE CODE],SUMPRODUCT(--(T_LEAVE[NAME]=I_RPT_EMP),--(T_LEAVE[DATE]&lt;=DATE($B$4,$A14,M$11)),--(T_LEAVE[DATE]&gt;=DATE($B$4,$A14,M$11)),ROW(T_LEAVE[LEAVE CODE]))-ROW(T_LEAVE[#Headers])))))),"")</f>
        <v/>
      </c>
      <c r="N14" s="55" t="str">
        <f ca="1">IFERROR(IF(MONTH(DATE(I_RPT_YR,$A14,N$11))&lt;&gt;$A14,"NA",IF(DATE(I_RPT_YR,$A14,N$11)&gt;I_RPT_ED,"NA",IF(NOT(ISERROR(MATCH(DATE($B$4,$A14,N$11),L_HOLS,0))),"H",IF(INDEX(L_WKNDVAL,WEEKDAY(DATE($B$4,$A14,N$11),1))=1,"WKND",INDEX(T_LEAVE[LEAVE CODE],SUMPRODUCT(--(T_LEAVE[NAME]=I_RPT_EMP),--(T_LEAVE[DATE]&lt;=DATE($B$4,$A14,N$11)),--(T_LEAVE[DATE]&gt;=DATE($B$4,$A14,N$11)),ROW(T_LEAVE[LEAVE CODE]))-ROW(T_LEAVE[#Headers])))))),"")</f>
        <v/>
      </c>
      <c r="O14" s="55" t="str">
        <f ca="1">IFERROR(IF(MONTH(DATE(I_RPT_YR,$A14,O$11))&lt;&gt;$A14,"NA",IF(DATE(I_RPT_YR,$A14,O$11)&gt;I_RPT_ED,"NA",IF(NOT(ISERROR(MATCH(DATE($B$4,$A14,O$11),L_HOLS,0))),"H",IF(INDEX(L_WKNDVAL,WEEKDAY(DATE($B$4,$A14,O$11),1))=1,"WKND",INDEX(T_LEAVE[LEAVE CODE],SUMPRODUCT(--(T_LEAVE[NAME]=I_RPT_EMP),--(T_LEAVE[DATE]&lt;=DATE($B$4,$A14,O$11)),--(T_LEAVE[DATE]&gt;=DATE($B$4,$A14,O$11)),ROW(T_LEAVE[LEAVE CODE]))-ROW(T_LEAVE[#Headers])))))),"")</f>
        <v/>
      </c>
      <c r="P14" s="55" t="str">
        <f ca="1">IFERROR(IF(MONTH(DATE(I_RPT_YR,$A14,P$11))&lt;&gt;$A14,"NA",IF(DATE(I_RPT_YR,$A14,P$11)&gt;I_RPT_ED,"NA",IF(NOT(ISERROR(MATCH(DATE($B$4,$A14,P$11),L_HOLS,0))),"H",IF(INDEX(L_WKNDVAL,WEEKDAY(DATE($B$4,$A14,P$11),1))=1,"WKND",INDEX(T_LEAVE[LEAVE CODE],SUMPRODUCT(--(T_LEAVE[NAME]=I_RPT_EMP),--(T_LEAVE[DATE]&lt;=DATE($B$4,$A14,P$11)),--(T_LEAVE[DATE]&gt;=DATE($B$4,$A14,P$11)),ROW(T_LEAVE[LEAVE CODE]))-ROW(T_LEAVE[#Headers])))))),"")</f>
        <v/>
      </c>
      <c r="Q14" s="55" t="str">
        <f ca="1">IFERROR(IF(MONTH(DATE(I_RPT_YR,$A14,Q$11))&lt;&gt;$A14,"NA",IF(DATE(I_RPT_YR,$A14,Q$11)&gt;I_RPT_ED,"NA",IF(NOT(ISERROR(MATCH(DATE($B$4,$A14,Q$11),L_HOLS,0))),"H",IF(INDEX(L_WKNDVAL,WEEKDAY(DATE($B$4,$A14,Q$11),1))=1,"WKND",INDEX(T_LEAVE[LEAVE CODE],SUMPRODUCT(--(T_LEAVE[NAME]=I_RPT_EMP),--(T_LEAVE[DATE]&lt;=DATE($B$4,$A14,Q$11)),--(T_LEAVE[DATE]&gt;=DATE($B$4,$A14,Q$11)),ROW(T_LEAVE[LEAVE CODE]))-ROW(T_LEAVE[#Headers])))))),"")</f>
        <v/>
      </c>
      <c r="R14" s="55" t="str">
        <f ca="1">IFERROR(IF(MONTH(DATE(I_RPT_YR,$A14,R$11))&lt;&gt;$A14,"NA",IF(DATE(I_RPT_YR,$A14,R$11)&gt;I_RPT_ED,"NA",IF(NOT(ISERROR(MATCH(DATE($B$4,$A14,R$11),L_HOLS,0))),"H",IF(INDEX(L_WKNDVAL,WEEKDAY(DATE($B$4,$A14,R$11),1))=1,"WKND",INDEX(T_LEAVE[LEAVE CODE],SUMPRODUCT(--(T_LEAVE[NAME]=I_RPT_EMP),--(T_LEAVE[DATE]&lt;=DATE($B$4,$A14,R$11)),--(T_LEAVE[DATE]&gt;=DATE($B$4,$A14,R$11)),ROW(T_LEAVE[LEAVE CODE]))-ROW(T_LEAVE[#Headers])))))),"")</f>
        <v/>
      </c>
      <c r="S14" s="55" t="str">
        <f ca="1">IFERROR(IF(MONTH(DATE(I_RPT_YR,$A14,S$11))&lt;&gt;$A14,"NA",IF(DATE(I_RPT_YR,$A14,S$11)&gt;I_RPT_ED,"NA",IF(NOT(ISERROR(MATCH(DATE($B$4,$A14,S$11),L_HOLS,0))),"H",IF(INDEX(L_WKNDVAL,WEEKDAY(DATE($B$4,$A14,S$11),1))=1,"WKND",INDEX(T_LEAVE[LEAVE CODE],SUMPRODUCT(--(T_LEAVE[NAME]=I_RPT_EMP),--(T_LEAVE[DATE]&lt;=DATE($B$4,$A14,S$11)),--(T_LEAVE[DATE]&gt;=DATE($B$4,$A14,S$11)),ROW(T_LEAVE[LEAVE CODE]))-ROW(T_LEAVE[#Headers])))))),"")</f>
        <v/>
      </c>
      <c r="T14" s="55" t="str">
        <f ca="1">IFERROR(IF(MONTH(DATE(I_RPT_YR,$A14,T$11))&lt;&gt;$A14,"NA",IF(DATE(I_RPT_YR,$A14,T$11)&gt;I_RPT_ED,"NA",IF(NOT(ISERROR(MATCH(DATE($B$4,$A14,T$11),L_HOLS,0))),"H",IF(INDEX(L_WKNDVAL,WEEKDAY(DATE($B$4,$A14,T$11),1))=1,"WKND",INDEX(T_LEAVE[LEAVE CODE],SUMPRODUCT(--(T_LEAVE[NAME]=I_RPT_EMP),--(T_LEAVE[DATE]&lt;=DATE($B$4,$A14,T$11)),--(T_LEAVE[DATE]&gt;=DATE($B$4,$A14,T$11)),ROW(T_LEAVE[LEAVE CODE]))-ROW(T_LEAVE[#Headers])))))),"")</f>
        <v/>
      </c>
      <c r="U14" s="55" t="str">
        <f ca="1">IFERROR(IF(MONTH(DATE(I_RPT_YR,$A14,U$11))&lt;&gt;$A14,"NA",IF(DATE(I_RPT_YR,$A14,U$11)&gt;I_RPT_ED,"NA",IF(NOT(ISERROR(MATCH(DATE($B$4,$A14,U$11),L_HOLS,0))),"H",IF(INDEX(L_WKNDVAL,WEEKDAY(DATE($B$4,$A14,U$11),1))=1,"WKND",INDEX(T_LEAVE[LEAVE CODE],SUMPRODUCT(--(T_LEAVE[NAME]=I_RPT_EMP),--(T_LEAVE[DATE]&lt;=DATE($B$4,$A14,U$11)),--(T_LEAVE[DATE]&gt;=DATE($B$4,$A14,U$11)),ROW(T_LEAVE[LEAVE CODE]))-ROW(T_LEAVE[#Headers])))))),"")</f>
        <v/>
      </c>
      <c r="V14" s="55" t="str">
        <f ca="1">IFERROR(IF(MONTH(DATE(I_RPT_YR,$A14,V$11))&lt;&gt;$A14,"NA",IF(DATE(I_RPT_YR,$A14,V$11)&gt;I_RPT_ED,"NA",IF(NOT(ISERROR(MATCH(DATE($B$4,$A14,V$11),L_HOLS,0))),"H",IF(INDEX(L_WKNDVAL,WEEKDAY(DATE($B$4,$A14,V$11),1))=1,"WKND",INDEX(T_LEAVE[LEAVE CODE],SUMPRODUCT(--(T_LEAVE[NAME]=I_RPT_EMP),--(T_LEAVE[DATE]&lt;=DATE($B$4,$A14,V$11)),--(T_LEAVE[DATE]&gt;=DATE($B$4,$A14,V$11)),ROW(T_LEAVE[LEAVE CODE]))-ROW(T_LEAVE[#Headers])))))),"")</f>
        <v/>
      </c>
      <c r="W14" s="55" t="str">
        <f ca="1">IFERROR(IF(MONTH(DATE(I_RPT_YR,$A14,W$11))&lt;&gt;$A14,"NA",IF(DATE(I_RPT_YR,$A14,W$11)&gt;I_RPT_ED,"NA",IF(NOT(ISERROR(MATCH(DATE($B$4,$A14,W$11),L_HOLS,0))),"H",IF(INDEX(L_WKNDVAL,WEEKDAY(DATE($B$4,$A14,W$11),1))=1,"WKND",INDEX(T_LEAVE[LEAVE CODE],SUMPRODUCT(--(T_LEAVE[NAME]=I_RPT_EMP),--(T_LEAVE[DATE]&lt;=DATE($B$4,$A14,W$11)),--(T_LEAVE[DATE]&gt;=DATE($B$4,$A14,W$11)),ROW(T_LEAVE[LEAVE CODE]))-ROW(T_LEAVE[#Headers])))))),"")</f>
        <v/>
      </c>
      <c r="X14" s="55" t="str">
        <f ca="1">IFERROR(IF(MONTH(DATE(I_RPT_YR,$A14,X$11))&lt;&gt;$A14,"NA",IF(DATE(I_RPT_YR,$A14,X$11)&gt;I_RPT_ED,"NA",IF(NOT(ISERROR(MATCH(DATE($B$4,$A14,X$11),L_HOLS,0))),"H",IF(INDEX(L_WKNDVAL,WEEKDAY(DATE($B$4,$A14,X$11),1))=1,"WKND",INDEX(T_LEAVE[LEAVE CODE],SUMPRODUCT(--(T_LEAVE[NAME]=I_RPT_EMP),--(T_LEAVE[DATE]&lt;=DATE($B$4,$A14,X$11)),--(T_LEAVE[DATE]&gt;=DATE($B$4,$A14,X$11)),ROW(T_LEAVE[LEAVE CODE]))-ROW(T_LEAVE[#Headers])))))),"")</f>
        <v/>
      </c>
      <c r="Y14" s="55" t="str">
        <f ca="1">IFERROR(IF(MONTH(DATE(I_RPT_YR,$A14,Y$11))&lt;&gt;$A14,"NA",IF(DATE(I_RPT_YR,$A14,Y$11)&gt;I_RPT_ED,"NA",IF(NOT(ISERROR(MATCH(DATE($B$4,$A14,Y$11),L_HOLS,0))),"H",IF(INDEX(L_WKNDVAL,WEEKDAY(DATE($B$4,$A14,Y$11),1))=1,"WKND",INDEX(T_LEAVE[LEAVE CODE],SUMPRODUCT(--(T_LEAVE[NAME]=I_RPT_EMP),--(T_LEAVE[DATE]&lt;=DATE($B$4,$A14,Y$11)),--(T_LEAVE[DATE]&gt;=DATE($B$4,$A14,Y$11)),ROW(T_LEAVE[LEAVE CODE]))-ROW(T_LEAVE[#Headers])))))),"")</f>
        <v/>
      </c>
      <c r="Z14" s="55" t="str">
        <f ca="1">IFERROR(IF(MONTH(DATE(I_RPT_YR,$A14,Z$11))&lt;&gt;$A14,"NA",IF(DATE(I_RPT_YR,$A14,Z$11)&gt;I_RPT_ED,"NA",IF(NOT(ISERROR(MATCH(DATE($B$4,$A14,Z$11),L_HOLS,0))),"H",IF(INDEX(L_WKNDVAL,WEEKDAY(DATE($B$4,$A14,Z$11),1))=1,"WKND",INDEX(T_LEAVE[LEAVE CODE],SUMPRODUCT(--(T_LEAVE[NAME]=I_RPT_EMP),--(T_LEAVE[DATE]&lt;=DATE($B$4,$A14,Z$11)),--(T_LEAVE[DATE]&gt;=DATE($B$4,$A14,Z$11)),ROW(T_LEAVE[LEAVE CODE]))-ROW(T_LEAVE[#Headers])))))),"")</f>
        <v/>
      </c>
      <c r="AA14" s="55" t="str">
        <f ca="1">IFERROR(IF(MONTH(DATE(I_RPT_YR,$A14,AA$11))&lt;&gt;$A14,"NA",IF(DATE(I_RPT_YR,$A14,AA$11)&gt;I_RPT_ED,"NA",IF(NOT(ISERROR(MATCH(DATE($B$4,$A14,AA$11),L_HOLS,0))),"H",IF(INDEX(L_WKNDVAL,WEEKDAY(DATE($B$4,$A14,AA$11),1))=1,"WKND",INDEX(T_LEAVE[LEAVE CODE],SUMPRODUCT(--(T_LEAVE[NAME]=I_RPT_EMP),--(T_LEAVE[DATE]&lt;=DATE($B$4,$A14,AA$11)),--(T_LEAVE[DATE]&gt;=DATE($B$4,$A14,AA$11)),ROW(T_LEAVE[LEAVE CODE]))-ROW(T_LEAVE[#Headers])))))),"")</f>
        <v/>
      </c>
      <c r="AB14" s="55" t="str">
        <f ca="1">IFERROR(IF(MONTH(DATE(I_RPT_YR,$A14,AB$11))&lt;&gt;$A14,"NA",IF(DATE(I_RPT_YR,$A14,AB$11)&gt;I_RPT_ED,"NA",IF(NOT(ISERROR(MATCH(DATE($B$4,$A14,AB$11),L_HOLS,0))),"H",IF(INDEX(L_WKNDVAL,WEEKDAY(DATE($B$4,$A14,AB$11),1))=1,"WKND",INDEX(T_LEAVE[LEAVE CODE],SUMPRODUCT(--(T_LEAVE[NAME]=I_RPT_EMP),--(T_LEAVE[DATE]&lt;=DATE($B$4,$A14,AB$11)),--(T_LEAVE[DATE]&gt;=DATE($B$4,$A14,AB$11)),ROW(T_LEAVE[LEAVE CODE]))-ROW(T_LEAVE[#Headers])))))),"")</f>
        <v/>
      </c>
      <c r="AC14" s="55" t="str">
        <f ca="1">IFERROR(IF(MONTH(DATE(I_RPT_YR,$A14,AC$11))&lt;&gt;$A14,"NA",IF(DATE(I_RPT_YR,$A14,AC$11)&gt;I_RPT_ED,"NA",IF(NOT(ISERROR(MATCH(DATE($B$4,$A14,AC$11),L_HOLS,0))),"H",IF(INDEX(L_WKNDVAL,WEEKDAY(DATE($B$4,$A14,AC$11),1))=1,"WKND",INDEX(T_LEAVE[LEAVE CODE],SUMPRODUCT(--(T_LEAVE[NAME]=I_RPT_EMP),--(T_LEAVE[DATE]&lt;=DATE($B$4,$A14,AC$11)),--(T_LEAVE[DATE]&gt;=DATE($B$4,$A14,AC$11)),ROW(T_LEAVE[LEAVE CODE]))-ROW(T_LEAVE[#Headers])))))),"")</f>
        <v/>
      </c>
      <c r="AD14" s="55" t="str">
        <f ca="1">IFERROR(IF(MONTH(DATE(I_RPT_YR,$A14,AD$11))&lt;&gt;$A14,"NA",IF(DATE(I_RPT_YR,$A14,AD$11)&gt;I_RPT_ED,"NA",IF(NOT(ISERROR(MATCH(DATE($B$4,$A14,AD$11),L_HOLS,0))),"H",IF(INDEX(L_WKNDVAL,WEEKDAY(DATE($B$4,$A14,AD$11),1))=1,"WKND",INDEX(T_LEAVE[LEAVE CODE],SUMPRODUCT(--(T_LEAVE[NAME]=I_RPT_EMP),--(T_LEAVE[DATE]&lt;=DATE($B$4,$A14,AD$11)),--(T_LEAVE[DATE]&gt;=DATE($B$4,$A14,AD$11)),ROW(T_LEAVE[LEAVE CODE]))-ROW(T_LEAVE[#Headers])))))),"")</f>
        <v/>
      </c>
      <c r="AE14" s="55" t="str">
        <f ca="1">IFERROR(IF(MONTH(DATE(I_RPT_YR,$A14,AE$11))&lt;&gt;$A14,"NA",IF(DATE(I_RPT_YR,$A14,AE$11)&gt;I_RPT_ED,"NA",IF(NOT(ISERROR(MATCH(DATE($B$4,$A14,AE$11),L_HOLS,0))),"H",IF(INDEX(L_WKNDVAL,WEEKDAY(DATE($B$4,$A14,AE$11),1))=1,"WKND",INDEX(T_LEAVE[LEAVE CODE],SUMPRODUCT(--(T_LEAVE[NAME]=I_RPT_EMP),--(T_LEAVE[DATE]&lt;=DATE($B$4,$A14,AE$11)),--(T_LEAVE[DATE]&gt;=DATE($B$4,$A14,AE$11)),ROW(T_LEAVE[LEAVE CODE]))-ROW(T_LEAVE[#Headers])))))),"")</f>
        <v/>
      </c>
      <c r="AF14" s="55" t="str">
        <f ca="1">IFERROR(IF(MONTH(DATE(I_RPT_YR,$A14,AF$11))&lt;&gt;$A14,"NA",IF(DATE(I_RPT_YR,$A14,AF$11)&gt;I_RPT_ED,"NA",IF(NOT(ISERROR(MATCH(DATE($B$4,$A14,AF$11),L_HOLS,0))),"H",IF(INDEX(L_WKNDVAL,WEEKDAY(DATE($B$4,$A14,AF$11),1))=1,"WKND",INDEX(T_LEAVE[LEAVE CODE],SUMPRODUCT(--(T_LEAVE[NAME]=I_RPT_EMP),--(T_LEAVE[DATE]&lt;=DATE($B$4,$A14,AF$11)),--(T_LEAVE[DATE]&gt;=DATE($B$4,$A14,AF$11)),ROW(T_LEAVE[LEAVE CODE]))-ROW(T_LEAVE[#Headers])))))),"")</f>
        <v/>
      </c>
      <c r="AG14" s="55" t="str">
        <f ca="1">IFERROR(IF(MONTH(DATE(I_RPT_YR,$A14,AG$11))&lt;&gt;$A14,"NA",IF(DATE(I_RPT_YR,$A14,AG$11)&gt;I_RPT_ED,"NA",IF(NOT(ISERROR(MATCH(DATE($B$4,$A14,AG$11),L_HOLS,0))),"H",IF(INDEX(L_WKNDVAL,WEEKDAY(DATE($B$4,$A14,AG$11),1))=1,"WKND",INDEX(T_LEAVE[LEAVE CODE],SUMPRODUCT(--(T_LEAVE[NAME]=I_RPT_EMP),--(T_LEAVE[DATE]&lt;=DATE($B$4,$A14,AG$11)),--(T_LEAVE[DATE]&gt;=DATE($B$4,$A14,AG$11)),ROW(T_LEAVE[LEAVE CODE]))-ROW(T_LEAVE[#Headers])))))),"")</f>
        <v/>
      </c>
      <c r="AH14" s="35"/>
      <c r="AI14" s="36"/>
      <c r="AJ14" s="52">
        <f ca="1">IF(OR($B14&gt;I_RPT_ED,AJ$11=""),"",COUNTIFS($C14:$AG14,AJ$11)*INDEX(T_LEAVETYPE[DAY VALUE],1))</f>
        <v>0</v>
      </c>
      <c r="AK14" s="52">
        <f ca="1">IF(OR($B14&gt;I_RPT_ED,AK$11=""),"",COUNTIFS($C14:$AG14,AK$11)*INDEX(T_LEAVETYPE[DAY VALUE],2))</f>
        <v>0</v>
      </c>
      <c r="AL14" s="52">
        <f ca="1">IF(OR($B14&gt;I_RPT_ED,AL$11=""),"",COUNTIFS($C14:$AG14,AL$11)*INDEX(T_LEAVETYPE[DAY VALUE],3))</f>
        <v>0</v>
      </c>
      <c r="AM14" s="52">
        <f ca="1">IF(OR($B14&gt;I_RPT_ED,AM$11=""),"",COUNTIFS($C14:$AG14,AM$11)*INDEX(T_LEAVETYPE[DAY VALUE],4))</f>
        <v>0</v>
      </c>
      <c r="AN14" s="52">
        <f ca="1">IF(OR($B14&gt;I_RPT_ED,AN$11=""),"",COUNTIFS($C14:$AG14,AN$11)*INDEX(T_LEAVETYPE[DAY VALUE],5))</f>
        <v>0</v>
      </c>
      <c r="AO14" s="52">
        <f ca="1">IF(OR($B14&gt;I_RPT_ED,AO$11=""),"",COUNTIFS($C14:$AG14,AO$11)*INDEX(T_LEAVETYPE[DAY VALUE],6))</f>
        <v>0</v>
      </c>
      <c r="AP14" s="52">
        <f ca="1">IF(OR($B14&gt;I_RPT_ED,AP$11=""),"",COUNTIFS($C14:$AG14,AP$11)*INDEX(T_LEAVETYPE[DAY VALUE],7))</f>
        <v>0</v>
      </c>
      <c r="AQ14" s="52">
        <f ca="1">IF(OR($B14&gt;I_RPT_ED,AQ$11=""),"",COUNTIFS($C14:$AG14,AQ$11)*INDEX(T_LEAVETYPE[DAY VALUE],8))</f>
        <v>0</v>
      </c>
      <c r="AR14" s="52">
        <f t="shared" ca="1" si="4"/>
        <v>0</v>
      </c>
      <c r="AS14" s="6"/>
    </row>
    <row r="15" spans="1:45" ht="15.75" x14ac:dyDescent="0.25">
      <c r="A15" s="51">
        <v>4</v>
      </c>
      <c r="B15" s="54">
        <f t="shared" si="3"/>
        <v>44287</v>
      </c>
      <c r="C15" s="55" t="str">
        <f ca="1">IFERROR(IF(MONTH(DATE(I_RPT_YR,$A15,C$11))&lt;&gt;$A15,"NA",IF(DATE(I_RPT_YR,$A15,C$11)&gt;I_RPT_ED,"NA",IF(NOT(ISERROR(MATCH(DATE($B$4,$A15,C$11),L_HOLS,0))),"H",IF(INDEX(L_WKNDVAL,WEEKDAY(DATE($B$4,$A15,C$11),1))=1,"WKND",INDEX(T_LEAVE[LEAVE CODE],SUMPRODUCT(--(T_LEAVE[NAME]=I_RPT_EMP),--(T_LEAVE[DATE]&lt;=DATE($B$4,$A15,C$11)),--(T_LEAVE[DATE]&gt;=DATE($B$4,$A15,C$11)),ROW(T_LEAVE[LEAVE CODE]))-ROW(T_LEAVE[#Headers])))))),"")</f>
        <v>H</v>
      </c>
      <c r="D15" s="55" t="str">
        <f ca="1">IFERROR(IF(MONTH(DATE(I_RPT_YR,$A15,D$11))&lt;&gt;$A15,"NA",IF(DATE(I_RPT_YR,$A15,D$11)&gt;I_RPT_ED,"NA",IF(NOT(ISERROR(MATCH(DATE($B$4,$A15,D$11),L_HOLS,0))),"H",IF(INDEX(L_WKNDVAL,WEEKDAY(DATE($B$4,$A15,D$11),1))=1,"WKND",INDEX(T_LEAVE[LEAVE CODE],SUMPRODUCT(--(T_LEAVE[NAME]=I_RPT_EMP),--(T_LEAVE[DATE]&lt;=DATE($B$4,$A15,D$11)),--(T_LEAVE[DATE]&gt;=DATE($B$4,$A15,D$11)),ROW(T_LEAVE[LEAVE CODE]))-ROW(T_LEAVE[#Headers])))))),"")</f>
        <v>H</v>
      </c>
      <c r="E15" s="55" t="str">
        <f ca="1">IFERROR(IF(MONTH(DATE(I_RPT_YR,$A15,E$11))&lt;&gt;$A15,"NA",IF(DATE(I_RPT_YR,$A15,E$11)&gt;I_RPT_ED,"NA",IF(NOT(ISERROR(MATCH(DATE($B$4,$A15,E$11),L_HOLS,0))),"H",IF(INDEX(L_WKNDVAL,WEEKDAY(DATE($B$4,$A15,E$11),1))=1,"WKND",INDEX(T_LEAVE[LEAVE CODE],SUMPRODUCT(--(T_LEAVE[NAME]=I_RPT_EMP),--(T_LEAVE[DATE]&lt;=DATE($B$4,$A15,E$11)),--(T_LEAVE[DATE]&gt;=DATE($B$4,$A15,E$11)),ROW(T_LEAVE[LEAVE CODE]))-ROW(T_LEAVE[#Headers])))))),"")</f>
        <v>H</v>
      </c>
      <c r="F15" s="55" t="str">
        <f ca="1">IFERROR(IF(MONTH(DATE(I_RPT_YR,$A15,F$11))&lt;&gt;$A15,"NA",IF(DATE(I_RPT_YR,$A15,F$11)&gt;I_RPT_ED,"NA",IF(NOT(ISERROR(MATCH(DATE($B$4,$A15,F$11),L_HOLS,0))),"H",IF(INDEX(L_WKNDVAL,WEEKDAY(DATE($B$4,$A15,F$11),1))=1,"WKND",INDEX(T_LEAVE[LEAVE CODE],SUMPRODUCT(--(T_LEAVE[NAME]=I_RPT_EMP),--(T_LEAVE[DATE]&lt;=DATE($B$4,$A15,F$11)),--(T_LEAVE[DATE]&gt;=DATE($B$4,$A15,F$11)),ROW(T_LEAVE[LEAVE CODE]))-ROW(T_LEAVE[#Headers])))))),"")</f>
        <v/>
      </c>
      <c r="G15" s="55" t="str">
        <f ca="1">IFERROR(IF(MONTH(DATE(I_RPT_YR,$A15,G$11))&lt;&gt;$A15,"NA",IF(DATE(I_RPT_YR,$A15,G$11)&gt;I_RPT_ED,"NA",IF(NOT(ISERROR(MATCH(DATE($B$4,$A15,G$11),L_HOLS,0))),"H",IF(INDEX(L_WKNDVAL,WEEKDAY(DATE($B$4,$A15,G$11),1))=1,"WKND",INDEX(T_LEAVE[LEAVE CODE],SUMPRODUCT(--(T_LEAVE[NAME]=I_RPT_EMP),--(T_LEAVE[DATE]&lt;=DATE($B$4,$A15,G$11)),--(T_LEAVE[DATE]&gt;=DATE($B$4,$A15,G$11)),ROW(T_LEAVE[LEAVE CODE]))-ROW(T_LEAVE[#Headers])))))),"")</f>
        <v/>
      </c>
      <c r="H15" s="55" t="str">
        <f ca="1">IFERROR(IF(MONTH(DATE(I_RPT_YR,$A15,H$11))&lt;&gt;$A15,"NA",IF(DATE(I_RPT_YR,$A15,H$11)&gt;I_RPT_ED,"NA",IF(NOT(ISERROR(MATCH(DATE($B$4,$A15,H$11),L_HOLS,0))),"H",IF(INDEX(L_WKNDVAL,WEEKDAY(DATE($B$4,$A15,H$11),1))=1,"WKND",INDEX(T_LEAVE[LEAVE CODE],SUMPRODUCT(--(T_LEAVE[NAME]=I_RPT_EMP),--(T_LEAVE[DATE]&lt;=DATE($B$4,$A15,H$11)),--(T_LEAVE[DATE]&gt;=DATE($B$4,$A15,H$11)),ROW(T_LEAVE[LEAVE CODE]))-ROW(T_LEAVE[#Headers])))))),"")</f>
        <v/>
      </c>
      <c r="I15" s="55" t="str">
        <f ca="1">IFERROR(IF(MONTH(DATE(I_RPT_YR,$A15,I$11))&lt;&gt;$A15,"NA",IF(DATE(I_RPT_YR,$A15,I$11)&gt;I_RPT_ED,"NA",IF(NOT(ISERROR(MATCH(DATE($B$4,$A15,I$11),L_HOLS,0))),"H",IF(INDEX(L_WKNDVAL,WEEKDAY(DATE($B$4,$A15,I$11),1))=1,"WKND",INDEX(T_LEAVE[LEAVE CODE],SUMPRODUCT(--(T_LEAVE[NAME]=I_RPT_EMP),--(T_LEAVE[DATE]&lt;=DATE($B$4,$A15,I$11)),--(T_LEAVE[DATE]&gt;=DATE($B$4,$A15,I$11)),ROW(T_LEAVE[LEAVE CODE]))-ROW(T_LEAVE[#Headers])))))),"")</f>
        <v/>
      </c>
      <c r="J15" s="55" t="str">
        <f ca="1">IFERROR(IF(MONTH(DATE(I_RPT_YR,$A15,J$11))&lt;&gt;$A15,"NA",IF(DATE(I_RPT_YR,$A15,J$11)&gt;I_RPT_ED,"NA",IF(NOT(ISERROR(MATCH(DATE($B$4,$A15,J$11),L_HOLS,0))),"H",IF(INDEX(L_WKNDVAL,WEEKDAY(DATE($B$4,$A15,J$11),1))=1,"WKND",INDEX(T_LEAVE[LEAVE CODE],SUMPRODUCT(--(T_LEAVE[NAME]=I_RPT_EMP),--(T_LEAVE[DATE]&lt;=DATE($B$4,$A15,J$11)),--(T_LEAVE[DATE]&gt;=DATE($B$4,$A15,J$11)),ROW(T_LEAVE[LEAVE CODE]))-ROW(T_LEAVE[#Headers])))))),"")</f>
        <v/>
      </c>
      <c r="K15" s="55" t="str">
        <f ca="1">IFERROR(IF(MONTH(DATE(I_RPT_YR,$A15,K$11))&lt;&gt;$A15,"NA",IF(DATE(I_RPT_YR,$A15,K$11)&gt;I_RPT_ED,"NA",IF(NOT(ISERROR(MATCH(DATE($B$4,$A15,K$11),L_HOLS,0))),"H",IF(INDEX(L_WKNDVAL,WEEKDAY(DATE($B$4,$A15,K$11),1))=1,"WKND",INDEX(T_LEAVE[LEAVE CODE],SUMPRODUCT(--(T_LEAVE[NAME]=I_RPT_EMP),--(T_LEAVE[DATE]&lt;=DATE($B$4,$A15,K$11)),--(T_LEAVE[DATE]&gt;=DATE($B$4,$A15,K$11)),ROW(T_LEAVE[LEAVE CODE]))-ROW(T_LEAVE[#Headers])))))),"")</f>
        <v>H</v>
      </c>
      <c r="L15" s="55" t="str">
        <f ca="1">IFERROR(IF(MONTH(DATE(I_RPT_YR,$A15,L$11))&lt;&gt;$A15,"NA",IF(DATE(I_RPT_YR,$A15,L$11)&gt;I_RPT_ED,"NA",IF(NOT(ISERROR(MATCH(DATE($B$4,$A15,L$11),L_HOLS,0))),"H",IF(INDEX(L_WKNDVAL,WEEKDAY(DATE($B$4,$A15,L$11),1))=1,"WKND",INDEX(T_LEAVE[LEAVE CODE],SUMPRODUCT(--(T_LEAVE[NAME]=I_RPT_EMP),--(T_LEAVE[DATE]&lt;=DATE($B$4,$A15,L$11)),--(T_LEAVE[DATE]&gt;=DATE($B$4,$A15,L$11)),ROW(T_LEAVE[LEAVE CODE]))-ROW(T_LEAVE[#Headers])))))),"")</f>
        <v/>
      </c>
      <c r="M15" s="55" t="str">
        <f ca="1">IFERROR(IF(MONTH(DATE(I_RPT_YR,$A15,M$11))&lt;&gt;$A15,"NA",IF(DATE(I_RPT_YR,$A15,M$11)&gt;I_RPT_ED,"NA",IF(NOT(ISERROR(MATCH(DATE($B$4,$A15,M$11),L_HOLS,0))),"H",IF(INDEX(L_WKNDVAL,WEEKDAY(DATE($B$4,$A15,M$11),1))=1,"WKND",INDEX(T_LEAVE[LEAVE CODE],SUMPRODUCT(--(T_LEAVE[NAME]=I_RPT_EMP),--(T_LEAVE[DATE]&lt;=DATE($B$4,$A15,M$11)),--(T_LEAVE[DATE]&gt;=DATE($B$4,$A15,M$11)),ROW(T_LEAVE[LEAVE CODE]))-ROW(T_LEAVE[#Headers])))))),"")</f>
        <v/>
      </c>
      <c r="N15" s="55" t="str">
        <f ca="1">IFERROR(IF(MONTH(DATE(I_RPT_YR,$A15,N$11))&lt;&gt;$A15,"NA",IF(DATE(I_RPT_YR,$A15,N$11)&gt;I_RPT_ED,"NA",IF(NOT(ISERROR(MATCH(DATE($B$4,$A15,N$11),L_HOLS,0))),"H",IF(INDEX(L_WKNDVAL,WEEKDAY(DATE($B$4,$A15,N$11),1))=1,"WKND",INDEX(T_LEAVE[LEAVE CODE],SUMPRODUCT(--(T_LEAVE[NAME]=I_RPT_EMP),--(T_LEAVE[DATE]&lt;=DATE($B$4,$A15,N$11)),--(T_LEAVE[DATE]&gt;=DATE($B$4,$A15,N$11)),ROW(T_LEAVE[LEAVE CODE]))-ROW(T_LEAVE[#Headers])))))),"")</f>
        <v/>
      </c>
      <c r="O15" s="55" t="str">
        <f ca="1">IFERROR(IF(MONTH(DATE(I_RPT_YR,$A15,O$11))&lt;&gt;$A15,"NA",IF(DATE(I_RPT_YR,$A15,O$11)&gt;I_RPT_ED,"NA",IF(NOT(ISERROR(MATCH(DATE($B$4,$A15,O$11),L_HOLS,0))),"H",IF(INDEX(L_WKNDVAL,WEEKDAY(DATE($B$4,$A15,O$11),1))=1,"WKND",INDEX(T_LEAVE[LEAVE CODE],SUMPRODUCT(--(T_LEAVE[NAME]=I_RPT_EMP),--(T_LEAVE[DATE]&lt;=DATE($B$4,$A15,O$11)),--(T_LEAVE[DATE]&gt;=DATE($B$4,$A15,O$11)),ROW(T_LEAVE[LEAVE CODE]))-ROW(T_LEAVE[#Headers])))))),"")</f>
        <v/>
      </c>
      <c r="P15" s="55" t="str">
        <f ca="1">IFERROR(IF(MONTH(DATE(I_RPT_YR,$A15,P$11))&lt;&gt;$A15,"NA",IF(DATE(I_RPT_YR,$A15,P$11)&gt;I_RPT_ED,"NA",IF(NOT(ISERROR(MATCH(DATE($B$4,$A15,P$11),L_HOLS,0))),"H",IF(INDEX(L_WKNDVAL,WEEKDAY(DATE($B$4,$A15,P$11),1))=1,"WKND",INDEX(T_LEAVE[LEAVE CODE],SUMPRODUCT(--(T_LEAVE[NAME]=I_RPT_EMP),--(T_LEAVE[DATE]&lt;=DATE($B$4,$A15,P$11)),--(T_LEAVE[DATE]&gt;=DATE($B$4,$A15,P$11)),ROW(T_LEAVE[LEAVE CODE]))-ROW(T_LEAVE[#Headers])))))),"")</f>
        <v/>
      </c>
      <c r="Q15" s="55" t="str">
        <f ca="1">IFERROR(IF(MONTH(DATE(I_RPT_YR,$A15,Q$11))&lt;&gt;$A15,"NA",IF(DATE(I_RPT_YR,$A15,Q$11)&gt;I_RPT_ED,"NA",IF(NOT(ISERROR(MATCH(DATE($B$4,$A15,Q$11),L_HOLS,0))),"H",IF(INDEX(L_WKNDVAL,WEEKDAY(DATE($B$4,$A15,Q$11),1))=1,"WKND",INDEX(T_LEAVE[LEAVE CODE],SUMPRODUCT(--(T_LEAVE[NAME]=I_RPT_EMP),--(T_LEAVE[DATE]&lt;=DATE($B$4,$A15,Q$11)),--(T_LEAVE[DATE]&gt;=DATE($B$4,$A15,Q$11)),ROW(T_LEAVE[LEAVE CODE]))-ROW(T_LEAVE[#Headers])))))),"")</f>
        <v/>
      </c>
      <c r="R15" s="55" t="str">
        <f ca="1">IFERROR(IF(MONTH(DATE(I_RPT_YR,$A15,R$11))&lt;&gt;$A15,"NA",IF(DATE(I_RPT_YR,$A15,R$11)&gt;I_RPT_ED,"NA",IF(NOT(ISERROR(MATCH(DATE($B$4,$A15,R$11),L_HOLS,0))),"H",IF(INDEX(L_WKNDVAL,WEEKDAY(DATE($B$4,$A15,R$11),1))=1,"WKND",INDEX(T_LEAVE[LEAVE CODE],SUMPRODUCT(--(T_LEAVE[NAME]=I_RPT_EMP),--(T_LEAVE[DATE]&lt;=DATE($B$4,$A15,R$11)),--(T_LEAVE[DATE]&gt;=DATE($B$4,$A15,R$11)),ROW(T_LEAVE[LEAVE CODE]))-ROW(T_LEAVE[#Headers])))))),"")</f>
        <v/>
      </c>
      <c r="S15" s="55" t="str">
        <f ca="1">IFERROR(IF(MONTH(DATE(I_RPT_YR,$A15,S$11))&lt;&gt;$A15,"NA",IF(DATE(I_RPT_YR,$A15,S$11)&gt;I_RPT_ED,"NA",IF(NOT(ISERROR(MATCH(DATE($B$4,$A15,S$11),L_HOLS,0))),"H",IF(INDEX(L_WKNDVAL,WEEKDAY(DATE($B$4,$A15,S$11),1))=1,"WKND",INDEX(T_LEAVE[LEAVE CODE],SUMPRODUCT(--(T_LEAVE[NAME]=I_RPT_EMP),--(T_LEAVE[DATE]&lt;=DATE($B$4,$A15,S$11)),--(T_LEAVE[DATE]&gt;=DATE($B$4,$A15,S$11)),ROW(T_LEAVE[LEAVE CODE]))-ROW(T_LEAVE[#Headers])))))),"")</f>
        <v/>
      </c>
      <c r="T15" s="55" t="str">
        <f ca="1">IFERROR(IF(MONTH(DATE(I_RPT_YR,$A15,T$11))&lt;&gt;$A15,"NA",IF(DATE(I_RPT_YR,$A15,T$11)&gt;I_RPT_ED,"NA",IF(NOT(ISERROR(MATCH(DATE($B$4,$A15,T$11),L_HOLS,0))),"H",IF(INDEX(L_WKNDVAL,WEEKDAY(DATE($B$4,$A15,T$11),1))=1,"WKND",INDEX(T_LEAVE[LEAVE CODE],SUMPRODUCT(--(T_LEAVE[NAME]=I_RPT_EMP),--(T_LEAVE[DATE]&lt;=DATE($B$4,$A15,T$11)),--(T_LEAVE[DATE]&gt;=DATE($B$4,$A15,T$11)),ROW(T_LEAVE[LEAVE CODE]))-ROW(T_LEAVE[#Headers])))))),"")</f>
        <v/>
      </c>
      <c r="U15" s="55" t="str">
        <f ca="1">IFERROR(IF(MONTH(DATE(I_RPT_YR,$A15,U$11))&lt;&gt;$A15,"NA",IF(DATE(I_RPT_YR,$A15,U$11)&gt;I_RPT_ED,"NA",IF(NOT(ISERROR(MATCH(DATE($B$4,$A15,U$11),L_HOLS,0))),"H",IF(INDEX(L_WKNDVAL,WEEKDAY(DATE($B$4,$A15,U$11),1))=1,"WKND",INDEX(T_LEAVE[LEAVE CODE],SUMPRODUCT(--(T_LEAVE[NAME]=I_RPT_EMP),--(T_LEAVE[DATE]&lt;=DATE($B$4,$A15,U$11)),--(T_LEAVE[DATE]&gt;=DATE($B$4,$A15,U$11)),ROW(T_LEAVE[LEAVE CODE]))-ROW(T_LEAVE[#Headers])))))),"")</f>
        <v/>
      </c>
      <c r="V15" s="55" t="str">
        <f ca="1">IFERROR(IF(MONTH(DATE(I_RPT_YR,$A15,V$11))&lt;&gt;$A15,"NA",IF(DATE(I_RPT_YR,$A15,V$11)&gt;I_RPT_ED,"NA",IF(NOT(ISERROR(MATCH(DATE($B$4,$A15,V$11),L_HOLS,0))),"H",IF(INDEX(L_WKNDVAL,WEEKDAY(DATE($B$4,$A15,V$11),1))=1,"WKND",INDEX(T_LEAVE[LEAVE CODE],SUMPRODUCT(--(T_LEAVE[NAME]=I_RPT_EMP),--(T_LEAVE[DATE]&lt;=DATE($B$4,$A15,V$11)),--(T_LEAVE[DATE]&gt;=DATE($B$4,$A15,V$11)),ROW(T_LEAVE[LEAVE CODE]))-ROW(T_LEAVE[#Headers])))))),"")</f>
        <v/>
      </c>
      <c r="W15" s="55" t="str">
        <f ca="1">IFERROR(IF(MONTH(DATE(I_RPT_YR,$A15,W$11))&lt;&gt;$A15,"NA",IF(DATE(I_RPT_YR,$A15,W$11)&gt;I_RPT_ED,"NA",IF(NOT(ISERROR(MATCH(DATE($B$4,$A15,W$11),L_HOLS,0))),"H",IF(INDEX(L_WKNDVAL,WEEKDAY(DATE($B$4,$A15,W$11),1))=1,"WKND",INDEX(T_LEAVE[LEAVE CODE],SUMPRODUCT(--(T_LEAVE[NAME]=I_RPT_EMP),--(T_LEAVE[DATE]&lt;=DATE($B$4,$A15,W$11)),--(T_LEAVE[DATE]&gt;=DATE($B$4,$A15,W$11)),ROW(T_LEAVE[LEAVE CODE]))-ROW(T_LEAVE[#Headers])))))),"")</f>
        <v/>
      </c>
      <c r="X15" s="55" t="str">
        <f ca="1">IFERROR(IF(MONTH(DATE(I_RPT_YR,$A15,X$11))&lt;&gt;$A15,"NA",IF(DATE(I_RPT_YR,$A15,X$11)&gt;I_RPT_ED,"NA",IF(NOT(ISERROR(MATCH(DATE($B$4,$A15,X$11),L_HOLS,0))),"H",IF(INDEX(L_WKNDVAL,WEEKDAY(DATE($B$4,$A15,X$11),1))=1,"WKND",INDEX(T_LEAVE[LEAVE CODE],SUMPRODUCT(--(T_LEAVE[NAME]=I_RPT_EMP),--(T_LEAVE[DATE]&lt;=DATE($B$4,$A15,X$11)),--(T_LEAVE[DATE]&gt;=DATE($B$4,$A15,X$11)),ROW(T_LEAVE[LEAVE CODE]))-ROW(T_LEAVE[#Headers])))))),"")</f>
        <v/>
      </c>
      <c r="Y15" s="55" t="str">
        <f ca="1">IFERROR(IF(MONTH(DATE(I_RPT_YR,$A15,Y$11))&lt;&gt;$A15,"NA",IF(DATE(I_RPT_YR,$A15,Y$11)&gt;I_RPT_ED,"NA",IF(NOT(ISERROR(MATCH(DATE($B$4,$A15,Y$11),L_HOLS,0))),"H",IF(INDEX(L_WKNDVAL,WEEKDAY(DATE($B$4,$A15,Y$11),1))=1,"WKND",INDEX(T_LEAVE[LEAVE CODE],SUMPRODUCT(--(T_LEAVE[NAME]=I_RPT_EMP),--(T_LEAVE[DATE]&lt;=DATE($B$4,$A15,Y$11)),--(T_LEAVE[DATE]&gt;=DATE($B$4,$A15,Y$11)),ROW(T_LEAVE[LEAVE CODE]))-ROW(T_LEAVE[#Headers])))))),"")</f>
        <v/>
      </c>
      <c r="Z15" s="55" t="str">
        <f ca="1">IFERROR(IF(MONTH(DATE(I_RPT_YR,$A15,Z$11))&lt;&gt;$A15,"NA",IF(DATE(I_RPT_YR,$A15,Z$11)&gt;I_RPT_ED,"NA",IF(NOT(ISERROR(MATCH(DATE($B$4,$A15,Z$11),L_HOLS,0))),"H",IF(INDEX(L_WKNDVAL,WEEKDAY(DATE($B$4,$A15,Z$11),1))=1,"WKND",INDEX(T_LEAVE[LEAVE CODE],SUMPRODUCT(--(T_LEAVE[NAME]=I_RPT_EMP),--(T_LEAVE[DATE]&lt;=DATE($B$4,$A15,Z$11)),--(T_LEAVE[DATE]&gt;=DATE($B$4,$A15,Z$11)),ROW(T_LEAVE[LEAVE CODE]))-ROW(T_LEAVE[#Headers])))))),"")</f>
        <v/>
      </c>
      <c r="AA15" s="55" t="str">
        <f ca="1">IFERROR(IF(MONTH(DATE(I_RPT_YR,$A15,AA$11))&lt;&gt;$A15,"NA",IF(DATE(I_RPT_YR,$A15,AA$11)&gt;I_RPT_ED,"NA",IF(NOT(ISERROR(MATCH(DATE($B$4,$A15,AA$11),L_HOLS,0))),"H",IF(INDEX(L_WKNDVAL,WEEKDAY(DATE($B$4,$A15,AA$11),1))=1,"WKND",INDEX(T_LEAVE[LEAVE CODE],SUMPRODUCT(--(T_LEAVE[NAME]=I_RPT_EMP),--(T_LEAVE[DATE]&lt;=DATE($B$4,$A15,AA$11)),--(T_LEAVE[DATE]&gt;=DATE($B$4,$A15,AA$11)),ROW(T_LEAVE[LEAVE CODE]))-ROW(T_LEAVE[#Headers])))))),"")</f>
        <v/>
      </c>
      <c r="AB15" s="55" t="str">
        <f ca="1">IFERROR(IF(MONTH(DATE(I_RPT_YR,$A15,AB$11))&lt;&gt;$A15,"NA",IF(DATE(I_RPT_YR,$A15,AB$11)&gt;I_RPT_ED,"NA",IF(NOT(ISERROR(MATCH(DATE($B$4,$A15,AB$11),L_HOLS,0))),"H",IF(INDEX(L_WKNDVAL,WEEKDAY(DATE($B$4,$A15,AB$11),1))=1,"WKND",INDEX(T_LEAVE[LEAVE CODE],SUMPRODUCT(--(T_LEAVE[NAME]=I_RPT_EMP),--(T_LEAVE[DATE]&lt;=DATE($B$4,$A15,AB$11)),--(T_LEAVE[DATE]&gt;=DATE($B$4,$A15,AB$11)),ROW(T_LEAVE[LEAVE CODE]))-ROW(T_LEAVE[#Headers])))))),"")</f>
        <v/>
      </c>
      <c r="AC15" s="55" t="str">
        <f ca="1">IFERROR(IF(MONTH(DATE(I_RPT_YR,$A15,AC$11))&lt;&gt;$A15,"NA",IF(DATE(I_RPT_YR,$A15,AC$11)&gt;I_RPT_ED,"NA",IF(NOT(ISERROR(MATCH(DATE($B$4,$A15,AC$11),L_HOLS,0))),"H",IF(INDEX(L_WKNDVAL,WEEKDAY(DATE($B$4,$A15,AC$11),1))=1,"WKND",INDEX(T_LEAVE[LEAVE CODE],SUMPRODUCT(--(T_LEAVE[NAME]=I_RPT_EMP),--(T_LEAVE[DATE]&lt;=DATE($B$4,$A15,AC$11)),--(T_LEAVE[DATE]&gt;=DATE($B$4,$A15,AC$11)),ROW(T_LEAVE[LEAVE CODE]))-ROW(T_LEAVE[#Headers])))))),"")</f>
        <v/>
      </c>
      <c r="AD15" s="55" t="str">
        <f ca="1">IFERROR(IF(MONTH(DATE(I_RPT_YR,$A15,AD$11))&lt;&gt;$A15,"NA",IF(DATE(I_RPT_YR,$A15,AD$11)&gt;I_RPT_ED,"NA",IF(NOT(ISERROR(MATCH(DATE($B$4,$A15,AD$11),L_HOLS,0))),"H",IF(INDEX(L_WKNDVAL,WEEKDAY(DATE($B$4,$A15,AD$11),1))=1,"WKND",INDEX(T_LEAVE[LEAVE CODE],SUMPRODUCT(--(T_LEAVE[NAME]=I_RPT_EMP),--(T_LEAVE[DATE]&lt;=DATE($B$4,$A15,AD$11)),--(T_LEAVE[DATE]&gt;=DATE($B$4,$A15,AD$11)),ROW(T_LEAVE[LEAVE CODE]))-ROW(T_LEAVE[#Headers])))))),"")</f>
        <v/>
      </c>
      <c r="AE15" s="55" t="str">
        <f ca="1">IFERROR(IF(MONTH(DATE(I_RPT_YR,$A15,AE$11))&lt;&gt;$A15,"NA",IF(DATE(I_RPT_YR,$A15,AE$11)&gt;I_RPT_ED,"NA",IF(NOT(ISERROR(MATCH(DATE($B$4,$A15,AE$11),L_HOLS,0))),"H",IF(INDEX(L_WKNDVAL,WEEKDAY(DATE($B$4,$A15,AE$11),1))=1,"WKND",INDEX(T_LEAVE[LEAVE CODE],SUMPRODUCT(--(T_LEAVE[NAME]=I_RPT_EMP),--(T_LEAVE[DATE]&lt;=DATE($B$4,$A15,AE$11)),--(T_LEAVE[DATE]&gt;=DATE($B$4,$A15,AE$11)),ROW(T_LEAVE[LEAVE CODE]))-ROW(T_LEAVE[#Headers])))))),"")</f>
        <v/>
      </c>
      <c r="AF15" s="55" t="str">
        <f ca="1">IFERROR(IF(MONTH(DATE(I_RPT_YR,$A15,AF$11))&lt;&gt;$A15,"NA",IF(DATE(I_RPT_YR,$A15,AF$11)&gt;I_RPT_ED,"NA",IF(NOT(ISERROR(MATCH(DATE($B$4,$A15,AF$11),L_HOLS,0))),"H",IF(INDEX(L_WKNDVAL,WEEKDAY(DATE($B$4,$A15,AF$11),1))=1,"WKND",INDEX(T_LEAVE[LEAVE CODE],SUMPRODUCT(--(T_LEAVE[NAME]=I_RPT_EMP),--(T_LEAVE[DATE]&lt;=DATE($B$4,$A15,AF$11)),--(T_LEAVE[DATE]&gt;=DATE($B$4,$A15,AF$11)),ROW(T_LEAVE[LEAVE CODE]))-ROW(T_LEAVE[#Headers])))))),"")</f>
        <v/>
      </c>
      <c r="AG15" s="55" t="str">
        <f>IFERROR(IF(MONTH(DATE(I_RPT_YR,$A15,AG$11))&lt;&gt;$A15,"NA",IF(DATE(I_RPT_YR,$A15,AG$11)&gt;I_RPT_ED,"NA",IF(NOT(ISERROR(MATCH(DATE($B$4,$A15,AG$11),L_HOLS,0))),"H",IF(INDEX(L_WKNDVAL,WEEKDAY(DATE($B$4,$A15,AG$11),1))=1,"WKND",INDEX(T_LEAVE[LEAVE CODE],SUMPRODUCT(--(T_LEAVE[NAME]=I_RPT_EMP),--(T_LEAVE[DATE]&lt;=DATE($B$4,$A15,AG$11)),--(T_LEAVE[DATE]&gt;=DATE($B$4,$A15,AG$11)),ROW(T_LEAVE[LEAVE CODE]))-ROW(T_LEAVE[#Headers])))))),"")</f>
        <v>NA</v>
      </c>
      <c r="AH15" s="35"/>
      <c r="AI15" s="36"/>
      <c r="AJ15" s="52">
        <f ca="1">IF(OR($B15&gt;I_RPT_ED,AJ$11=""),"",COUNTIFS($C15:$AG15,AJ$11)*INDEX(T_LEAVETYPE[DAY VALUE],1))</f>
        <v>0</v>
      </c>
      <c r="AK15" s="52">
        <f ca="1">IF(OR($B15&gt;I_RPT_ED,AK$11=""),"",COUNTIFS($C15:$AG15,AK$11)*INDEX(T_LEAVETYPE[DAY VALUE],2))</f>
        <v>0</v>
      </c>
      <c r="AL15" s="52">
        <f ca="1">IF(OR($B15&gt;I_RPT_ED,AL$11=""),"",COUNTIFS($C15:$AG15,AL$11)*INDEX(T_LEAVETYPE[DAY VALUE],3))</f>
        <v>0</v>
      </c>
      <c r="AM15" s="52">
        <f ca="1">IF(OR($B15&gt;I_RPT_ED,AM$11=""),"",COUNTIFS($C15:$AG15,AM$11)*INDEX(T_LEAVETYPE[DAY VALUE],4))</f>
        <v>0</v>
      </c>
      <c r="AN15" s="52">
        <f ca="1">IF(OR($B15&gt;I_RPT_ED,AN$11=""),"",COUNTIFS($C15:$AG15,AN$11)*INDEX(T_LEAVETYPE[DAY VALUE],5))</f>
        <v>0</v>
      </c>
      <c r="AO15" s="52">
        <f ca="1">IF(OR($B15&gt;I_RPT_ED,AO$11=""),"",COUNTIFS($C15:$AG15,AO$11)*INDEX(T_LEAVETYPE[DAY VALUE],6))</f>
        <v>0</v>
      </c>
      <c r="AP15" s="52">
        <f ca="1">IF(OR($B15&gt;I_RPT_ED,AP$11=""),"",COUNTIFS($C15:$AG15,AP$11)*INDEX(T_LEAVETYPE[DAY VALUE],7))</f>
        <v>0</v>
      </c>
      <c r="AQ15" s="52">
        <f ca="1">IF(OR($B15&gt;I_RPT_ED,AQ$11=""),"",COUNTIFS($C15:$AG15,AQ$11)*INDEX(T_LEAVETYPE[DAY VALUE],8))</f>
        <v>0</v>
      </c>
      <c r="AR15" s="52">
        <f t="shared" ca="1" si="4"/>
        <v>0</v>
      </c>
      <c r="AS15" s="6"/>
    </row>
    <row r="16" spans="1:45" ht="15.75" x14ac:dyDescent="0.25">
      <c r="A16" s="51">
        <v>5</v>
      </c>
      <c r="B16" s="54">
        <f t="shared" si="3"/>
        <v>44317</v>
      </c>
      <c r="C16" s="55" t="str">
        <f ca="1">IFERROR(IF(MONTH(DATE(I_RPT_YR,$A16,C$11))&lt;&gt;$A16,"NA",IF(DATE(I_RPT_YR,$A16,C$11)&gt;I_RPT_ED,"NA",IF(NOT(ISERROR(MATCH(DATE($B$4,$A16,C$11),L_HOLS,0))),"H",IF(INDEX(L_WKNDVAL,WEEKDAY(DATE($B$4,$A16,C$11),1))=1,"WKND",INDEX(T_LEAVE[LEAVE CODE],SUMPRODUCT(--(T_LEAVE[NAME]=I_RPT_EMP),--(T_LEAVE[DATE]&lt;=DATE($B$4,$A16,C$11)),--(T_LEAVE[DATE]&gt;=DATE($B$4,$A16,C$11)),ROW(T_LEAVE[LEAVE CODE]))-ROW(T_LEAVE[#Headers])))))),"")</f>
        <v>H</v>
      </c>
      <c r="D16" s="55" t="str">
        <f ca="1">IFERROR(IF(MONTH(DATE(I_RPT_YR,$A16,D$11))&lt;&gt;$A16,"NA",IF(DATE(I_RPT_YR,$A16,D$11)&gt;I_RPT_ED,"NA",IF(NOT(ISERROR(MATCH(DATE($B$4,$A16,D$11),L_HOLS,0))),"H",IF(INDEX(L_WKNDVAL,WEEKDAY(DATE($B$4,$A16,D$11),1))=1,"WKND",INDEX(T_LEAVE[LEAVE CODE],SUMPRODUCT(--(T_LEAVE[NAME]=I_RPT_EMP),--(T_LEAVE[DATE]&lt;=DATE($B$4,$A16,D$11)),--(T_LEAVE[DATE]&gt;=DATE($B$4,$A16,D$11)),ROW(T_LEAVE[LEAVE CODE]))-ROW(T_LEAVE[#Headers])))))),"")</f>
        <v/>
      </c>
      <c r="E16" s="55" t="str">
        <f ca="1">IFERROR(IF(MONTH(DATE(I_RPT_YR,$A16,E$11))&lt;&gt;$A16,"NA",IF(DATE(I_RPT_YR,$A16,E$11)&gt;I_RPT_ED,"NA",IF(NOT(ISERROR(MATCH(DATE($B$4,$A16,E$11),L_HOLS,0))),"H",IF(INDEX(L_WKNDVAL,WEEKDAY(DATE($B$4,$A16,E$11),1))=1,"WKND",INDEX(T_LEAVE[LEAVE CODE],SUMPRODUCT(--(T_LEAVE[NAME]=I_RPT_EMP),--(T_LEAVE[DATE]&lt;=DATE($B$4,$A16,E$11)),--(T_LEAVE[DATE]&gt;=DATE($B$4,$A16,E$11)),ROW(T_LEAVE[LEAVE CODE]))-ROW(T_LEAVE[#Headers])))))),"")</f>
        <v/>
      </c>
      <c r="F16" s="55" t="str">
        <f ca="1">IFERROR(IF(MONTH(DATE(I_RPT_YR,$A16,F$11))&lt;&gt;$A16,"NA",IF(DATE(I_RPT_YR,$A16,F$11)&gt;I_RPT_ED,"NA",IF(NOT(ISERROR(MATCH(DATE($B$4,$A16,F$11),L_HOLS,0))),"H",IF(INDEX(L_WKNDVAL,WEEKDAY(DATE($B$4,$A16,F$11),1))=1,"WKND",INDEX(T_LEAVE[LEAVE CODE],SUMPRODUCT(--(T_LEAVE[NAME]=I_RPT_EMP),--(T_LEAVE[DATE]&lt;=DATE($B$4,$A16,F$11)),--(T_LEAVE[DATE]&gt;=DATE($B$4,$A16,F$11)),ROW(T_LEAVE[LEAVE CODE]))-ROW(T_LEAVE[#Headers])))))),"")</f>
        <v/>
      </c>
      <c r="G16" s="55" t="str">
        <f ca="1">IFERROR(IF(MONTH(DATE(I_RPT_YR,$A16,G$11))&lt;&gt;$A16,"NA",IF(DATE(I_RPT_YR,$A16,G$11)&gt;I_RPT_ED,"NA",IF(NOT(ISERROR(MATCH(DATE($B$4,$A16,G$11),L_HOLS,0))),"H",IF(INDEX(L_WKNDVAL,WEEKDAY(DATE($B$4,$A16,G$11),1))=1,"WKND",INDEX(T_LEAVE[LEAVE CODE],SUMPRODUCT(--(T_LEAVE[NAME]=I_RPT_EMP),--(T_LEAVE[DATE]&lt;=DATE($B$4,$A16,G$11)),--(T_LEAVE[DATE]&gt;=DATE($B$4,$A16,G$11)),ROW(T_LEAVE[LEAVE CODE]))-ROW(T_LEAVE[#Headers])))))),"")</f>
        <v/>
      </c>
      <c r="H16" s="55" t="str">
        <f ca="1">IFERROR(IF(MONTH(DATE(I_RPT_YR,$A16,H$11))&lt;&gt;$A16,"NA",IF(DATE(I_RPT_YR,$A16,H$11)&gt;I_RPT_ED,"NA",IF(NOT(ISERROR(MATCH(DATE($B$4,$A16,H$11),L_HOLS,0))),"H",IF(INDEX(L_WKNDVAL,WEEKDAY(DATE($B$4,$A16,H$11),1))=1,"WKND",INDEX(T_LEAVE[LEAVE CODE],SUMPRODUCT(--(T_LEAVE[NAME]=I_RPT_EMP),--(T_LEAVE[DATE]&lt;=DATE($B$4,$A16,H$11)),--(T_LEAVE[DATE]&gt;=DATE($B$4,$A16,H$11)),ROW(T_LEAVE[LEAVE CODE]))-ROW(T_LEAVE[#Headers])))))),"")</f>
        <v/>
      </c>
      <c r="I16" s="55" t="str">
        <f ca="1">IFERROR(IF(MONTH(DATE(I_RPT_YR,$A16,I$11))&lt;&gt;$A16,"NA",IF(DATE(I_RPT_YR,$A16,I$11)&gt;I_RPT_ED,"NA",IF(NOT(ISERROR(MATCH(DATE($B$4,$A16,I$11),L_HOLS,0))),"H",IF(INDEX(L_WKNDVAL,WEEKDAY(DATE($B$4,$A16,I$11),1))=1,"WKND",INDEX(T_LEAVE[LEAVE CODE],SUMPRODUCT(--(T_LEAVE[NAME]=I_RPT_EMP),--(T_LEAVE[DATE]&lt;=DATE($B$4,$A16,I$11)),--(T_LEAVE[DATE]&gt;=DATE($B$4,$A16,I$11)),ROW(T_LEAVE[LEAVE CODE]))-ROW(T_LEAVE[#Headers])))))),"")</f>
        <v/>
      </c>
      <c r="J16" s="55" t="str">
        <f ca="1">IFERROR(IF(MONTH(DATE(I_RPT_YR,$A16,J$11))&lt;&gt;$A16,"NA",IF(DATE(I_RPT_YR,$A16,J$11)&gt;I_RPT_ED,"NA",IF(NOT(ISERROR(MATCH(DATE($B$4,$A16,J$11),L_HOLS,0))),"H",IF(INDEX(L_WKNDVAL,WEEKDAY(DATE($B$4,$A16,J$11),1))=1,"WKND",INDEX(T_LEAVE[LEAVE CODE],SUMPRODUCT(--(T_LEAVE[NAME]=I_RPT_EMP),--(T_LEAVE[DATE]&lt;=DATE($B$4,$A16,J$11)),--(T_LEAVE[DATE]&gt;=DATE($B$4,$A16,J$11)),ROW(T_LEAVE[LEAVE CODE]))-ROW(T_LEAVE[#Headers])))))),"")</f>
        <v/>
      </c>
      <c r="K16" s="55" t="str">
        <f ca="1">IFERROR(IF(MONTH(DATE(I_RPT_YR,$A16,K$11))&lt;&gt;$A16,"NA",IF(DATE(I_RPT_YR,$A16,K$11)&gt;I_RPT_ED,"NA",IF(NOT(ISERROR(MATCH(DATE($B$4,$A16,K$11),L_HOLS,0))),"H",IF(INDEX(L_WKNDVAL,WEEKDAY(DATE($B$4,$A16,K$11),1))=1,"WKND",INDEX(T_LEAVE[LEAVE CODE],SUMPRODUCT(--(T_LEAVE[NAME]=I_RPT_EMP),--(T_LEAVE[DATE]&lt;=DATE($B$4,$A16,K$11)),--(T_LEAVE[DATE]&gt;=DATE($B$4,$A16,K$11)),ROW(T_LEAVE[LEAVE CODE]))-ROW(T_LEAVE[#Headers])))))),"")</f>
        <v/>
      </c>
      <c r="L16" s="55" t="str">
        <f ca="1">IFERROR(IF(MONTH(DATE(I_RPT_YR,$A16,L$11))&lt;&gt;$A16,"NA",IF(DATE(I_RPT_YR,$A16,L$11)&gt;I_RPT_ED,"NA",IF(NOT(ISERROR(MATCH(DATE($B$4,$A16,L$11),L_HOLS,0))),"H",IF(INDEX(L_WKNDVAL,WEEKDAY(DATE($B$4,$A16,L$11),1))=1,"WKND",INDEX(T_LEAVE[LEAVE CODE],SUMPRODUCT(--(T_LEAVE[NAME]=I_RPT_EMP),--(T_LEAVE[DATE]&lt;=DATE($B$4,$A16,L$11)),--(T_LEAVE[DATE]&gt;=DATE($B$4,$A16,L$11)),ROW(T_LEAVE[LEAVE CODE]))-ROW(T_LEAVE[#Headers])))))),"")</f>
        <v/>
      </c>
      <c r="M16" s="55" t="str">
        <f ca="1">IFERROR(IF(MONTH(DATE(I_RPT_YR,$A16,M$11))&lt;&gt;$A16,"NA",IF(DATE(I_RPT_YR,$A16,M$11)&gt;I_RPT_ED,"NA",IF(NOT(ISERROR(MATCH(DATE($B$4,$A16,M$11),L_HOLS,0))),"H",IF(INDEX(L_WKNDVAL,WEEKDAY(DATE($B$4,$A16,M$11),1))=1,"WKND",INDEX(T_LEAVE[LEAVE CODE],SUMPRODUCT(--(T_LEAVE[NAME]=I_RPT_EMP),--(T_LEAVE[DATE]&lt;=DATE($B$4,$A16,M$11)),--(T_LEAVE[DATE]&gt;=DATE($B$4,$A16,M$11)),ROW(T_LEAVE[LEAVE CODE]))-ROW(T_LEAVE[#Headers])))))),"")</f>
        <v/>
      </c>
      <c r="N16" s="55" t="str">
        <f ca="1">IFERROR(IF(MONTH(DATE(I_RPT_YR,$A16,N$11))&lt;&gt;$A16,"NA",IF(DATE(I_RPT_YR,$A16,N$11)&gt;I_RPT_ED,"NA",IF(NOT(ISERROR(MATCH(DATE($B$4,$A16,N$11),L_HOLS,0))),"H",IF(INDEX(L_WKNDVAL,WEEKDAY(DATE($B$4,$A16,N$11),1))=1,"WKND",INDEX(T_LEAVE[LEAVE CODE],SUMPRODUCT(--(T_LEAVE[NAME]=I_RPT_EMP),--(T_LEAVE[DATE]&lt;=DATE($B$4,$A16,N$11)),--(T_LEAVE[DATE]&gt;=DATE($B$4,$A16,N$11)),ROW(T_LEAVE[LEAVE CODE]))-ROW(T_LEAVE[#Headers])))))),"")</f>
        <v/>
      </c>
      <c r="O16" s="55" t="str">
        <f ca="1">IFERROR(IF(MONTH(DATE(I_RPT_YR,$A16,O$11))&lt;&gt;$A16,"NA",IF(DATE(I_RPT_YR,$A16,O$11)&gt;I_RPT_ED,"NA",IF(NOT(ISERROR(MATCH(DATE($B$4,$A16,O$11),L_HOLS,0))),"H",IF(INDEX(L_WKNDVAL,WEEKDAY(DATE($B$4,$A16,O$11),1))=1,"WKND",INDEX(T_LEAVE[LEAVE CODE],SUMPRODUCT(--(T_LEAVE[NAME]=I_RPT_EMP),--(T_LEAVE[DATE]&lt;=DATE($B$4,$A16,O$11)),--(T_LEAVE[DATE]&gt;=DATE($B$4,$A16,O$11)),ROW(T_LEAVE[LEAVE CODE]))-ROW(T_LEAVE[#Headers])))))),"")</f>
        <v>H</v>
      </c>
      <c r="P16" s="55" t="str">
        <f ca="1">IFERROR(IF(MONTH(DATE(I_RPT_YR,$A16,P$11))&lt;&gt;$A16,"NA",IF(DATE(I_RPT_YR,$A16,P$11)&gt;I_RPT_ED,"NA",IF(NOT(ISERROR(MATCH(DATE($B$4,$A16,P$11),L_HOLS,0))),"H",IF(INDEX(L_WKNDVAL,WEEKDAY(DATE($B$4,$A16,P$11),1))=1,"WKND",INDEX(T_LEAVE[LEAVE CODE],SUMPRODUCT(--(T_LEAVE[NAME]=I_RPT_EMP),--(T_LEAVE[DATE]&lt;=DATE($B$4,$A16,P$11)),--(T_LEAVE[DATE]&gt;=DATE($B$4,$A16,P$11)),ROW(T_LEAVE[LEAVE CODE]))-ROW(T_LEAVE[#Headers])))))),"")</f>
        <v/>
      </c>
      <c r="Q16" s="55" t="str">
        <f ca="1">IFERROR(IF(MONTH(DATE(I_RPT_YR,$A16,Q$11))&lt;&gt;$A16,"NA",IF(DATE(I_RPT_YR,$A16,Q$11)&gt;I_RPT_ED,"NA",IF(NOT(ISERROR(MATCH(DATE($B$4,$A16,Q$11),L_HOLS,0))),"H",IF(INDEX(L_WKNDVAL,WEEKDAY(DATE($B$4,$A16,Q$11),1))=1,"WKND",INDEX(T_LEAVE[LEAVE CODE],SUMPRODUCT(--(T_LEAVE[NAME]=I_RPT_EMP),--(T_LEAVE[DATE]&lt;=DATE($B$4,$A16,Q$11)),--(T_LEAVE[DATE]&gt;=DATE($B$4,$A16,Q$11)),ROW(T_LEAVE[LEAVE CODE]))-ROW(T_LEAVE[#Headers])))))),"")</f>
        <v/>
      </c>
      <c r="R16" s="55" t="str">
        <f ca="1">IFERROR(IF(MONTH(DATE(I_RPT_YR,$A16,R$11))&lt;&gt;$A16,"NA",IF(DATE(I_RPT_YR,$A16,R$11)&gt;I_RPT_ED,"NA",IF(NOT(ISERROR(MATCH(DATE($B$4,$A16,R$11),L_HOLS,0))),"H",IF(INDEX(L_WKNDVAL,WEEKDAY(DATE($B$4,$A16,R$11),1))=1,"WKND",INDEX(T_LEAVE[LEAVE CODE],SUMPRODUCT(--(T_LEAVE[NAME]=I_RPT_EMP),--(T_LEAVE[DATE]&lt;=DATE($B$4,$A16,R$11)),--(T_LEAVE[DATE]&gt;=DATE($B$4,$A16,R$11)),ROW(T_LEAVE[LEAVE CODE]))-ROW(T_LEAVE[#Headers])))))),"")</f>
        <v/>
      </c>
      <c r="S16" s="55" t="str">
        <f ca="1">IFERROR(IF(MONTH(DATE(I_RPT_YR,$A16,S$11))&lt;&gt;$A16,"NA",IF(DATE(I_RPT_YR,$A16,S$11)&gt;I_RPT_ED,"NA",IF(NOT(ISERROR(MATCH(DATE($B$4,$A16,S$11),L_HOLS,0))),"H",IF(INDEX(L_WKNDVAL,WEEKDAY(DATE($B$4,$A16,S$11),1))=1,"WKND",INDEX(T_LEAVE[LEAVE CODE],SUMPRODUCT(--(T_LEAVE[NAME]=I_RPT_EMP),--(T_LEAVE[DATE]&lt;=DATE($B$4,$A16,S$11)),--(T_LEAVE[DATE]&gt;=DATE($B$4,$A16,S$11)),ROW(T_LEAVE[LEAVE CODE]))-ROW(T_LEAVE[#Headers])))))),"")</f>
        <v/>
      </c>
      <c r="T16" s="55" t="str">
        <f ca="1">IFERROR(IF(MONTH(DATE(I_RPT_YR,$A16,T$11))&lt;&gt;$A16,"NA",IF(DATE(I_RPT_YR,$A16,T$11)&gt;I_RPT_ED,"NA",IF(NOT(ISERROR(MATCH(DATE($B$4,$A16,T$11),L_HOLS,0))),"H",IF(INDEX(L_WKNDVAL,WEEKDAY(DATE($B$4,$A16,T$11),1))=1,"WKND",INDEX(T_LEAVE[LEAVE CODE],SUMPRODUCT(--(T_LEAVE[NAME]=I_RPT_EMP),--(T_LEAVE[DATE]&lt;=DATE($B$4,$A16,T$11)),--(T_LEAVE[DATE]&gt;=DATE($B$4,$A16,T$11)),ROW(T_LEAVE[LEAVE CODE]))-ROW(T_LEAVE[#Headers])))))),"")</f>
        <v/>
      </c>
      <c r="U16" s="55" t="str">
        <f ca="1">IFERROR(IF(MONTH(DATE(I_RPT_YR,$A16,U$11))&lt;&gt;$A16,"NA",IF(DATE(I_RPT_YR,$A16,U$11)&gt;I_RPT_ED,"NA",IF(NOT(ISERROR(MATCH(DATE($B$4,$A16,U$11),L_HOLS,0))),"H",IF(INDEX(L_WKNDVAL,WEEKDAY(DATE($B$4,$A16,U$11),1))=1,"WKND",INDEX(T_LEAVE[LEAVE CODE],SUMPRODUCT(--(T_LEAVE[NAME]=I_RPT_EMP),--(T_LEAVE[DATE]&lt;=DATE($B$4,$A16,U$11)),--(T_LEAVE[DATE]&gt;=DATE($B$4,$A16,U$11)),ROW(T_LEAVE[LEAVE CODE]))-ROW(T_LEAVE[#Headers])))))),"")</f>
        <v/>
      </c>
      <c r="V16" s="55" t="str">
        <f ca="1">IFERROR(IF(MONTH(DATE(I_RPT_YR,$A16,V$11))&lt;&gt;$A16,"NA",IF(DATE(I_RPT_YR,$A16,V$11)&gt;I_RPT_ED,"NA",IF(NOT(ISERROR(MATCH(DATE($B$4,$A16,V$11),L_HOLS,0))),"H",IF(INDEX(L_WKNDVAL,WEEKDAY(DATE($B$4,$A16,V$11),1))=1,"WKND",INDEX(T_LEAVE[LEAVE CODE],SUMPRODUCT(--(T_LEAVE[NAME]=I_RPT_EMP),--(T_LEAVE[DATE]&lt;=DATE($B$4,$A16,V$11)),--(T_LEAVE[DATE]&gt;=DATE($B$4,$A16,V$11)),ROW(T_LEAVE[LEAVE CODE]))-ROW(T_LEAVE[#Headers])))))),"")</f>
        <v/>
      </c>
      <c r="W16" s="55" t="str">
        <f ca="1">IFERROR(IF(MONTH(DATE(I_RPT_YR,$A16,W$11))&lt;&gt;$A16,"NA",IF(DATE(I_RPT_YR,$A16,W$11)&gt;I_RPT_ED,"NA",IF(NOT(ISERROR(MATCH(DATE($B$4,$A16,W$11),L_HOLS,0))),"H",IF(INDEX(L_WKNDVAL,WEEKDAY(DATE($B$4,$A16,W$11),1))=1,"WKND",INDEX(T_LEAVE[LEAVE CODE],SUMPRODUCT(--(T_LEAVE[NAME]=I_RPT_EMP),--(T_LEAVE[DATE]&lt;=DATE($B$4,$A16,W$11)),--(T_LEAVE[DATE]&gt;=DATE($B$4,$A16,W$11)),ROW(T_LEAVE[LEAVE CODE]))-ROW(T_LEAVE[#Headers])))))),"")</f>
        <v/>
      </c>
      <c r="X16" s="55" t="str">
        <f ca="1">IFERROR(IF(MONTH(DATE(I_RPT_YR,$A16,X$11))&lt;&gt;$A16,"NA",IF(DATE(I_RPT_YR,$A16,X$11)&gt;I_RPT_ED,"NA",IF(NOT(ISERROR(MATCH(DATE($B$4,$A16,X$11),L_HOLS,0))),"H",IF(INDEX(L_WKNDVAL,WEEKDAY(DATE($B$4,$A16,X$11),1))=1,"WKND",INDEX(T_LEAVE[LEAVE CODE],SUMPRODUCT(--(T_LEAVE[NAME]=I_RPT_EMP),--(T_LEAVE[DATE]&lt;=DATE($B$4,$A16,X$11)),--(T_LEAVE[DATE]&gt;=DATE($B$4,$A16,X$11)),ROW(T_LEAVE[LEAVE CODE]))-ROW(T_LEAVE[#Headers])))))),"")</f>
        <v/>
      </c>
      <c r="Y16" s="55" t="str">
        <f ca="1">IFERROR(IF(MONTH(DATE(I_RPT_YR,$A16,Y$11))&lt;&gt;$A16,"NA",IF(DATE(I_RPT_YR,$A16,Y$11)&gt;I_RPT_ED,"NA",IF(NOT(ISERROR(MATCH(DATE($B$4,$A16,Y$11),L_HOLS,0))),"H",IF(INDEX(L_WKNDVAL,WEEKDAY(DATE($B$4,$A16,Y$11),1))=1,"WKND",INDEX(T_LEAVE[LEAVE CODE],SUMPRODUCT(--(T_LEAVE[NAME]=I_RPT_EMP),--(T_LEAVE[DATE]&lt;=DATE($B$4,$A16,Y$11)),--(T_LEAVE[DATE]&gt;=DATE($B$4,$A16,Y$11)),ROW(T_LEAVE[LEAVE CODE]))-ROW(T_LEAVE[#Headers])))))),"")</f>
        <v/>
      </c>
      <c r="Z16" s="55" t="str">
        <f ca="1">IFERROR(IF(MONTH(DATE(I_RPT_YR,$A16,Z$11))&lt;&gt;$A16,"NA",IF(DATE(I_RPT_YR,$A16,Z$11)&gt;I_RPT_ED,"NA",IF(NOT(ISERROR(MATCH(DATE($B$4,$A16,Z$11),L_HOLS,0))),"H",IF(INDEX(L_WKNDVAL,WEEKDAY(DATE($B$4,$A16,Z$11),1))=1,"WKND",INDEX(T_LEAVE[LEAVE CODE],SUMPRODUCT(--(T_LEAVE[NAME]=I_RPT_EMP),--(T_LEAVE[DATE]&lt;=DATE($B$4,$A16,Z$11)),--(T_LEAVE[DATE]&gt;=DATE($B$4,$A16,Z$11)),ROW(T_LEAVE[LEAVE CODE]))-ROW(T_LEAVE[#Headers])))))),"")</f>
        <v/>
      </c>
      <c r="AA16" s="55" t="str">
        <f ca="1">IFERROR(IF(MONTH(DATE(I_RPT_YR,$A16,AA$11))&lt;&gt;$A16,"NA",IF(DATE(I_RPT_YR,$A16,AA$11)&gt;I_RPT_ED,"NA",IF(NOT(ISERROR(MATCH(DATE($B$4,$A16,AA$11),L_HOLS,0))),"H",IF(INDEX(L_WKNDVAL,WEEKDAY(DATE($B$4,$A16,AA$11),1))=1,"WKND",INDEX(T_LEAVE[LEAVE CODE],SUMPRODUCT(--(T_LEAVE[NAME]=I_RPT_EMP),--(T_LEAVE[DATE]&lt;=DATE($B$4,$A16,AA$11)),--(T_LEAVE[DATE]&gt;=DATE($B$4,$A16,AA$11)),ROW(T_LEAVE[LEAVE CODE]))-ROW(T_LEAVE[#Headers])))))),"")</f>
        <v/>
      </c>
      <c r="AB16" s="55" t="str">
        <f ca="1">IFERROR(IF(MONTH(DATE(I_RPT_YR,$A16,AB$11))&lt;&gt;$A16,"NA",IF(DATE(I_RPT_YR,$A16,AB$11)&gt;I_RPT_ED,"NA",IF(NOT(ISERROR(MATCH(DATE($B$4,$A16,AB$11),L_HOLS,0))),"H",IF(INDEX(L_WKNDVAL,WEEKDAY(DATE($B$4,$A16,AB$11),1))=1,"WKND",INDEX(T_LEAVE[LEAVE CODE],SUMPRODUCT(--(T_LEAVE[NAME]=I_RPT_EMP),--(T_LEAVE[DATE]&lt;=DATE($B$4,$A16,AB$11)),--(T_LEAVE[DATE]&gt;=DATE($B$4,$A16,AB$11)),ROW(T_LEAVE[LEAVE CODE]))-ROW(T_LEAVE[#Headers])))))),"")</f>
        <v/>
      </c>
      <c r="AC16" s="55" t="str">
        <f ca="1">IFERROR(IF(MONTH(DATE(I_RPT_YR,$A16,AC$11))&lt;&gt;$A16,"NA",IF(DATE(I_RPT_YR,$A16,AC$11)&gt;I_RPT_ED,"NA",IF(NOT(ISERROR(MATCH(DATE($B$4,$A16,AC$11),L_HOLS,0))),"H",IF(INDEX(L_WKNDVAL,WEEKDAY(DATE($B$4,$A16,AC$11),1))=1,"WKND",INDEX(T_LEAVE[LEAVE CODE],SUMPRODUCT(--(T_LEAVE[NAME]=I_RPT_EMP),--(T_LEAVE[DATE]&lt;=DATE($B$4,$A16,AC$11)),--(T_LEAVE[DATE]&gt;=DATE($B$4,$A16,AC$11)),ROW(T_LEAVE[LEAVE CODE]))-ROW(T_LEAVE[#Headers])))))),"")</f>
        <v/>
      </c>
      <c r="AD16" s="55" t="str">
        <f ca="1">IFERROR(IF(MONTH(DATE(I_RPT_YR,$A16,AD$11))&lt;&gt;$A16,"NA",IF(DATE(I_RPT_YR,$A16,AD$11)&gt;I_RPT_ED,"NA",IF(NOT(ISERROR(MATCH(DATE($B$4,$A16,AD$11),L_HOLS,0))),"H",IF(INDEX(L_WKNDVAL,WEEKDAY(DATE($B$4,$A16,AD$11),1))=1,"WKND",INDEX(T_LEAVE[LEAVE CODE],SUMPRODUCT(--(T_LEAVE[NAME]=I_RPT_EMP),--(T_LEAVE[DATE]&lt;=DATE($B$4,$A16,AD$11)),--(T_LEAVE[DATE]&gt;=DATE($B$4,$A16,AD$11)),ROW(T_LEAVE[LEAVE CODE]))-ROW(T_LEAVE[#Headers])))))),"")</f>
        <v/>
      </c>
      <c r="AE16" s="55" t="str">
        <f ca="1">IFERROR(IF(MONTH(DATE(I_RPT_YR,$A16,AE$11))&lt;&gt;$A16,"NA",IF(DATE(I_RPT_YR,$A16,AE$11)&gt;I_RPT_ED,"NA",IF(NOT(ISERROR(MATCH(DATE($B$4,$A16,AE$11),L_HOLS,0))),"H",IF(INDEX(L_WKNDVAL,WEEKDAY(DATE($B$4,$A16,AE$11),1))=1,"WKND",INDEX(T_LEAVE[LEAVE CODE],SUMPRODUCT(--(T_LEAVE[NAME]=I_RPT_EMP),--(T_LEAVE[DATE]&lt;=DATE($B$4,$A16,AE$11)),--(T_LEAVE[DATE]&gt;=DATE($B$4,$A16,AE$11)),ROW(T_LEAVE[LEAVE CODE]))-ROW(T_LEAVE[#Headers])))))),"")</f>
        <v/>
      </c>
      <c r="AF16" s="55" t="str">
        <f ca="1">IFERROR(IF(MONTH(DATE(I_RPT_YR,$A16,AF$11))&lt;&gt;$A16,"NA",IF(DATE(I_RPT_YR,$A16,AF$11)&gt;I_RPT_ED,"NA",IF(NOT(ISERROR(MATCH(DATE($B$4,$A16,AF$11),L_HOLS,0))),"H",IF(INDEX(L_WKNDVAL,WEEKDAY(DATE($B$4,$A16,AF$11),1))=1,"WKND",INDEX(T_LEAVE[LEAVE CODE],SUMPRODUCT(--(T_LEAVE[NAME]=I_RPT_EMP),--(T_LEAVE[DATE]&lt;=DATE($B$4,$A16,AF$11)),--(T_LEAVE[DATE]&gt;=DATE($B$4,$A16,AF$11)),ROW(T_LEAVE[LEAVE CODE]))-ROW(T_LEAVE[#Headers])))))),"")</f>
        <v/>
      </c>
      <c r="AG16" s="55" t="str">
        <f ca="1">IFERROR(IF(MONTH(DATE(I_RPT_YR,$A16,AG$11))&lt;&gt;$A16,"NA",IF(DATE(I_RPT_YR,$A16,AG$11)&gt;I_RPT_ED,"NA",IF(NOT(ISERROR(MATCH(DATE($B$4,$A16,AG$11),L_HOLS,0))),"H",IF(INDEX(L_WKNDVAL,WEEKDAY(DATE($B$4,$A16,AG$11),1))=1,"WKND",INDEX(T_LEAVE[LEAVE CODE],SUMPRODUCT(--(T_LEAVE[NAME]=I_RPT_EMP),--(T_LEAVE[DATE]&lt;=DATE($B$4,$A16,AG$11)),--(T_LEAVE[DATE]&gt;=DATE($B$4,$A16,AG$11)),ROW(T_LEAVE[LEAVE CODE]))-ROW(T_LEAVE[#Headers])))))),"")</f>
        <v/>
      </c>
      <c r="AH16" s="35"/>
      <c r="AI16" s="36"/>
      <c r="AJ16" s="52">
        <f ca="1">IF(OR($B16&gt;I_RPT_ED,AJ$11=""),"",COUNTIFS($C16:$AG16,AJ$11)*INDEX(T_LEAVETYPE[DAY VALUE],1))</f>
        <v>0</v>
      </c>
      <c r="AK16" s="52">
        <f ca="1">IF(OR($B16&gt;I_RPT_ED,AK$11=""),"",COUNTIFS($C16:$AG16,AK$11)*INDEX(T_LEAVETYPE[DAY VALUE],2))</f>
        <v>0</v>
      </c>
      <c r="AL16" s="52">
        <f ca="1">IF(OR($B16&gt;I_RPT_ED,AL$11=""),"",COUNTIFS($C16:$AG16,AL$11)*INDEX(T_LEAVETYPE[DAY VALUE],3))</f>
        <v>0</v>
      </c>
      <c r="AM16" s="52">
        <f ca="1">IF(OR($B16&gt;I_RPT_ED,AM$11=""),"",COUNTIFS($C16:$AG16,AM$11)*INDEX(T_LEAVETYPE[DAY VALUE],4))</f>
        <v>0</v>
      </c>
      <c r="AN16" s="52">
        <f ca="1">IF(OR($B16&gt;I_RPT_ED,AN$11=""),"",COUNTIFS($C16:$AG16,AN$11)*INDEX(T_LEAVETYPE[DAY VALUE],5))</f>
        <v>0</v>
      </c>
      <c r="AO16" s="52">
        <f ca="1">IF(OR($B16&gt;I_RPT_ED,AO$11=""),"",COUNTIFS($C16:$AG16,AO$11)*INDEX(T_LEAVETYPE[DAY VALUE],6))</f>
        <v>0</v>
      </c>
      <c r="AP16" s="52">
        <f ca="1">IF(OR($B16&gt;I_RPT_ED,AP$11=""),"",COUNTIFS($C16:$AG16,AP$11)*INDEX(T_LEAVETYPE[DAY VALUE],7))</f>
        <v>0</v>
      </c>
      <c r="AQ16" s="52">
        <f ca="1">IF(OR($B16&gt;I_RPT_ED,AQ$11=""),"",COUNTIFS($C16:$AG16,AQ$11)*INDEX(T_LEAVETYPE[DAY VALUE],8))</f>
        <v>0</v>
      </c>
      <c r="AR16" s="52">
        <f t="shared" ca="1" si="4"/>
        <v>0</v>
      </c>
      <c r="AS16" s="6"/>
    </row>
    <row r="17" spans="1:45" ht="15.75" x14ac:dyDescent="0.25">
      <c r="A17" s="51">
        <v>6</v>
      </c>
      <c r="B17" s="54">
        <f t="shared" si="3"/>
        <v>44348</v>
      </c>
      <c r="C17" s="55" t="str">
        <f ca="1">IFERROR(IF(MONTH(DATE(I_RPT_YR,$A17,C$11))&lt;&gt;$A17,"NA",IF(DATE(I_RPT_YR,$A17,C$11)&gt;I_RPT_ED,"NA",IF(NOT(ISERROR(MATCH(DATE($B$4,$A17,C$11),L_HOLS,0))),"H",IF(INDEX(L_WKNDVAL,WEEKDAY(DATE($B$4,$A17,C$11),1))=1,"WKND",INDEX(T_LEAVE[LEAVE CODE],SUMPRODUCT(--(T_LEAVE[NAME]=I_RPT_EMP),--(T_LEAVE[DATE]&lt;=DATE($B$4,$A17,C$11)),--(T_LEAVE[DATE]&gt;=DATE($B$4,$A17,C$11)),ROW(T_LEAVE[LEAVE CODE]))-ROW(T_LEAVE[#Headers])))))),"")</f>
        <v/>
      </c>
      <c r="D17" s="55" t="str">
        <f ca="1">IFERROR(IF(MONTH(DATE(I_RPT_YR,$A17,D$11))&lt;&gt;$A17,"NA",IF(DATE(I_RPT_YR,$A17,D$11)&gt;I_RPT_ED,"NA",IF(NOT(ISERROR(MATCH(DATE($B$4,$A17,D$11),L_HOLS,0))),"H",IF(INDEX(L_WKNDVAL,WEEKDAY(DATE($B$4,$A17,D$11),1))=1,"WKND",INDEX(T_LEAVE[LEAVE CODE],SUMPRODUCT(--(T_LEAVE[NAME]=I_RPT_EMP),--(T_LEAVE[DATE]&lt;=DATE($B$4,$A17,D$11)),--(T_LEAVE[DATE]&gt;=DATE($B$4,$A17,D$11)),ROW(T_LEAVE[LEAVE CODE]))-ROW(T_LEAVE[#Headers])))))),"")</f>
        <v/>
      </c>
      <c r="E17" s="55" t="str">
        <f ca="1">IFERROR(IF(MONTH(DATE(I_RPT_YR,$A17,E$11))&lt;&gt;$A17,"NA",IF(DATE(I_RPT_YR,$A17,E$11)&gt;I_RPT_ED,"NA",IF(NOT(ISERROR(MATCH(DATE($B$4,$A17,E$11),L_HOLS,0))),"H",IF(INDEX(L_WKNDVAL,WEEKDAY(DATE($B$4,$A17,E$11),1))=1,"WKND",INDEX(T_LEAVE[LEAVE CODE],SUMPRODUCT(--(T_LEAVE[NAME]=I_RPT_EMP),--(T_LEAVE[DATE]&lt;=DATE($B$4,$A17,E$11)),--(T_LEAVE[DATE]&gt;=DATE($B$4,$A17,E$11)),ROW(T_LEAVE[LEAVE CODE]))-ROW(T_LEAVE[#Headers])))))),"")</f>
        <v/>
      </c>
      <c r="F17" s="55" t="str">
        <f ca="1">IFERROR(IF(MONTH(DATE(I_RPT_YR,$A17,F$11))&lt;&gt;$A17,"NA",IF(DATE(I_RPT_YR,$A17,F$11)&gt;I_RPT_ED,"NA",IF(NOT(ISERROR(MATCH(DATE($B$4,$A17,F$11),L_HOLS,0))),"H",IF(INDEX(L_WKNDVAL,WEEKDAY(DATE($B$4,$A17,F$11),1))=1,"WKND",INDEX(T_LEAVE[LEAVE CODE],SUMPRODUCT(--(T_LEAVE[NAME]=I_RPT_EMP),--(T_LEAVE[DATE]&lt;=DATE($B$4,$A17,F$11)),--(T_LEAVE[DATE]&gt;=DATE($B$4,$A17,F$11)),ROW(T_LEAVE[LEAVE CODE]))-ROW(T_LEAVE[#Headers])))))),"")</f>
        <v/>
      </c>
      <c r="G17" s="55" t="str">
        <f ca="1">IFERROR(IF(MONTH(DATE(I_RPT_YR,$A17,G$11))&lt;&gt;$A17,"NA",IF(DATE(I_RPT_YR,$A17,G$11)&gt;I_RPT_ED,"NA",IF(NOT(ISERROR(MATCH(DATE($B$4,$A17,G$11),L_HOLS,0))),"H",IF(INDEX(L_WKNDVAL,WEEKDAY(DATE($B$4,$A17,G$11),1))=1,"WKND",INDEX(T_LEAVE[LEAVE CODE],SUMPRODUCT(--(T_LEAVE[NAME]=I_RPT_EMP),--(T_LEAVE[DATE]&lt;=DATE($B$4,$A17,G$11)),--(T_LEAVE[DATE]&gt;=DATE($B$4,$A17,G$11)),ROW(T_LEAVE[LEAVE CODE]))-ROW(T_LEAVE[#Headers])))))),"")</f>
        <v/>
      </c>
      <c r="H17" s="55" t="str">
        <f ca="1">IFERROR(IF(MONTH(DATE(I_RPT_YR,$A17,H$11))&lt;&gt;$A17,"NA",IF(DATE(I_RPT_YR,$A17,H$11)&gt;I_RPT_ED,"NA",IF(NOT(ISERROR(MATCH(DATE($B$4,$A17,H$11),L_HOLS,0))),"H",IF(INDEX(L_WKNDVAL,WEEKDAY(DATE($B$4,$A17,H$11),1))=1,"WKND",INDEX(T_LEAVE[LEAVE CODE],SUMPRODUCT(--(T_LEAVE[NAME]=I_RPT_EMP),--(T_LEAVE[DATE]&lt;=DATE($B$4,$A17,H$11)),--(T_LEAVE[DATE]&gt;=DATE($B$4,$A17,H$11)),ROW(T_LEAVE[LEAVE CODE]))-ROW(T_LEAVE[#Headers])))))),"")</f>
        <v/>
      </c>
      <c r="I17" s="55" t="str">
        <f ca="1">IFERROR(IF(MONTH(DATE(I_RPT_YR,$A17,I$11))&lt;&gt;$A17,"NA",IF(DATE(I_RPT_YR,$A17,I$11)&gt;I_RPT_ED,"NA",IF(NOT(ISERROR(MATCH(DATE($B$4,$A17,I$11),L_HOLS,0))),"H",IF(INDEX(L_WKNDVAL,WEEKDAY(DATE($B$4,$A17,I$11),1))=1,"WKND",INDEX(T_LEAVE[LEAVE CODE],SUMPRODUCT(--(T_LEAVE[NAME]=I_RPT_EMP),--(T_LEAVE[DATE]&lt;=DATE($B$4,$A17,I$11)),--(T_LEAVE[DATE]&gt;=DATE($B$4,$A17,I$11)),ROW(T_LEAVE[LEAVE CODE]))-ROW(T_LEAVE[#Headers])))))),"")</f>
        <v/>
      </c>
      <c r="J17" s="55" t="str">
        <f ca="1">IFERROR(IF(MONTH(DATE(I_RPT_YR,$A17,J$11))&lt;&gt;$A17,"NA",IF(DATE(I_RPT_YR,$A17,J$11)&gt;I_RPT_ED,"NA",IF(NOT(ISERROR(MATCH(DATE($B$4,$A17,J$11),L_HOLS,0))),"H",IF(INDEX(L_WKNDVAL,WEEKDAY(DATE($B$4,$A17,J$11),1))=1,"WKND",INDEX(T_LEAVE[LEAVE CODE],SUMPRODUCT(--(T_LEAVE[NAME]=I_RPT_EMP),--(T_LEAVE[DATE]&lt;=DATE($B$4,$A17,J$11)),--(T_LEAVE[DATE]&gt;=DATE($B$4,$A17,J$11)),ROW(T_LEAVE[LEAVE CODE]))-ROW(T_LEAVE[#Headers])))))),"")</f>
        <v/>
      </c>
      <c r="K17" s="55" t="str">
        <f ca="1">IFERROR(IF(MONTH(DATE(I_RPT_YR,$A17,K$11))&lt;&gt;$A17,"NA",IF(DATE(I_RPT_YR,$A17,K$11)&gt;I_RPT_ED,"NA",IF(NOT(ISERROR(MATCH(DATE($B$4,$A17,K$11),L_HOLS,0))),"H",IF(INDEX(L_WKNDVAL,WEEKDAY(DATE($B$4,$A17,K$11),1))=1,"WKND",INDEX(T_LEAVE[LEAVE CODE],SUMPRODUCT(--(T_LEAVE[NAME]=I_RPT_EMP),--(T_LEAVE[DATE]&lt;=DATE($B$4,$A17,K$11)),--(T_LEAVE[DATE]&gt;=DATE($B$4,$A17,K$11)),ROW(T_LEAVE[LEAVE CODE]))-ROW(T_LEAVE[#Headers])))))),"")</f>
        <v/>
      </c>
      <c r="L17" s="55" t="str">
        <f ca="1">IFERROR(IF(MONTH(DATE(I_RPT_YR,$A17,L$11))&lt;&gt;$A17,"NA",IF(DATE(I_RPT_YR,$A17,L$11)&gt;I_RPT_ED,"NA",IF(NOT(ISERROR(MATCH(DATE($B$4,$A17,L$11),L_HOLS,0))),"H",IF(INDEX(L_WKNDVAL,WEEKDAY(DATE($B$4,$A17,L$11),1))=1,"WKND",INDEX(T_LEAVE[LEAVE CODE],SUMPRODUCT(--(T_LEAVE[NAME]=I_RPT_EMP),--(T_LEAVE[DATE]&lt;=DATE($B$4,$A17,L$11)),--(T_LEAVE[DATE]&gt;=DATE($B$4,$A17,L$11)),ROW(T_LEAVE[LEAVE CODE]))-ROW(T_LEAVE[#Headers])))))),"")</f>
        <v/>
      </c>
      <c r="M17" s="55" t="str">
        <f ca="1">IFERROR(IF(MONTH(DATE(I_RPT_YR,$A17,M$11))&lt;&gt;$A17,"NA",IF(DATE(I_RPT_YR,$A17,M$11)&gt;I_RPT_ED,"NA",IF(NOT(ISERROR(MATCH(DATE($B$4,$A17,M$11),L_HOLS,0))),"H",IF(INDEX(L_WKNDVAL,WEEKDAY(DATE($B$4,$A17,M$11),1))=1,"WKND",INDEX(T_LEAVE[LEAVE CODE],SUMPRODUCT(--(T_LEAVE[NAME]=I_RPT_EMP),--(T_LEAVE[DATE]&lt;=DATE($B$4,$A17,M$11)),--(T_LEAVE[DATE]&gt;=DATE($B$4,$A17,M$11)),ROW(T_LEAVE[LEAVE CODE]))-ROW(T_LEAVE[#Headers])))))),"")</f>
        <v/>
      </c>
      <c r="N17" s="55" t="str">
        <f ca="1">IFERROR(IF(MONTH(DATE(I_RPT_YR,$A17,N$11))&lt;&gt;$A17,"NA",IF(DATE(I_RPT_YR,$A17,N$11)&gt;I_RPT_ED,"NA",IF(NOT(ISERROR(MATCH(DATE($B$4,$A17,N$11),L_HOLS,0))),"H",IF(INDEX(L_WKNDVAL,WEEKDAY(DATE($B$4,$A17,N$11),1))=1,"WKND",INDEX(T_LEAVE[LEAVE CODE],SUMPRODUCT(--(T_LEAVE[NAME]=I_RPT_EMP),--(T_LEAVE[DATE]&lt;=DATE($B$4,$A17,N$11)),--(T_LEAVE[DATE]&gt;=DATE($B$4,$A17,N$11)),ROW(T_LEAVE[LEAVE CODE]))-ROW(T_LEAVE[#Headers])))))),"")</f>
        <v>H</v>
      </c>
      <c r="O17" s="55" t="str">
        <f ca="1">IFERROR(IF(MONTH(DATE(I_RPT_YR,$A17,O$11))&lt;&gt;$A17,"NA",IF(DATE(I_RPT_YR,$A17,O$11)&gt;I_RPT_ED,"NA",IF(NOT(ISERROR(MATCH(DATE($B$4,$A17,O$11),L_HOLS,0))),"H",IF(INDEX(L_WKNDVAL,WEEKDAY(DATE($B$4,$A17,O$11),1))=1,"WKND",INDEX(T_LEAVE[LEAVE CODE],SUMPRODUCT(--(T_LEAVE[NAME]=I_RPT_EMP),--(T_LEAVE[DATE]&lt;=DATE($B$4,$A17,O$11)),--(T_LEAVE[DATE]&gt;=DATE($B$4,$A17,O$11)),ROW(T_LEAVE[LEAVE CODE]))-ROW(T_LEAVE[#Headers])))))),"")</f>
        <v/>
      </c>
      <c r="P17" s="55" t="str">
        <f ca="1">IFERROR(IF(MONTH(DATE(I_RPT_YR,$A17,P$11))&lt;&gt;$A17,"NA",IF(DATE(I_RPT_YR,$A17,P$11)&gt;I_RPT_ED,"NA",IF(NOT(ISERROR(MATCH(DATE($B$4,$A17,P$11),L_HOLS,0))),"H",IF(INDEX(L_WKNDVAL,WEEKDAY(DATE($B$4,$A17,P$11),1))=1,"WKND",INDEX(T_LEAVE[LEAVE CODE],SUMPRODUCT(--(T_LEAVE[NAME]=I_RPT_EMP),--(T_LEAVE[DATE]&lt;=DATE($B$4,$A17,P$11)),--(T_LEAVE[DATE]&gt;=DATE($B$4,$A17,P$11)),ROW(T_LEAVE[LEAVE CODE]))-ROW(T_LEAVE[#Headers])))))),"")</f>
        <v/>
      </c>
      <c r="Q17" s="55" t="str">
        <f ca="1">IFERROR(IF(MONTH(DATE(I_RPT_YR,$A17,Q$11))&lt;&gt;$A17,"NA",IF(DATE(I_RPT_YR,$A17,Q$11)&gt;I_RPT_ED,"NA",IF(NOT(ISERROR(MATCH(DATE($B$4,$A17,Q$11),L_HOLS,0))),"H",IF(INDEX(L_WKNDVAL,WEEKDAY(DATE($B$4,$A17,Q$11),1))=1,"WKND",INDEX(T_LEAVE[LEAVE CODE],SUMPRODUCT(--(T_LEAVE[NAME]=I_RPT_EMP),--(T_LEAVE[DATE]&lt;=DATE($B$4,$A17,Q$11)),--(T_LEAVE[DATE]&gt;=DATE($B$4,$A17,Q$11)),ROW(T_LEAVE[LEAVE CODE]))-ROW(T_LEAVE[#Headers])))))),"")</f>
        <v/>
      </c>
      <c r="R17" s="55" t="str">
        <f ca="1">IFERROR(IF(MONTH(DATE(I_RPT_YR,$A17,R$11))&lt;&gt;$A17,"NA",IF(DATE(I_RPT_YR,$A17,R$11)&gt;I_RPT_ED,"NA",IF(NOT(ISERROR(MATCH(DATE($B$4,$A17,R$11),L_HOLS,0))),"H",IF(INDEX(L_WKNDVAL,WEEKDAY(DATE($B$4,$A17,R$11),1))=1,"WKND",INDEX(T_LEAVE[LEAVE CODE],SUMPRODUCT(--(T_LEAVE[NAME]=I_RPT_EMP),--(T_LEAVE[DATE]&lt;=DATE($B$4,$A17,R$11)),--(T_LEAVE[DATE]&gt;=DATE($B$4,$A17,R$11)),ROW(T_LEAVE[LEAVE CODE]))-ROW(T_LEAVE[#Headers])))))),"")</f>
        <v/>
      </c>
      <c r="S17" s="55" t="str">
        <f ca="1">IFERROR(IF(MONTH(DATE(I_RPT_YR,$A17,S$11))&lt;&gt;$A17,"NA",IF(DATE(I_RPT_YR,$A17,S$11)&gt;I_RPT_ED,"NA",IF(NOT(ISERROR(MATCH(DATE($B$4,$A17,S$11),L_HOLS,0))),"H",IF(INDEX(L_WKNDVAL,WEEKDAY(DATE($B$4,$A17,S$11),1))=1,"WKND",INDEX(T_LEAVE[LEAVE CODE],SUMPRODUCT(--(T_LEAVE[NAME]=I_RPT_EMP),--(T_LEAVE[DATE]&lt;=DATE($B$4,$A17,S$11)),--(T_LEAVE[DATE]&gt;=DATE($B$4,$A17,S$11)),ROW(T_LEAVE[LEAVE CODE]))-ROW(T_LEAVE[#Headers])))))),"")</f>
        <v/>
      </c>
      <c r="T17" s="55" t="str">
        <f ca="1">IFERROR(IF(MONTH(DATE(I_RPT_YR,$A17,T$11))&lt;&gt;$A17,"NA",IF(DATE(I_RPT_YR,$A17,T$11)&gt;I_RPT_ED,"NA",IF(NOT(ISERROR(MATCH(DATE($B$4,$A17,T$11),L_HOLS,0))),"H",IF(INDEX(L_WKNDVAL,WEEKDAY(DATE($B$4,$A17,T$11),1))=1,"WKND",INDEX(T_LEAVE[LEAVE CODE],SUMPRODUCT(--(T_LEAVE[NAME]=I_RPT_EMP),--(T_LEAVE[DATE]&lt;=DATE($B$4,$A17,T$11)),--(T_LEAVE[DATE]&gt;=DATE($B$4,$A17,T$11)),ROW(T_LEAVE[LEAVE CODE]))-ROW(T_LEAVE[#Headers])))))),"")</f>
        <v/>
      </c>
      <c r="U17" s="55" t="str">
        <f ca="1">IFERROR(IF(MONTH(DATE(I_RPT_YR,$A17,U$11))&lt;&gt;$A17,"NA",IF(DATE(I_RPT_YR,$A17,U$11)&gt;I_RPT_ED,"NA",IF(NOT(ISERROR(MATCH(DATE($B$4,$A17,U$11),L_HOLS,0))),"H",IF(INDEX(L_WKNDVAL,WEEKDAY(DATE($B$4,$A17,U$11),1))=1,"WKND",INDEX(T_LEAVE[LEAVE CODE],SUMPRODUCT(--(T_LEAVE[NAME]=I_RPT_EMP),--(T_LEAVE[DATE]&lt;=DATE($B$4,$A17,U$11)),--(T_LEAVE[DATE]&gt;=DATE($B$4,$A17,U$11)),ROW(T_LEAVE[LEAVE CODE]))-ROW(T_LEAVE[#Headers])))))),"")</f>
        <v/>
      </c>
      <c r="V17" s="55" t="str">
        <f ca="1">IFERROR(IF(MONTH(DATE(I_RPT_YR,$A17,V$11))&lt;&gt;$A17,"NA",IF(DATE(I_RPT_YR,$A17,V$11)&gt;I_RPT_ED,"NA",IF(NOT(ISERROR(MATCH(DATE($B$4,$A17,V$11),L_HOLS,0))),"H",IF(INDEX(L_WKNDVAL,WEEKDAY(DATE($B$4,$A17,V$11),1))=1,"WKND",INDEX(T_LEAVE[LEAVE CODE],SUMPRODUCT(--(T_LEAVE[NAME]=I_RPT_EMP),--(T_LEAVE[DATE]&lt;=DATE($B$4,$A17,V$11)),--(T_LEAVE[DATE]&gt;=DATE($B$4,$A17,V$11)),ROW(T_LEAVE[LEAVE CODE]))-ROW(T_LEAVE[#Headers])))))),"")</f>
        <v/>
      </c>
      <c r="W17" s="55" t="str">
        <f ca="1">IFERROR(IF(MONTH(DATE(I_RPT_YR,$A17,W$11))&lt;&gt;$A17,"NA",IF(DATE(I_RPT_YR,$A17,W$11)&gt;I_RPT_ED,"NA",IF(NOT(ISERROR(MATCH(DATE($B$4,$A17,W$11),L_HOLS,0))),"H",IF(INDEX(L_WKNDVAL,WEEKDAY(DATE($B$4,$A17,W$11),1))=1,"WKND",INDEX(T_LEAVE[LEAVE CODE],SUMPRODUCT(--(T_LEAVE[NAME]=I_RPT_EMP),--(T_LEAVE[DATE]&lt;=DATE($B$4,$A17,W$11)),--(T_LEAVE[DATE]&gt;=DATE($B$4,$A17,W$11)),ROW(T_LEAVE[LEAVE CODE]))-ROW(T_LEAVE[#Headers])))))),"")</f>
        <v/>
      </c>
      <c r="X17" s="55" t="str">
        <f ca="1">IFERROR(IF(MONTH(DATE(I_RPT_YR,$A17,X$11))&lt;&gt;$A17,"NA",IF(DATE(I_RPT_YR,$A17,X$11)&gt;I_RPT_ED,"NA",IF(NOT(ISERROR(MATCH(DATE($B$4,$A17,X$11),L_HOLS,0))),"H",IF(INDEX(L_WKNDVAL,WEEKDAY(DATE($B$4,$A17,X$11),1))=1,"WKND",INDEX(T_LEAVE[LEAVE CODE],SUMPRODUCT(--(T_LEAVE[NAME]=I_RPT_EMP),--(T_LEAVE[DATE]&lt;=DATE($B$4,$A17,X$11)),--(T_LEAVE[DATE]&gt;=DATE($B$4,$A17,X$11)),ROW(T_LEAVE[LEAVE CODE]))-ROW(T_LEAVE[#Headers])))))),"")</f>
        <v/>
      </c>
      <c r="Y17" s="55" t="str">
        <f ca="1">IFERROR(IF(MONTH(DATE(I_RPT_YR,$A17,Y$11))&lt;&gt;$A17,"NA",IF(DATE(I_RPT_YR,$A17,Y$11)&gt;I_RPT_ED,"NA",IF(NOT(ISERROR(MATCH(DATE($B$4,$A17,Y$11),L_HOLS,0))),"H",IF(INDEX(L_WKNDVAL,WEEKDAY(DATE($B$4,$A17,Y$11),1))=1,"WKND",INDEX(T_LEAVE[LEAVE CODE],SUMPRODUCT(--(T_LEAVE[NAME]=I_RPT_EMP),--(T_LEAVE[DATE]&lt;=DATE($B$4,$A17,Y$11)),--(T_LEAVE[DATE]&gt;=DATE($B$4,$A17,Y$11)),ROW(T_LEAVE[LEAVE CODE]))-ROW(T_LEAVE[#Headers])))))),"")</f>
        <v/>
      </c>
      <c r="Z17" s="55" t="str">
        <f ca="1">IFERROR(IF(MONTH(DATE(I_RPT_YR,$A17,Z$11))&lt;&gt;$A17,"NA",IF(DATE(I_RPT_YR,$A17,Z$11)&gt;I_RPT_ED,"NA",IF(NOT(ISERROR(MATCH(DATE($B$4,$A17,Z$11),L_HOLS,0))),"H",IF(INDEX(L_WKNDVAL,WEEKDAY(DATE($B$4,$A17,Z$11),1))=1,"WKND",INDEX(T_LEAVE[LEAVE CODE],SUMPRODUCT(--(T_LEAVE[NAME]=I_RPT_EMP),--(T_LEAVE[DATE]&lt;=DATE($B$4,$A17,Z$11)),--(T_LEAVE[DATE]&gt;=DATE($B$4,$A17,Z$11)),ROW(T_LEAVE[LEAVE CODE]))-ROW(T_LEAVE[#Headers])))))),"")</f>
        <v/>
      </c>
      <c r="AA17" s="55" t="str">
        <f ca="1">IFERROR(IF(MONTH(DATE(I_RPT_YR,$A17,AA$11))&lt;&gt;$A17,"NA",IF(DATE(I_RPT_YR,$A17,AA$11)&gt;I_RPT_ED,"NA",IF(NOT(ISERROR(MATCH(DATE($B$4,$A17,AA$11),L_HOLS,0))),"H",IF(INDEX(L_WKNDVAL,WEEKDAY(DATE($B$4,$A17,AA$11),1))=1,"WKND",INDEX(T_LEAVE[LEAVE CODE],SUMPRODUCT(--(T_LEAVE[NAME]=I_RPT_EMP),--(T_LEAVE[DATE]&lt;=DATE($B$4,$A17,AA$11)),--(T_LEAVE[DATE]&gt;=DATE($B$4,$A17,AA$11)),ROW(T_LEAVE[LEAVE CODE]))-ROW(T_LEAVE[#Headers])))))),"")</f>
        <v/>
      </c>
      <c r="AB17" s="55" t="str">
        <f ca="1">IFERROR(IF(MONTH(DATE(I_RPT_YR,$A17,AB$11))&lt;&gt;$A17,"NA",IF(DATE(I_RPT_YR,$A17,AB$11)&gt;I_RPT_ED,"NA",IF(NOT(ISERROR(MATCH(DATE($B$4,$A17,AB$11),L_HOLS,0))),"H",IF(INDEX(L_WKNDVAL,WEEKDAY(DATE($B$4,$A17,AB$11),1))=1,"WKND",INDEX(T_LEAVE[LEAVE CODE],SUMPRODUCT(--(T_LEAVE[NAME]=I_RPT_EMP),--(T_LEAVE[DATE]&lt;=DATE($B$4,$A17,AB$11)),--(T_LEAVE[DATE]&gt;=DATE($B$4,$A17,AB$11)),ROW(T_LEAVE[LEAVE CODE]))-ROW(T_LEAVE[#Headers])))))),"")</f>
        <v/>
      </c>
      <c r="AC17" s="55" t="str">
        <f ca="1">IFERROR(IF(MONTH(DATE(I_RPT_YR,$A17,AC$11))&lt;&gt;$A17,"NA",IF(DATE(I_RPT_YR,$A17,AC$11)&gt;I_RPT_ED,"NA",IF(NOT(ISERROR(MATCH(DATE($B$4,$A17,AC$11),L_HOLS,0))),"H",IF(INDEX(L_WKNDVAL,WEEKDAY(DATE($B$4,$A17,AC$11),1))=1,"WKND",INDEX(T_LEAVE[LEAVE CODE],SUMPRODUCT(--(T_LEAVE[NAME]=I_RPT_EMP),--(T_LEAVE[DATE]&lt;=DATE($B$4,$A17,AC$11)),--(T_LEAVE[DATE]&gt;=DATE($B$4,$A17,AC$11)),ROW(T_LEAVE[LEAVE CODE]))-ROW(T_LEAVE[#Headers])))))),"")</f>
        <v/>
      </c>
      <c r="AD17" s="55" t="str">
        <f ca="1">IFERROR(IF(MONTH(DATE(I_RPT_YR,$A17,AD$11))&lt;&gt;$A17,"NA",IF(DATE(I_RPT_YR,$A17,AD$11)&gt;I_RPT_ED,"NA",IF(NOT(ISERROR(MATCH(DATE($B$4,$A17,AD$11),L_HOLS,0))),"H",IF(INDEX(L_WKNDVAL,WEEKDAY(DATE($B$4,$A17,AD$11),1))=1,"WKND",INDEX(T_LEAVE[LEAVE CODE],SUMPRODUCT(--(T_LEAVE[NAME]=I_RPT_EMP),--(T_LEAVE[DATE]&lt;=DATE($B$4,$A17,AD$11)),--(T_LEAVE[DATE]&gt;=DATE($B$4,$A17,AD$11)),ROW(T_LEAVE[LEAVE CODE]))-ROW(T_LEAVE[#Headers])))))),"")</f>
        <v/>
      </c>
      <c r="AE17" s="55" t="str">
        <f ca="1">IFERROR(IF(MONTH(DATE(I_RPT_YR,$A17,AE$11))&lt;&gt;$A17,"NA",IF(DATE(I_RPT_YR,$A17,AE$11)&gt;I_RPT_ED,"NA",IF(NOT(ISERROR(MATCH(DATE($B$4,$A17,AE$11),L_HOLS,0))),"H",IF(INDEX(L_WKNDVAL,WEEKDAY(DATE($B$4,$A17,AE$11),1))=1,"WKND",INDEX(T_LEAVE[LEAVE CODE],SUMPRODUCT(--(T_LEAVE[NAME]=I_RPT_EMP),--(T_LEAVE[DATE]&lt;=DATE($B$4,$A17,AE$11)),--(T_LEAVE[DATE]&gt;=DATE($B$4,$A17,AE$11)),ROW(T_LEAVE[LEAVE CODE]))-ROW(T_LEAVE[#Headers])))))),"")</f>
        <v/>
      </c>
      <c r="AF17" s="55" t="str">
        <f ca="1">IFERROR(IF(MONTH(DATE(I_RPT_YR,$A17,AF$11))&lt;&gt;$A17,"NA",IF(DATE(I_RPT_YR,$A17,AF$11)&gt;I_RPT_ED,"NA",IF(NOT(ISERROR(MATCH(DATE($B$4,$A17,AF$11),L_HOLS,0))),"H",IF(INDEX(L_WKNDVAL,WEEKDAY(DATE($B$4,$A17,AF$11),1))=1,"WKND",INDEX(T_LEAVE[LEAVE CODE],SUMPRODUCT(--(T_LEAVE[NAME]=I_RPT_EMP),--(T_LEAVE[DATE]&lt;=DATE($B$4,$A17,AF$11)),--(T_LEAVE[DATE]&gt;=DATE($B$4,$A17,AF$11)),ROW(T_LEAVE[LEAVE CODE]))-ROW(T_LEAVE[#Headers])))))),"")</f>
        <v/>
      </c>
      <c r="AG17" s="55" t="str">
        <f>IFERROR(IF(MONTH(DATE(I_RPT_YR,$A17,AG$11))&lt;&gt;$A17,"NA",IF(DATE(I_RPT_YR,$A17,AG$11)&gt;I_RPT_ED,"NA",IF(NOT(ISERROR(MATCH(DATE($B$4,$A17,AG$11),L_HOLS,0))),"H",IF(INDEX(L_WKNDVAL,WEEKDAY(DATE($B$4,$A17,AG$11),1))=1,"WKND",INDEX(T_LEAVE[LEAVE CODE],SUMPRODUCT(--(T_LEAVE[NAME]=I_RPT_EMP),--(T_LEAVE[DATE]&lt;=DATE($B$4,$A17,AG$11)),--(T_LEAVE[DATE]&gt;=DATE($B$4,$A17,AG$11)),ROW(T_LEAVE[LEAVE CODE]))-ROW(T_LEAVE[#Headers])))))),"")</f>
        <v>NA</v>
      </c>
      <c r="AH17" s="35"/>
      <c r="AI17" s="36"/>
      <c r="AJ17" s="52">
        <f ca="1">IF(OR($B17&gt;I_RPT_ED,AJ$11=""),"",COUNTIFS($C17:$AG17,AJ$11)*INDEX(T_LEAVETYPE[DAY VALUE],1))</f>
        <v>0</v>
      </c>
      <c r="AK17" s="52">
        <f ca="1">IF(OR($B17&gt;I_RPT_ED,AK$11=""),"",COUNTIFS($C17:$AG17,AK$11)*INDEX(T_LEAVETYPE[DAY VALUE],2))</f>
        <v>0</v>
      </c>
      <c r="AL17" s="52">
        <f ca="1">IF(OR($B17&gt;I_RPT_ED,AL$11=""),"",COUNTIFS($C17:$AG17,AL$11)*INDEX(T_LEAVETYPE[DAY VALUE],3))</f>
        <v>0</v>
      </c>
      <c r="AM17" s="52">
        <f ca="1">IF(OR($B17&gt;I_RPT_ED,AM$11=""),"",COUNTIFS($C17:$AG17,AM$11)*INDEX(T_LEAVETYPE[DAY VALUE],4))</f>
        <v>0</v>
      </c>
      <c r="AN17" s="52">
        <f ca="1">IF(OR($B17&gt;I_RPT_ED,AN$11=""),"",COUNTIFS($C17:$AG17,AN$11)*INDEX(T_LEAVETYPE[DAY VALUE],5))</f>
        <v>0</v>
      </c>
      <c r="AO17" s="52">
        <f ca="1">IF(OR($B17&gt;I_RPT_ED,AO$11=""),"",COUNTIFS($C17:$AG17,AO$11)*INDEX(T_LEAVETYPE[DAY VALUE],6))</f>
        <v>0</v>
      </c>
      <c r="AP17" s="52">
        <f ca="1">IF(OR($B17&gt;I_RPT_ED,AP$11=""),"",COUNTIFS($C17:$AG17,AP$11)*INDEX(T_LEAVETYPE[DAY VALUE],7))</f>
        <v>0</v>
      </c>
      <c r="AQ17" s="52">
        <f ca="1">IF(OR($B17&gt;I_RPT_ED,AQ$11=""),"",COUNTIFS($C17:$AG17,AQ$11)*INDEX(T_LEAVETYPE[DAY VALUE],8))</f>
        <v>0</v>
      </c>
      <c r="AR17" s="52">
        <f t="shared" ca="1" si="4"/>
        <v>0</v>
      </c>
      <c r="AS17" s="6"/>
    </row>
    <row r="18" spans="1:45" ht="15.75" x14ac:dyDescent="0.25">
      <c r="A18" s="51">
        <v>7</v>
      </c>
      <c r="B18" s="54">
        <f t="shared" si="3"/>
        <v>44378</v>
      </c>
      <c r="C18" s="55" t="str">
        <f ca="1">IFERROR(IF(MONTH(DATE(I_RPT_YR,$A18,C$11))&lt;&gt;$A18,"NA",IF(DATE(I_RPT_YR,$A18,C$11)&gt;I_RPT_ED,"NA",IF(NOT(ISERROR(MATCH(DATE($B$4,$A18,C$11),L_HOLS,0))),"H",IF(INDEX(L_WKNDVAL,WEEKDAY(DATE($B$4,$A18,C$11),1))=1,"WKND",INDEX(T_LEAVE[LEAVE CODE],SUMPRODUCT(--(T_LEAVE[NAME]=I_RPT_EMP),--(T_LEAVE[DATE]&lt;=DATE($B$4,$A18,C$11)),--(T_LEAVE[DATE]&gt;=DATE($B$4,$A18,C$11)),ROW(T_LEAVE[LEAVE CODE]))-ROW(T_LEAVE[#Headers])))))),"")</f>
        <v/>
      </c>
      <c r="D18" s="55" t="str">
        <f ca="1">IFERROR(IF(MONTH(DATE(I_RPT_YR,$A18,D$11))&lt;&gt;$A18,"NA",IF(DATE(I_RPT_YR,$A18,D$11)&gt;I_RPT_ED,"NA",IF(NOT(ISERROR(MATCH(DATE($B$4,$A18,D$11),L_HOLS,0))),"H",IF(INDEX(L_WKNDVAL,WEEKDAY(DATE($B$4,$A18,D$11),1))=1,"WKND",INDEX(T_LEAVE[LEAVE CODE],SUMPRODUCT(--(T_LEAVE[NAME]=I_RPT_EMP),--(T_LEAVE[DATE]&lt;=DATE($B$4,$A18,D$11)),--(T_LEAVE[DATE]&gt;=DATE($B$4,$A18,D$11)),ROW(T_LEAVE[LEAVE CODE]))-ROW(T_LEAVE[#Headers])))))),"")</f>
        <v/>
      </c>
      <c r="E18" s="55" t="str">
        <f ca="1">IFERROR(IF(MONTH(DATE(I_RPT_YR,$A18,E$11))&lt;&gt;$A18,"NA",IF(DATE(I_RPT_YR,$A18,E$11)&gt;I_RPT_ED,"NA",IF(NOT(ISERROR(MATCH(DATE($B$4,$A18,E$11),L_HOLS,0))),"H",IF(INDEX(L_WKNDVAL,WEEKDAY(DATE($B$4,$A18,E$11),1))=1,"WKND",INDEX(T_LEAVE[LEAVE CODE],SUMPRODUCT(--(T_LEAVE[NAME]=I_RPT_EMP),--(T_LEAVE[DATE]&lt;=DATE($B$4,$A18,E$11)),--(T_LEAVE[DATE]&gt;=DATE($B$4,$A18,E$11)),ROW(T_LEAVE[LEAVE CODE]))-ROW(T_LEAVE[#Headers])))))),"")</f>
        <v/>
      </c>
      <c r="F18" s="55" t="str">
        <f ca="1">IFERROR(IF(MONTH(DATE(I_RPT_YR,$A18,F$11))&lt;&gt;$A18,"NA",IF(DATE(I_RPT_YR,$A18,F$11)&gt;I_RPT_ED,"NA",IF(NOT(ISERROR(MATCH(DATE($B$4,$A18,F$11),L_HOLS,0))),"H",IF(INDEX(L_WKNDVAL,WEEKDAY(DATE($B$4,$A18,F$11),1))=1,"WKND",INDEX(T_LEAVE[LEAVE CODE],SUMPRODUCT(--(T_LEAVE[NAME]=I_RPT_EMP),--(T_LEAVE[DATE]&lt;=DATE($B$4,$A18,F$11)),--(T_LEAVE[DATE]&gt;=DATE($B$4,$A18,F$11)),ROW(T_LEAVE[LEAVE CODE]))-ROW(T_LEAVE[#Headers])))))),"")</f>
        <v/>
      </c>
      <c r="G18" s="55" t="str">
        <f ca="1">IFERROR(IF(MONTH(DATE(I_RPT_YR,$A18,G$11))&lt;&gt;$A18,"NA",IF(DATE(I_RPT_YR,$A18,G$11)&gt;I_RPT_ED,"NA",IF(NOT(ISERROR(MATCH(DATE($B$4,$A18,G$11),L_HOLS,0))),"H",IF(INDEX(L_WKNDVAL,WEEKDAY(DATE($B$4,$A18,G$11),1))=1,"WKND",INDEX(T_LEAVE[LEAVE CODE],SUMPRODUCT(--(T_LEAVE[NAME]=I_RPT_EMP),--(T_LEAVE[DATE]&lt;=DATE($B$4,$A18,G$11)),--(T_LEAVE[DATE]&gt;=DATE($B$4,$A18,G$11)),ROW(T_LEAVE[LEAVE CODE]))-ROW(T_LEAVE[#Headers])))))),"")</f>
        <v/>
      </c>
      <c r="H18" s="55" t="str">
        <f ca="1">IFERROR(IF(MONTH(DATE(I_RPT_YR,$A18,H$11))&lt;&gt;$A18,"NA",IF(DATE(I_RPT_YR,$A18,H$11)&gt;I_RPT_ED,"NA",IF(NOT(ISERROR(MATCH(DATE($B$4,$A18,H$11),L_HOLS,0))),"H",IF(INDEX(L_WKNDVAL,WEEKDAY(DATE($B$4,$A18,H$11),1))=1,"WKND",INDEX(T_LEAVE[LEAVE CODE],SUMPRODUCT(--(T_LEAVE[NAME]=I_RPT_EMP),--(T_LEAVE[DATE]&lt;=DATE($B$4,$A18,H$11)),--(T_LEAVE[DATE]&gt;=DATE($B$4,$A18,H$11)),ROW(T_LEAVE[LEAVE CODE]))-ROW(T_LEAVE[#Headers])))))),"")</f>
        <v/>
      </c>
      <c r="I18" s="55" t="str">
        <f ca="1">IFERROR(IF(MONTH(DATE(I_RPT_YR,$A18,I$11))&lt;&gt;$A18,"NA",IF(DATE(I_RPT_YR,$A18,I$11)&gt;I_RPT_ED,"NA",IF(NOT(ISERROR(MATCH(DATE($B$4,$A18,I$11),L_HOLS,0))),"H",IF(INDEX(L_WKNDVAL,WEEKDAY(DATE($B$4,$A18,I$11),1))=1,"WKND",INDEX(T_LEAVE[LEAVE CODE],SUMPRODUCT(--(T_LEAVE[NAME]=I_RPT_EMP),--(T_LEAVE[DATE]&lt;=DATE($B$4,$A18,I$11)),--(T_LEAVE[DATE]&gt;=DATE($B$4,$A18,I$11)),ROW(T_LEAVE[LEAVE CODE]))-ROW(T_LEAVE[#Headers])))))),"")</f>
        <v/>
      </c>
      <c r="J18" s="55" t="str">
        <f ca="1">IFERROR(IF(MONTH(DATE(I_RPT_YR,$A18,J$11))&lt;&gt;$A18,"NA",IF(DATE(I_RPT_YR,$A18,J$11)&gt;I_RPT_ED,"NA",IF(NOT(ISERROR(MATCH(DATE($B$4,$A18,J$11),L_HOLS,0))),"H",IF(INDEX(L_WKNDVAL,WEEKDAY(DATE($B$4,$A18,J$11),1))=1,"WKND",INDEX(T_LEAVE[LEAVE CODE],SUMPRODUCT(--(T_LEAVE[NAME]=I_RPT_EMP),--(T_LEAVE[DATE]&lt;=DATE($B$4,$A18,J$11)),--(T_LEAVE[DATE]&gt;=DATE($B$4,$A18,J$11)),ROW(T_LEAVE[LEAVE CODE]))-ROW(T_LEAVE[#Headers])))))),"")</f>
        <v/>
      </c>
      <c r="K18" s="55" t="str">
        <f ca="1">IFERROR(IF(MONTH(DATE(I_RPT_YR,$A18,K$11))&lt;&gt;$A18,"NA",IF(DATE(I_RPT_YR,$A18,K$11)&gt;I_RPT_ED,"NA",IF(NOT(ISERROR(MATCH(DATE($B$4,$A18,K$11),L_HOLS,0))),"H",IF(INDEX(L_WKNDVAL,WEEKDAY(DATE($B$4,$A18,K$11),1))=1,"WKND",INDEX(T_LEAVE[LEAVE CODE],SUMPRODUCT(--(T_LEAVE[NAME]=I_RPT_EMP),--(T_LEAVE[DATE]&lt;=DATE($B$4,$A18,K$11)),--(T_LEAVE[DATE]&gt;=DATE($B$4,$A18,K$11)),ROW(T_LEAVE[LEAVE CODE]))-ROW(T_LEAVE[#Headers])))))),"")</f>
        <v/>
      </c>
      <c r="L18" s="55" t="str">
        <f ca="1">IFERROR(IF(MONTH(DATE(I_RPT_YR,$A18,L$11))&lt;&gt;$A18,"NA",IF(DATE(I_RPT_YR,$A18,L$11)&gt;I_RPT_ED,"NA",IF(NOT(ISERROR(MATCH(DATE($B$4,$A18,L$11),L_HOLS,0))),"H",IF(INDEX(L_WKNDVAL,WEEKDAY(DATE($B$4,$A18,L$11),1))=1,"WKND",INDEX(T_LEAVE[LEAVE CODE],SUMPRODUCT(--(T_LEAVE[NAME]=I_RPT_EMP),--(T_LEAVE[DATE]&lt;=DATE($B$4,$A18,L$11)),--(T_LEAVE[DATE]&gt;=DATE($B$4,$A18,L$11)),ROW(T_LEAVE[LEAVE CODE]))-ROW(T_LEAVE[#Headers])))))),"")</f>
        <v/>
      </c>
      <c r="M18" s="55" t="str">
        <f ca="1">IFERROR(IF(MONTH(DATE(I_RPT_YR,$A18,M$11))&lt;&gt;$A18,"NA",IF(DATE(I_RPT_YR,$A18,M$11)&gt;I_RPT_ED,"NA",IF(NOT(ISERROR(MATCH(DATE($B$4,$A18,M$11),L_HOLS,0))),"H",IF(INDEX(L_WKNDVAL,WEEKDAY(DATE($B$4,$A18,M$11),1))=1,"WKND",INDEX(T_LEAVE[LEAVE CODE],SUMPRODUCT(--(T_LEAVE[NAME]=I_RPT_EMP),--(T_LEAVE[DATE]&lt;=DATE($B$4,$A18,M$11)),--(T_LEAVE[DATE]&gt;=DATE($B$4,$A18,M$11)),ROW(T_LEAVE[LEAVE CODE]))-ROW(T_LEAVE[#Headers])))))),"")</f>
        <v/>
      </c>
      <c r="N18" s="55" t="str">
        <f ca="1">IFERROR(IF(MONTH(DATE(I_RPT_YR,$A18,N$11))&lt;&gt;$A18,"NA",IF(DATE(I_RPT_YR,$A18,N$11)&gt;I_RPT_ED,"NA",IF(NOT(ISERROR(MATCH(DATE($B$4,$A18,N$11),L_HOLS,0))),"H",IF(INDEX(L_WKNDVAL,WEEKDAY(DATE($B$4,$A18,N$11),1))=1,"WKND",INDEX(T_LEAVE[LEAVE CODE],SUMPRODUCT(--(T_LEAVE[NAME]=I_RPT_EMP),--(T_LEAVE[DATE]&lt;=DATE($B$4,$A18,N$11)),--(T_LEAVE[DATE]&gt;=DATE($B$4,$A18,N$11)),ROW(T_LEAVE[LEAVE CODE]))-ROW(T_LEAVE[#Headers])))))),"")</f>
        <v/>
      </c>
      <c r="O18" s="55" t="str">
        <f ca="1">IFERROR(IF(MONTH(DATE(I_RPT_YR,$A18,O$11))&lt;&gt;$A18,"NA",IF(DATE(I_RPT_YR,$A18,O$11)&gt;I_RPT_ED,"NA",IF(NOT(ISERROR(MATCH(DATE($B$4,$A18,O$11),L_HOLS,0))),"H",IF(INDEX(L_WKNDVAL,WEEKDAY(DATE($B$4,$A18,O$11),1))=1,"WKND",INDEX(T_LEAVE[LEAVE CODE],SUMPRODUCT(--(T_LEAVE[NAME]=I_RPT_EMP),--(T_LEAVE[DATE]&lt;=DATE($B$4,$A18,O$11)),--(T_LEAVE[DATE]&gt;=DATE($B$4,$A18,O$11)),ROW(T_LEAVE[LEAVE CODE]))-ROW(T_LEAVE[#Headers])))))),"")</f>
        <v/>
      </c>
      <c r="P18" s="55" t="str">
        <f ca="1">IFERROR(IF(MONTH(DATE(I_RPT_YR,$A18,P$11))&lt;&gt;$A18,"NA",IF(DATE(I_RPT_YR,$A18,P$11)&gt;I_RPT_ED,"NA",IF(NOT(ISERROR(MATCH(DATE($B$4,$A18,P$11),L_HOLS,0))),"H",IF(INDEX(L_WKNDVAL,WEEKDAY(DATE($B$4,$A18,P$11),1))=1,"WKND",INDEX(T_LEAVE[LEAVE CODE],SUMPRODUCT(--(T_LEAVE[NAME]=I_RPT_EMP),--(T_LEAVE[DATE]&lt;=DATE($B$4,$A18,P$11)),--(T_LEAVE[DATE]&gt;=DATE($B$4,$A18,P$11)),ROW(T_LEAVE[LEAVE CODE]))-ROW(T_LEAVE[#Headers])))))),"")</f>
        <v/>
      </c>
      <c r="Q18" s="55" t="str">
        <f ca="1">IFERROR(IF(MONTH(DATE(I_RPT_YR,$A18,Q$11))&lt;&gt;$A18,"NA",IF(DATE(I_RPT_YR,$A18,Q$11)&gt;I_RPT_ED,"NA",IF(NOT(ISERROR(MATCH(DATE($B$4,$A18,Q$11),L_HOLS,0))),"H",IF(INDEX(L_WKNDVAL,WEEKDAY(DATE($B$4,$A18,Q$11),1))=1,"WKND",INDEX(T_LEAVE[LEAVE CODE],SUMPRODUCT(--(T_LEAVE[NAME]=I_RPT_EMP),--(T_LEAVE[DATE]&lt;=DATE($B$4,$A18,Q$11)),--(T_LEAVE[DATE]&gt;=DATE($B$4,$A18,Q$11)),ROW(T_LEAVE[LEAVE CODE]))-ROW(T_LEAVE[#Headers])))))),"")</f>
        <v/>
      </c>
      <c r="R18" s="55" t="str">
        <f ca="1">IFERROR(IF(MONTH(DATE(I_RPT_YR,$A18,R$11))&lt;&gt;$A18,"NA",IF(DATE(I_RPT_YR,$A18,R$11)&gt;I_RPT_ED,"NA",IF(NOT(ISERROR(MATCH(DATE($B$4,$A18,R$11),L_HOLS,0))),"H",IF(INDEX(L_WKNDVAL,WEEKDAY(DATE($B$4,$A18,R$11),1))=1,"WKND",INDEX(T_LEAVE[LEAVE CODE],SUMPRODUCT(--(T_LEAVE[NAME]=I_RPT_EMP),--(T_LEAVE[DATE]&lt;=DATE($B$4,$A18,R$11)),--(T_LEAVE[DATE]&gt;=DATE($B$4,$A18,R$11)),ROW(T_LEAVE[LEAVE CODE]))-ROW(T_LEAVE[#Headers])))))),"")</f>
        <v/>
      </c>
      <c r="S18" s="55" t="str">
        <f ca="1">IFERROR(IF(MONTH(DATE(I_RPT_YR,$A18,S$11))&lt;&gt;$A18,"NA",IF(DATE(I_RPT_YR,$A18,S$11)&gt;I_RPT_ED,"NA",IF(NOT(ISERROR(MATCH(DATE($B$4,$A18,S$11),L_HOLS,0))),"H",IF(INDEX(L_WKNDVAL,WEEKDAY(DATE($B$4,$A18,S$11),1))=1,"WKND",INDEX(T_LEAVE[LEAVE CODE],SUMPRODUCT(--(T_LEAVE[NAME]=I_RPT_EMP),--(T_LEAVE[DATE]&lt;=DATE($B$4,$A18,S$11)),--(T_LEAVE[DATE]&gt;=DATE($B$4,$A18,S$11)),ROW(T_LEAVE[LEAVE CODE]))-ROW(T_LEAVE[#Headers])))))),"")</f>
        <v/>
      </c>
      <c r="T18" s="55" t="str">
        <f ca="1">IFERROR(IF(MONTH(DATE(I_RPT_YR,$A18,T$11))&lt;&gt;$A18,"NA",IF(DATE(I_RPT_YR,$A18,T$11)&gt;I_RPT_ED,"NA",IF(NOT(ISERROR(MATCH(DATE($B$4,$A18,T$11),L_HOLS,0))),"H",IF(INDEX(L_WKNDVAL,WEEKDAY(DATE($B$4,$A18,T$11),1))=1,"WKND",INDEX(T_LEAVE[LEAVE CODE],SUMPRODUCT(--(T_LEAVE[NAME]=I_RPT_EMP),--(T_LEAVE[DATE]&lt;=DATE($B$4,$A18,T$11)),--(T_LEAVE[DATE]&gt;=DATE($B$4,$A18,T$11)),ROW(T_LEAVE[LEAVE CODE]))-ROW(T_LEAVE[#Headers])))))),"")</f>
        <v/>
      </c>
      <c r="U18" s="55" t="str">
        <f ca="1">IFERROR(IF(MONTH(DATE(I_RPT_YR,$A18,U$11))&lt;&gt;$A18,"NA",IF(DATE(I_RPT_YR,$A18,U$11)&gt;I_RPT_ED,"NA",IF(NOT(ISERROR(MATCH(DATE($B$4,$A18,U$11),L_HOLS,0))),"H",IF(INDEX(L_WKNDVAL,WEEKDAY(DATE($B$4,$A18,U$11),1))=1,"WKND",INDEX(T_LEAVE[LEAVE CODE],SUMPRODUCT(--(T_LEAVE[NAME]=I_RPT_EMP),--(T_LEAVE[DATE]&lt;=DATE($B$4,$A18,U$11)),--(T_LEAVE[DATE]&gt;=DATE($B$4,$A18,U$11)),ROW(T_LEAVE[LEAVE CODE]))-ROW(T_LEAVE[#Headers])))))),"")</f>
        <v/>
      </c>
      <c r="V18" s="55" t="str">
        <f ca="1">IFERROR(IF(MONTH(DATE(I_RPT_YR,$A18,V$11))&lt;&gt;$A18,"NA",IF(DATE(I_RPT_YR,$A18,V$11)&gt;I_RPT_ED,"NA",IF(NOT(ISERROR(MATCH(DATE($B$4,$A18,V$11),L_HOLS,0))),"H",IF(INDEX(L_WKNDVAL,WEEKDAY(DATE($B$4,$A18,V$11),1))=1,"WKND",INDEX(T_LEAVE[LEAVE CODE],SUMPRODUCT(--(T_LEAVE[NAME]=I_RPT_EMP),--(T_LEAVE[DATE]&lt;=DATE($B$4,$A18,V$11)),--(T_LEAVE[DATE]&gt;=DATE($B$4,$A18,V$11)),ROW(T_LEAVE[LEAVE CODE]))-ROW(T_LEAVE[#Headers])))))),"")</f>
        <v>H</v>
      </c>
      <c r="W18" s="55" t="str">
        <f ca="1">IFERROR(IF(MONTH(DATE(I_RPT_YR,$A18,W$11))&lt;&gt;$A18,"NA",IF(DATE(I_RPT_YR,$A18,W$11)&gt;I_RPT_ED,"NA",IF(NOT(ISERROR(MATCH(DATE($B$4,$A18,W$11),L_HOLS,0))),"H",IF(INDEX(L_WKNDVAL,WEEKDAY(DATE($B$4,$A18,W$11),1))=1,"WKND",INDEX(T_LEAVE[LEAVE CODE],SUMPRODUCT(--(T_LEAVE[NAME]=I_RPT_EMP),--(T_LEAVE[DATE]&lt;=DATE($B$4,$A18,W$11)),--(T_LEAVE[DATE]&gt;=DATE($B$4,$A18,W$11)),ROW(T_LEAVE[LEAVE CODE]))-ROW(T_LEAVE[#Headers])))))),"")</f>
        <v/>
      </c>
      <c r="X18" s="55" t="str">
        <f ca="1">IFERROR(IF(MONTH(DATE(I_RPT_YR,$A18,X$11))&lt;&gt;$A18,"NA",IF(DATE(I_RPT_YR,$A18,X$11)&gt;I_RPT_ED,"NA",IF(NOT(ISERROR(MATCH(DATE($B$4,$A18,X$11),L_HOLS,0))),"H",IF(INDEX(L_WKNDVAL,WEEKDAY(DATE($B$4,$A18,X$11),1))=1,"WKND",INDEX(T_LEAVE[LEAVE CODE],SUMPRODUCT(--(T_LEAVE[NAME]=I_RPT_EMP),--(T_LEAVE[DATE]&lt;=DATE($B$4,$A18,X$11)),--(T_LEAVE[DATE]&gt;=DATE($B$4,$A18,X$11)),ROW(T_LEAVE[LEAVE CODE]))-ROW(T_LEAVE[#Headers])))))),"")</f>
        <v/>
      </c>
      <c r="Y18" s="55" t="str">
        <f ca="1">IFERROR(IF(MONTH(DATE(I_RPT_YR,$A18,Y$11))&lt;&gt;$A18,"NA",IF(DATE(I_RPT_YR,$A18,Y$11)&gt;I_RPT_ED,"NA",IF(NOT(ISERROR(MATCH(DATE($B$4,$A18,Y$11),L_HOLS,0))),"H",IF(INDEX(L_WKNDVAL,WEEKDAY(DATE($B$4,$A18,Y$11),1))=1,"WKND",INDEX(T_LEAVE[LEAVE CODE],SUMPRODUCT(--(T_LEAVE[NAME]=I_RPT_EMP),--(T_LEAVE[DATE]&lt;=DATE($B$4,$A18,Y$11)),--(T_LEAVE[DATE]&gt;=DATE($B$4,$A18,Y$11)),ROW(T_LEAVE[LEAVE CODE]))-ROW(T_LEAVE[#Headers])))))),"")</f>
        <v/>
      </c>
      <c r="Z18" s="55" t="str">
        <f ca="1">IFERROR(IF(MONTH(DATE(I_RPT_YR,$A18,Z$11))&lt;&gt;$A18,"NA",IF(DATE(I_RPT_YR,$A18,Z$11)&gt;I_RPT_ED,"NA",IF(NOT(ISERROR(MATCH(DATE($B$4,$A18,Z$11),L_HOLS,0))),"H",IF(INDEX(L_WKNDVAL,WEEKDAY(DATE($B$4,$A18,Z$11),1))=1,"WKND",INDEX(T_LEAVE[LEAVE CODE],SUMPRODUCT(--(T_LEAVE[NAME]=I_RPT_EMP),--(T_LEAVE[DATE]&lt;=DATE($B$4,$A18,Z$11)),--(T_LEAVE[DATE]&gt;=DATE($B$4,$A18,Z$11)),ROW(T_LEAVE[LEAVE CODE]))-ROW(T_LEAVE[#Headers])))))),"")</f>
        <v/>
      </c>
      <c r="AA18" s="55" t="str">
        <f ca="1">IFERROR(IF(MONTH(DATE(I_RPT_YR,$A18,AA$11))&lt;&gt;$A18,"NA",IF(DATE(I_RPT_YR,$A18,AA$11)&gt;I_RPT_ED,"NA",IF(NOT(ISERROR(MATCH(DATE($B$4,$A18,AA$11),L_HOLS,0))),"H",IF(INDEX(L_WKNDVAL,WEEKDAY(DATE($B$4,$A18,AA$11),1))=1,"WKND",INDEX(T_LEAVE[LEAVE CODE],SUMPRODUCT(--(T_LEAVE[NAME]=I_RPT_EMP),--(T_LEAVE[DATE]&lt;=DATE($B$4,$A18,AA$11)),--(T_LEAVE[DATE]&gt;=DATE($B$4,$A18,AA$11)),ROW(T_LEAVE[LEAVE CODE]))-ROW(T_LEAVE[#Headers])))))),"")</f>
        <v/>
      </c>
      <c r="AB18" s="55" t="str">
        <f ca="1">IFERROR(IF(MONTH(DATE(I_RPT_YR,$A18,AB$11))&lt;&gt;$A18,"NA",IF(DATE(I_RPT_YR,$A18,AB$11)&gt;I_RPT_ED,"NA",IF(NOT(ISERROR(MATCH(DATE($B$4,$A18,AB$11),L_HOLS,0))),"H",IF(INDEX(L_WKNDVAL,WEEKDAY(DATE($B$4,$A18,AB$11),1))=1,"WKND",INDEX(T_LEAVE[LEAVE CODE],SUMPRODUCT(--(T_LEAVE[NAME]=I_RPT_EMP),--(T_LEAVE[DATE]&lt;=DATE($B$4,$A18,AB$11)),--(T_LEAVE[DATE]&gt;=DATE($B$4,$A18,AB$11)),ROW(T_LEAVE[LEAVE CODE]))-ROW(T_LEAVE[#Headers])))))),"")</f>
        <v/>
      </c>
      <c r="AC18" s="55" t="str">
        <f ca="1">IFERROR(IF(MONTH(DATE(I_RPT_YR,$A18,AC$11))&lt;&gt;$A18,"NA",IF(DATE(I_RPT_YR,$A18,AC$11)&gt;I_RPT_ED,"NA",IF(NOT(ISERROR(MATCH(DATE($B$4,$A18,AC$11),L_HOLS,0))),"H",IF(INDEX(L_WKNDVAL,WEEKDAY(DATE($B$4,$A18,AC$11),1))=1,"WKND",INDEX(T_LEAVE[LEAVE CODE],SUMPRODUCT(--(T_LEAVE[NAME]=I_RPT_EMP),--(T_LEAVE[DATE]&lt;=DATE($B$4,$A18,AC$11)),--(T_LEAVE[DATE]&gt;=DATE($B$4,$A18,AC$11)),ROW(T_LEAVE[LEAVE CODE]))-ROW(T_LEAVE[#Headers])))))),"")</f>
        <v/>
      </c>
      <c r="AD18" s="55" t="str">
        <f ca="1">IFERROR(IF(MONTH(DATE(I_RPT_YR,$A18,AD$11))&lt;&gt;$A18,"NA",IF(DATE(I_RPT_YR,$A18,AD$11)&gt;I_RPT_ED,"NA",IF(NOT(ISERROR(MATCH(DATE($B$4,$A18,AD$11),L_HOLS,0))),"H",IF(INDEX(L_WKNDVAL,WEEKDAY(DATE($B$4,$A18,AD$11),1))=1,"WKND",INDEX(T_LEAVE[LEAVE CODE],SUMPRODUCT(--(T_LEAVE[NAME]=I_RPT_EMP),--(T_LEAVE[DATE]&lt;=DATE($B$4,$A18,AD$11)),--(T_LEAVE[DATE]&gt;=DATE($B$4,$A18,AD$11)),ROW(T_LEAVE[LEAVE CODE]))-ROW(T_LEAVE[#Headers])))))),"")</f>
        <v/>
      </c>
      <c r="AE18" s="55" t="str">
        <f ca="1">IFERROR(IF(MONTH(DATE(I_RPT_YR,$A18,AE$11))&lt;&gt;$A18,"NA",IF(DATE(I_RPT_YR,$A18,AE$11)&gt;I_RPT_ED,"NA",IF(NOT(ISERROR(MATCH(DATE($B$4,$A18,AE$11),L_HOLS,0))),"H",IF(INDEX(L_WKNDVAL,WEEKDAY(DATE($B$4,$A18,AE$11),1))=1,"WKND",INDEX(T_LEAVE[LEAVE CODE],SUMPRODUCT(--(T_LEAVE[NAME]=I_RPT_EMP),--(T_LEAVE[DATE]&lt;=DATE($B$4,$A18,AE$11)),--(T_LEAVE[DATE]&gt;=DATE($B$4,$A18,AE$11)),ROW(T_LEAVE[LEAVE CODE]))-ROW(T_LEAVE[#Headers])))))),"")</f>
        <v/>
      </c>
      <c r="AF18" s="55" t="str">
        <f ca="1">IFERROR(IF(MONTH(DATE(I_RPT_YR,$A18,AF$11))&lt;&gt;$A18,"NA",IF(DATE(I_RPT_YR,$A18,AF$11)&gt;I_RPT_ED,"NA",IF(NOT(ISERROR(MATCH(DATE($B$4,$A18,AF$11),L_HOLS,0))),"H",IF(INDEX(L_WKNDVAL,WEEKDAY(DATE($B$4,$A18,AF$11),1))=1,"WKND",INDEX(T_LEAVE[LEAVE CODE],SUMPRODUCT(--(T_LEAVE[NAME]=I_RPT_EMP),--(T_LEAVE[DATE]&lt;=DATE($B$4,$A18,AF$11)),--(T_LEAVE[DATE]&gt;=DATE($B$4,$A18,AF$11)),ROW(T_LEAVE[LEAVE CODE]))-ROW(T_LEAVE[#Headers])))))),"")</f>
        <v/>
      </c>
      <c r="AG18" s="55" t="str">
        <f ca="1">IFERROR(IF(MONTH(DATE(I_RPT_YR,$A18,AG$11))&lt;&gt;$A18,"NA",IF(DATE(I_RPT_YR,$A18,AG$11)&gt;I_RPT_ED,"NA",IF(NOT(ISERROR(MATCH(DATE($B$4,$A18,AG$11),L_HOLS,0))),"H",IF(INDEX(L_WKNDVAL,WEEKDAY(DATE($B$4,$A18,AG$11),1))=1,"WKND",INDEX(T_LEAVE[LEAVE CODE],SUMPRODUCT(--(T_LEAVE[NAME]=I_RPT_EMP),--(T_LEAVE[DATE]&lt;=DATE($B$4,$A18,AG$11)),--(T_LEAVE[DATE]&gt;=DATE($B$4,$A18,AG$11)),ROW(T_LEAVE[LEAVE CODE]))-ROW(T_LEAVE[#Headers])))))),"")</f>
        <v/>
      </c>
      <c r="AH18" s="35"/>
      <c r="AI18" s="36"/>
      <c r="AJ18" s="52">
        <f ca="1">IF(OR($B18&gt;I_RPT_ED,AJ$11=""),"",COUNTIFS($C18:$AG18,AJ$11)*INDEX(T_LEAVETYPE[DAY VALUE],1))</f>
        <v>0</v>
      </c>
      <c r="AK18" s="52">
        <f ca="1">IF(OR($B18&gt;I_RPT_ED,AK$11=""),"",COUNTIFS($C18:$AG18,AK$11)*INDEX(T_LEAVETYPE[DAY VALUE],2))</f>
        <v>0</v>
      </c>
      <c r="AL18" s="52">
        <f ca="1">IF(OR($B18&gt;I_RPT_ED,AL$11=""),"",COUNTIFS($C18:$AG18,AL$11)*INDEX(T_LEAVETYPE[DAY VALUE],3))</f>
        <v>0</v>
      </c>
      <c r="AM18" s="52">
        <f ca="1">IF(OR($B18&gt;I_RPT_ED,AM$11=""),"",COUNTIFS($C18:$AG18,AM$11)*INDEX(T_LEAVETYPE[DAY VALUE],4))</f>
        <v>0</v>
      </c>
      <c r="AN18" s="52">
        <f ca="1">IF(OR($B18&gt;I_RPT_ED,AN$11=""),"",COUNTIFS($C18:$AG18,AN$11)*INDEX(T_LEAVETYPE[DAY VALUE],5))</f>
        <v>0</v>
      </c>
      <c r="AO18" s="52">
        <f ca="1">IF(OR($B18&gt;I_RPT_ED,AO$11=""),"",COUNTIFS($C18:$AG18,AO$11)*INDEX(T_LEAVETYPE[DAY VALUE],6))</f>
        <v>0</v>
      </c>
      <c r="AP18" s="52">
        <f ca="1">IF(OR($B18&gt;I_RPT_ED,AP$11=""),"",COUNTIFS($C18:$AG18,AP$11)*INDEX(T_LEAVETYPE[DAY VALUE],7))</f>
        <v>0</v>
      </c>
      <c r="AQ18" s="52">
        <f ca="1">IF(OR($B18&gt;I_RPT_ED,AQ$11=""),"",COUNTIFS($C18:$AG18,AQ$11)*INDEX(T_LEAVETYPE[DAY VALUE],8))</f>
        <v>0</v>
      </c>
      <c r="AR18" s="52">
        <f t="shared" ca="1" si="4"/>
        <v>0</v>
      </c>
      <c r="AS18" s="6"/>
    </row>
    <row r="19" spans="1:45" ht="15.75" x14ac:dyDescent="0.25">
      <c r="A19" s="51">
        <v>8</v>
      </c>
      <c r="B19" s="54">
        <f t="shared" si="3"/>
        <v>44409</v>
      </c>
      <c r="C19" s="55" t="str">
        <f ca="1">IFERROR(IF(MONTH(DATE(I_RPT_YR,$A19,C$11))&lt;&gt;$A19,"NA",IF(DATE(I_RPT_YR,$A19,C$11)&gt;I_RPT_ED,"NA",IF(NOT(ISERROR(MATCH(DATE($B$4,$A19,C$11),L_HOLS,0))),"H",IF(INDEX(L_WKNDVAL,WEEKDAY(DATE($B$4,$A19,C$11),1))=1,"WKND",INDEX(T_LEAVE[LEAVE CODE],SUMPRODUCT(--(T_LEAVE[NAME]=I_RPT_EMP),--(T_LEAVE[DATE]&lt;=DATE($B$4,$A19,C$11)),--(T_LEAVE[DATE]&gt;=DATE($B$4,$A19,C$11)),ROW(T_LEAVE[LEAVE CODE]))-ROW(T_LEAVE[#Headers])))))),"")</f>
        <v/>
      </c>
      <c r="D19" s="55" t="str">
        <f ca="1">IFERROR(IF(MONTH(DATE(I_RPT_YR,$A19,D$11))&lt;&gt;$A19,"NA",IF(DATE(I_RPT_YR,$A19,D$11)&gt;I_RPT_ED,"NA",IF(NOT(ISERROR(MATCH(DATE($B$4,$A19,D$11),L_HOLS,0))),"H",IF(INDEX(L_WKNDVAL,WEEKDAY(DATE($B$4,$A19,D$11),1))=1,"WKND",INDEX(T_LEAVE[LEAVE CODE],SUMPRODUCT(--(T_LEAVE[NAME]=I_RPT_EMP),--(T_LEAVE[DATE]&lt;=DATE($B$4,$A19,D$11)),--(T_LEAVE[DATE]&gt;=DATE($B$4,$A19,D$11)),ROW(T_LEAVE[LEAVE CODE]))-ROW(T_LEAVE[#Headers])))))),"")</f>
        <v/>
      </c>
      <c r="E19" s="55" t="str">
        <f ca="1">IFERROR(IF(MONTH(DATE(I_RPT_YR,$A19,E$11))&lt;&gt;$A19,"NA",IF(DATE(I_RPT_YR,$A19,E$11)&gt;I_RPT_ED,"NA",IF(NOT(ISERROR(MATCH(DATE($B$4,$A19,E$11),L_HOLS,0))),"H",IF(INDEX(L_WKNDVAL,WEEKDAY(DATE($B$4,$A19,E$11),1))=1,"WKND",INDEX(T_LEAVE[LEAVE CODE],SUMPRODUCT(--(T_LEAVE[NAME]=I_RPT_EMP),--(T_LEAVE[DATE]&lt;=DATE($B$4,$A19,E$11)),--(T_LEAVE[DATE]&gt;=DATE($B$4,$A19,E$11)),ROW(T_LEAVE[LEAVE CODE]))-ROW(T_LEAVE[#Headers])))))),"")</f>
        <v/>
      </c>
      <c r="F19" s="55" t="str">
        <f ca="1">IFERROR(IF(MONTH(DATE(I_RPT_YR,$A19,F$11))&lt;&gt;$A19,"NA",IF(DATE(I_RPT_YR,$A19,F$11)&gt;I_RPT_ED,"NA",IF(NOT(ISERROR(MATCH(DATE($B$4,$A19,F$11),L_HOLS,0))),"H",IF(INDEX(L_WKNDVAL,WEEKDAY(DATE($B$4,$A19,F$11),1))=1,"WKND",INDEX(T_LEAVE[LEAVE CODE],SUMPRODUCT(--(T_LEAVE[NAME]=I_RPT_EMP),--(T_LEAVE[DATE]&lt;=DATE($B$4,$A19,F$11)),--(T_LEAVE[DATE]&gt;=DATE($B$4,$A19,F$11)),ROW(T_LEAVE[LEAVE CODE]))-ROW(T_LEAVE[#Headers])))))),"")</f>
        <v/>
      </c>
      <c r="G19" s="55" t="str">
        <f ca="1">IFERROR(IF(MONTH(DATE(I_RPT_YR,$A19,G$11))&lt;&gt;$A19,"NA",IF(DATE(I_RPT_YR,$A19,G$11)&gt;I_RPT_ED,"NA",IF(NOT(ISERROR(MATCH(DATE($B$4,$A19,G$11),L_HOLS,0))),"H",IF(INDEX(L_WKNDVAL,WEEKDAY(DATE($B$4,$A19,G$11),1))=1,"WKND",INDEX(T_LEAVE[LEAVE CODE],SUMPRODUCT(--(T_LEAVE[NAME]=I_RPT_EMP),--(T_LEAVE[DATE]&lt;=DATE($B$4,$A19,G$11)),--(T_LEAVE[DATE]&gt;=DATE($B$4,$A19,G$11)),ROW(T_LEAVE[LEAVE CODE]))-ROW(T_LEAVE[#Headers])))))),"")</f>
        <v/>
      </c>
      <c r="H19" s="55" t="str">
        <f ca="1">IFERROR(IF(MONTH(DATE(I_RPT_YR,$A19,H$11))&lt;&gt;$A19,"NA",IF(DATE(I_RPT_YR,$A19,H$11)&gt;I_RPT_ED,"NA",IF(NOT(ISERROR(MATCH(DATE($B$4,$A19,H$11),L_HOLS,0))),"H",IF(INDEX(L_WKNDVAL,WEEKDAY(DATE($B$4,$A19,H$11),1))=1,"WKND",INDEX(T_LEAVE[LEAVE CODE],SUMPRODUCT(--(T_LEAVE[NAME]=I_RPT_EMP),--(T_LEAVE[DATE]&lt;=DATE($B$4,$A19,H$11)),--(T_LEAVE[DATE]&gt;=DATE($B$4,$A19,H$11)),ROW(T_LEAVE[LEAVE CODE]))-ROW(T_LEAVE[#Headers])))))),"")</f>
        <v/>
      </c>
      <c r="I19" s="55" t="str">
        <f ca="1">IFERROR(IF(MONTH(DATE(I_RPT_YR,$A19,I$11))&lt;&gt;$A19,"NA",IF(DATE(I_RPT_YR,$A19,I$11)&gt;I_RPT_ED,"NA",IF(NOT(ISERROR(MATCH(DATE($B$4,$A19,I$11),L_HOLS,0))),"H",IF(INDEX(L_WKNDVAL,WEEKDAY(DATE($B$4,$A19,I$11),1))=1,"WKND",INDEX(T_LEAVE[LEAVE CODE],SUMPRODUCT(--(T_LEAVE[NAME]=I_RPT_EMP),--(T_LEAVE[DATE]&lt;=DATE($B$4,$A19,I$11)),--(T_LEAVE[DATE]&gt;=DATE($B$4,$A19,I$11)),ROW(T_LEAVE[LEAVE CODE]))-ROW(T_LEAVE[#Headers])))))),"")</f>
        <v/>
      </c>
      <c r="J19" s="55" t="str">
        <f ca="1">IFERROR(IF(MONTH(DATE(I_RPT_YR,$A19,J$11))&lt;&gt;$A19,"NA",IF(DATE(I_RPT_YR,$A19,J$11)&gt;I_RPT_ED,"NA",IF(NOT(ISERROR(MATCH(DATE($B$4,$A19,J$11),L_HOLS,0))),"H",IF(INDEX(L_WKNDVAL,WEEKDAY(DATE($B$4,$A19,J$11),1))=1,"WKND",INDEX(T_LEAVE[LEAVE CODE],SUMPRODUCT(--(T_LEAVE[NAME]=I_RPT_EMP),--(T_LEAVE[DATE]&lt;=DATE($B$4,$A19,J$11)),--(T_LEAVE[DATE]&gt;=DATE($B$4,$A19,J$11)),ROW(T_LEAVE[LEAVE CODE]))-ROW(T_LEAVE[#Headers])))))),"")</f>
        <v/>
      </c>
      <c r="K19" s="55" t="str">
        <f ca="1">IFERROR(IF(MONTH(DATE(I_RPT_YR,$A19,K$11))&lt;&gt;$A19,"NA",IF(DATE(I_RPT_YR,$A19,K$11)&gt;I_RPT_ED,"NA",IF(NOT(ISERROR(MATCH(DATE($B$4,$A19,K$11),L_HOLS,0))),"H",IF(INDEX(L_WKNDVAL,WEEKDAY(DATE($B$4,$A19,K$11),1))=1,"WKND",INDEX(T_LEAVE[LEAVE CODE],SUMPRODUCT(--(T_LEAVE[NAME]=I_RPT_EMP),--(T_LEAVE[DATE]&lt;=DATE($B$4,$A19,K$11)),--(T_LEAVE[DATE]&gt;=DATE($B$4,$A19,K$11)),ROW(T_LEAVE[LEAVE CODE]))-ROW(T_LEAVE[#Headers])))))),"")</f>
        <v/>
      </c>
      <c r="L19" s="55" t="str">
        <f ca="1">IFERROR(IF(MONTH(DATE(I_RPT_YR,$A19,L$11))&lt;&gt;$A19,"NA",IF(DATE(I_RPT_YR,$A19,L$11)&gt;I_RPT_ED,"NA",IF(NOT(ISERROR(MATCH(DATE($B$4,$A19,L$11),L_HOLS,0))),"H",IF(INDEX(L_WKNDVAL,WEEKDAY(DATE($B$4,$A19,L$11),1))=1,"WKND",INDEX(T_LEAVE[LEAVE CODE],SUMPRODUCT(--(T_LEAVE[NAME]=I_RPT_EMP),--(T_LEAVE[DATE]&lt;=DATE($B$4,$A19,L$11)),--(T_LEAVE[DATE]&gt;=DATE($B$4,$A19,L$11)),ROW(T_LEAVE[LEAVE CODE]))-ROW(T_LEAVE[#Headers])))))),"")</f>
        <v/>
      </c>
      <c r="M19" s="55" t="str">
        <f ca="1">IFERROR(IF(MONTH(DATE(I_RPT_YR,$A19,M$11))&lt;&gt;$A19,"NA",IF(DATE(I_RPT_YR,$A19,M$11)&gt;I_RPT_ED,"NA",IF(NOT(ISERROR(MATCH(DATE($B$4,$A19,M$11),L_HOLS,0))),"H",IF(INDEX(L_WKNDVAL,WEEKDAY(DATE($B$4,$A19,M$11),1))=1,"WKND",INDEX(T_LEAVE[LEAVE CODE],SUMPRODUCT(--(T_LEAVE[NAME]=I_RPT_EMP),--(T_LEAVE[DATE]&lt;=DATE($B$4,$A19,M$11)),--(T_LEAVE[DATE]&gt;=DATE($B$4,$A19,M$11)),ROW(T_LEAVE[LEAVE CODE]))-ROW(T_LEAVE[#Headers])))))),"")</f>
        <v/>
      </c>
      <c r="N19" s="55" t="str">
        <f ca="1">IFERROR(IF(MONTH(DATE(I_RPT_YR,$A19,N$11))&lt;&gt;$A19,"NA",IF(DATE(I_RPT_YR,$A19,N$11)&gt;I_RPT_ED,"NA",IF(NOT(ISERROR(MATCH(DATE($B$4,$A19,N$11),L_HOLS,0))),"H",IF(INDEX(L_WKNDVAL,WEEKDAY(DATE($B$4,$A19,N$11),1))=1,"WKND",INDEX(T_LEAVE[LEAVE CODE],SUMPRODUCT(--(T_LEAVE[NAME]=I_RPT_EMP),--(T_LEAVE[DATE]&lt;=DATE($B$4,$A19,N$11)),--(T_LEAVE[DATE]&gt;=DATE($B$4,$A19,N$11)),ROW(T_LEAVE[LEAVE CODE]))-ROW(T_LEAVE[#Headers])))))),"")</f>
        <v/>
      </c>
      <c r="O19" s="55" t="str">
        <f ca="1">IFERROR(IF(MONTH(DATE(I_RPT_YR,$A19,O$11))&lt;&gt;$A19,"NA",IF(DATE(I_RPT_YR,$A19,O$11)&gt;I_RPT_ED,"NA",IF(NOT(ISERROR(MATCH(DATE($B$4,$A19,O$11),L_HOLS,0))),"H",IF(INDEX(L_WKNDVAL,WEEKDAY(DATE($B$4,$A19,O$11),1))=1,"WKND",INDEX(T_LEAVE[LEAVE CODE],SUMPRODUCT(--(T_LEAVE[NAME]=I_RPT_EMP),--(T_LEAVE[DATE]&lt;=DATE($B$4,$A19,O$11)),--(T_LEAVE[DATE]&gt;=DATE($B$4,$A19,O$11)),ROW(T_LEAVE[LEAVE CODE]))-ROW(T_LEAVE[#Headers])))))),"")</f>
        <v/>
      </c>
      <c r="P19" s="55" t="str">
        <f ca="1">IFERROR(IF(MONTH(DATE(I_RPT_YR,$A19,P$11))&lt;&gt;$A19,"NA",IF(DATE(I_RPT_YR,$A19,P$11)&gt;I_RPT_ED,"NA",IF(NOT(ISERROR(MATCH(DATE($B$4,$A19,P$11),L_HOLS,0))),"H",IF(INDEX(L_WKNDVAL,WEEKDAY(DATE($B$4,$A19,P$11),1))=1,"WKND",INDEX(T_LEAVE[LEAVE CODE],SUMPRODUCT(--(T_LEAVE[NAME]=I_RPT_EMP),--(T_LEAVE[DATE]&lt;=DATE($B$4,$A19,P$11)),--(T_LEAVE[DATE]&gt;=DATE($B$4,$A19,P$11)),ROW(T_LEAVE[LEAVE CODE]))-ROW(T_LEAVE[#Headers])))))),"")</f>
        <v/>
      </c>
      <c r="Q19" s="55" t="str">
        <f ca="1">IFERROR(IF(MONTH(DATE(I_RPT_YR,$A19,Q$11))&lt;&gt;$A19,"NA",IF(DATE(I_RPT_YR,$A19,Q$11)&gt;I_RPT_ED,"NA",IF(NOT(ISERROR(MATCH(DATE($B$4,$A19,Q$11),L_HOLS,0))),"H",IF(INDEX(L_WKNDVAL,WEEKDAY(DATE($B$4,$A19,Q$11),1))=1,"WKND",INDEX(T_LEAVE[LEAVE CODE],SUMPRODUCT(--(T_LEAVE[NAME]=I_RPT_EMP),--(T_LEAVE[DATE]&lt;=DATE($B$4,$A19,Q$11)),--(T_LEAVE[DATE]&gt;=DATE($B$4,$A19,Q$11)),ROW(T_LEAVE[LEAVE CODE]))-ROW(T_LEAVE[#Headers])))))),"")</f>
        <v/>
      </c>
      <c r="R19" s="55" t="str">
        <f ca="1">IFERROR(IF(MONTH(DATE(I_RPT_YR,$A19,R$11))&lt;&gt;$A19,"NA",IF(DATE(I_RPT_YR,$A19,R$11)&gt;I_RPT_ED,"NA",IF(NOT(ISERROR(MATCH(DATE($B$4,$A19,R$11),L_HOLS,0))),"H",IF(INDEX(L_WKNDVAL,WEEKDAY(DATE($B$4,$A19,R$11),1))=1,"WKND",INDEX(T_LEAVE[LEAVE CODE],SUMPRODUCT(--(T_LEAVE[NAME]=I_RPT_EMP),--(T_LEAVE[DATE]&lt;=DATE($B$4,$A19,R$11)),--(T_LEAVE[DATE]&gt;=DATE($B$4,$A19,R$11)),ROW(T_LEAVE[LEAVE CODE]))-ROW(T_LEAVE[#Headers])))))),"")</f>
        <v/>
      </c>
      <c r="S19" s="55" t="str">
        <f ca="1">IFERROR(IF(MONTH(DATE(I_RPT_YR,$A19,S$11))&lt;&gt;$A19,"NA",IF(DATE(I_RPT_YR,$A19,S$11)&gt;I_RPT_ED,"NA",IF(NOT(ISERROR(MATCH(DATE($B$4,$A19,S$11),L_HOLS,0))),"H",IF(INDEX(L_WKNDVAL,WEEKDAY(DATE($B$4,$A19,S$11),1))=1,"WKND",INDEX(T_LEAVE[LEAVE CODE],SUMPRODUCT(--(T_LEAVE[NAME]=I_RPT_EMP),--(T_LEAVE[DATE]&lt;=DATE($B$4,$A19,S$11)),--(T_LEAVE[DATE]&gt;=DATE($B$4,$A19,S$11)),ROW(T_LEAVE[LEAVE CODE]))-ROW(T_LEAVE[#Headers])))))),"")</f>
        <v/>
      </c>
      <c r="T19" s="55" t="str">
        <f ca="1">IFERROR(IF(MONTH(DATE(I_RPT_YR,$A19,T$11))&lt;&gt;$A19,"NA",IF(DATE(I_RPT_YR,$A19,T$11)&gt;I_RPT_ED,"NA",IF(NOT(ISERROR(MATCH(DATE($B$4,$A19,T$11),L_HOLS,0))),"H",IF(INDEX(L_WKNDVAL,WEEKDAY(DATE($B$4,$A19,T$11),1))=1,"WKND",INDEX(T_LEAVE[LEAVE CODE],SUMPRODUCT(--(T_LEAVE[NAME]=I_RPT_EMP),--(T_LEAVE[DATE]&lt;=DATE($B$4,$A19,T$11)),--(T_LEAVE[DATE]&gt;=DATE($B$4,$A19,T$11)),ROW(T_LEAVE[LEAVE CODE]))-ROW(T_LEAVE[#Headers])))))),"")</f>
        <v/>
      </c>
      <c r="U19" s="55" t="str">
        <f ca="1">IFERROR(IF(MONTH(DATE(I_RPT_YR,$A19,U$11))&lt;&gt;$A19,"NA",IF(DATE(I_RPT_YR,$A19,U$11)&gt;I_RPT_ED,"NA",IF(NOT(ISERROR(MATCH(DATE($B$4,$A19,U$11),L_HOLS,0))),"H",IF(INDEX(L_WKNDVAL,WEEKDAY(DATE($B$4,$A19,U$11),1))=1,"WKND",INDEX(T_LEAVE[LEAVE CODE],SUMPRODUCT(--(T_LEAVE[NAME]=I_RPT_EMP),--(T_LEAVE[DATE]&lt;=DATE($B$4,$A19,U$11)),--(T_LEAVE[DATE]&gt;=DATE($B$4,$A19,U$11)),ROW(T_LEAVE[LEAVE CODE]))-ROW(T_LEAVE[#Headers])))))),"")</f>
        <v/>
      </c>
      <c r="V19" s="55" t="str">
        <f ca="1">IFERROR(IF(MONTH(DATE(I_RPT_YR,$A19,V$11))&lt;&gt;$A19,"NA",IF(DATE(I_RPT_YR,$A19,V$11)&gt;I_RPT_ED,"NA",IF(NOT(ISERROR(MATCH(DATE($B$4,$A19,V$11),L_HOLS,0))),"H",IF(INDEX(L_WKNDVAL,WEEKDAY(DATE($B$4,$A19,V$11),1))=1,"WKND",INDEX(T_LEAVE[LEAVE CODE],SUMPRODUCT(--(T_LEAVE[NAME]=I_RPT_EMP),--(T_LEAVE[DATE]&lt;=DATE($B$4,$A19,V$11)),--(T_LEAVE[DATE]&gt;=DATE($B$4,$A19,V$11)),ROW(T_LEAVE[LEAVE CODE]))-ROW(T_LEAVE[#Headers])))))),"")</f>
        <v/>
      </c>
      <c r="W19" s="55" t="str">
        <f ca="1">IFERROR(IF(MONTH(DATE(I_RPT_YR,$A19,W$11))&lt;&gt;$A19,"NA",IF(DATE(I_RPT_YR,$A19,W$11)&gt;I_RPT_ED,"NA",IF(NOT(ISERROR(MATCH(DATE($B$4,$A19,W$11),L_HOLS,0))),"H",IF(INDEX(L_WKNDVAL,WEEKDAY(DATE($B$4,$A19,W$11),1))=1,"WKND",INDEX(T_LEAVE[LEAVE CODE],SUMPRODUCT(--(T_LEAVE[NAME]=I_RPT_EMP),--(T_LEAVE[DATE]&lt;=DATE($B$4,$A19,W$11)),--(T_LEAVE[DATE]&gt;=DATE($B$4,$A19,W$11)),ROW(T_LEAVE[LEAVE CODE]))-ROW(T_LEAVE[#Headers])))))),"")</f>
        <v>H</v>
      </c>
      <c r="X19" s="55" t="str">
        <f ca="1">IFERROR(IF(MONTH(DATE(I_RPT_YR,$A19,X$11))&lt;&gt;$A19,"NA",IF(DATE(I_RPT_YR,$A19,X$11)&gt;I_RPT_ED,"NA",IF(NOT(ISERROR(MATCH(DATE($B$4,$A19,X$11),L_HOLS,0))),"H",IF(INDEX(L_WKNDVAL,WEEKDAY(DATE($B$4,$A19,X$11),1))=1,"WKND",INDEX(T_LEAVE[LEAVE CODE],SUMPRODUCT(--(T_LEAVE[NAME]=I_RPT_EMP),--(T_LEAVE[DATE]&lt;=DATE($B$4,$A19,X$11)),--(T_LEAVE[DATE]&gt;=DATE($B$4,$A19,X$11)),ROW(T_LEAVE[LEAVE CODE]))-ROW(T_LEAVE[#Headers])))))),"")</f>
        <v/>
      </c>
      <c r="Y19" s="55" t="str">
        <f ca="1">IFERROR(IF(MONTH(DATE(I_RPT_YR,$A19,Y$11))&lt;&gt;$A19,"NA",IF(DATE(I_RPT_YR,$A19,Y$11)&gt;I_RPT_ED,"NA",IF(NOT(ISERROR(MATCH(DATE($B$4,$A19,Y$11),L_HOLS,0))),"H",IF(INDEX(L_WKNDVAL,WEEKDAY(DATE($B$4,$A19,Y$11),1))=1,"WKND",INDEX(T_LEAVE[LEAVE CODE],SUMPRODUCT(--(T_LEAVE[NAME]=I_RPT_EMP),--(T_LEAVE[DATE]&lt;=DATE($B$4,$A19,Y$11)),--(T_LEAVE[DATE]&gt;=DATE($B$4,$A19,Y$11)),ROW(T_LEAVE[LEAVE CODE]))-ROW(T_LEAVE[#Headers])))))),"")</f>
        <v/>
      </c>
      <c r="Z19" s="55" t="str">
        <f ca="1">IFERROR(IF(MONTH(DATE(I_RPT_YR,$A19,Z$11))&lt;&gt;$A19,"NA",IF(DATE(I_RPT_YR,$A19,Z$11)&gt;I_RPT_ED,"NA",IF(NOT(ISERROR(MATCH(DATE($B$4,$A19,Z$11),L_HOLS,0))),"H",IF(INDEX(L_WKNDVAL,WEEKDAY(DATE($B$4,$A19,Z$11),1))=1,"WKND",INDEX(T_LEAVE[LEAVE CODE],SUMPRODUCT(--(T_LEAVE[NAME]=I_RPT_EMP),--(T_LEAVE[DATE]&lt;=DATE($B$4,$A19,Z$11)),--(T_LEAVE[DATE]&gt;=DATE($B$4,$A19,Z$11)),ROW(T_LEAVE[LEAVE CODE]))-ROW(T_LEAVE[#Headers])))))),"")</f>
        <v/>
      </c>
      <c r="AA19" s="55" t="str">
        <f ca="1">IFERROR(IF(MONTH(DATE(I_RPT_YR,$A19,AA$11))&lt;&gt;$A19,"NA",IF(DATE(I_RPT_YR,$A19,AA$11)&gt;I_RPT_ED,"NA",IF(NOT(ISERROR(MATCH(DATE($B$4,$A19,AA$11),L_HOLS,0))),"H",IF(INDEX(L_WKNDVAL,WEEKDAY(DATE($B$4,$A19,AA$11),1))=1,"WKND",INDEX(T_LEAVE[LEAVE CODE],SUMPRODUCT(--(T_LEAVE[NAME]=I_RPT_EMP),--(T_LEAVE[DATE]&lt;=DATE($B$4,$A19,AA$11)),--(T_LEAVE[DATE]&gt;=DATE($B$4,$A19,AA$11)),ROW(T_LEAVE[LEAVE CODE]))-ROW(T_LEAVE[#Headers])))))),"")</f>
        <v/>
      </c>
      <c r="AB19" s="55" t="str">
        <f ca="1">IFERROR(IF(MONTH(DATE(I_RPT_YR,$A19,AB$11))&lt;&gt;$A19,"NA",IF(DATE(I_RPT_YR,$A19,AB$11)&gt;I_RPT_ED,"NA",IF(NOT(ISERROR(MATCH(DATE($B$4,$A19,AB$11),L_HOLS,0))),"H",IF(INDEX(L_WKNDVAL,WEEKDAY(DATE($B$4,$A19,AB$11),1))=1,"WKND",INDEX(T_LEAVE[LEAVE CODE],SUMPRODUCT(--(T_LEAVE[NAME]=I_RPT_EMP),--(T_LEAVE[DATE]&lt;=DATE($B$4,$A19,AB$11)),--(T_LEAVE[DATE]&gt;=DATE($B$4,$A19,AB$11)),ROW(T_LEAVE[LEAVE CODE]))-ROW(T_LEAVE[#Headers])))))),"")</f>
        <v/>
      </c>
      <c r="AC19" s="55" t="str">
        <f ca="1">IFERROR(IF(MONTH(DATE(I_RPT_YR,$A19,AC$11))&lt;&gt;$A19,"NA",IF(DATE(I_RPT_YR,$A19,AC$11)&gt;I_RPT_ED,"NA",IF(NOT(ISERROR(MATCH(DATE($B$4,$A19,AC$11),L_HOLS,0))),"H",IF(INDEX(L_WKNDVAL,WEEKDAY(DATE($B$4,$A19,AC$11),1))=1,"WKND",INDEX(T_LEAVE[LEAVE CODE],SUMPRODUCT(--(T_LEAVE[NAME]=I_RPT_EMP),--(T_LEAVE[DATE]&lt;=DATE($B$4,$A19,AC$11)),--(T_LEAVE[DATE]&gt;=DATE($B$4,$A19,AC$11)),ROW(T_LEAVE[LEAVE CODE]))-ROW(T_LEAVE[#Headers])))))),"")</f>
        <v/>
      </c>
      <c r="AD19" s="55" t="str">
        <f ca="1">IFERROR(IF(MONTH(DATE(I_RPT_YR,$A19,AD$11))&lt;&gt;$A19,"NA",IF(DATE(I_RPT_YR,$A19,AD$11)&gt;I_RPT_ED,"NA",IF(NOT(ISERROR(MATCH(DATE($B$4,$A19,AD$11),L_HOLS,0))),"H",IF(INDEX(L_WKNDVAL,WEEKDAY(DATE($B$4,$A19,AD$11),1))=1,"WKND",INDEX(T_LEAVE[LEAVE CODE],SUMPRODUCT(--(T_LEAVE[NAME]=I_RPT_EMP),--(T_LEAVE[DATE]&lt;=DATE($B$4,$A19,AD$11)),--(T_LEAVE[DATE]&gt;=DATE($B$4,$A19,AD$11)),ROW(T_LEAVE[LEAVE CODE]))-ROW(T_LEAVE[#Headers])))))),"")</f>
        <v/>
      </c>
      <c r="AE19" s="55" t="str">
        <f ca="1">IFERROR(IF(MONTH(DATE(I_RPT_YR,$A19,AE$11))&lt;&gt;$A19,"NA",IF(DATE(I_RPT_YR,$A19,AE$11)&gt;I_RPT_ED,"NA",IF(NOT(ISERROR(MATCH(DATE($B$4,$A19,AE$11),L_HOLS,0))),"H",IF(INDEX(L_WKNDVAL,WEEKDAY(DATE($B$4,$A19,AE$11),1))=1,"WKND",INDEX(T_LEAVE[LEAVE CODE],SUMPRODUCT(--(T_LEAVE[NAME]=I_RPT_EMP),--(T_LEAVE[DATE]&lt;=DATE($B$4,$A19,AE$11)),--(T_LEAVE[DATE]&gt;=DATE($B$4,$A19,AE$11)),ROW(T_LEAVE[LEAVE CODE]))-ROW(T_LEAVE[#Headers])))))),"")</f>
        <v/>
      </c>
      <c r="AF19" s="55" t="str">
        <f ca="1">IFERROR(IF(MONTH(DATE(I_RPT_YR,$A19,AF$11))&lt;&gt;$A19,"NA",IF(DATE(I_RPT_YR,$A19,AF$11)&gt;I_RPT_ED,"NA",IF(NOT(ISERROR(MATCH(DATE($B$4,$A19,AF$11),L_HOLS,0))),"H",IF(INDEX(L_WKNDVAL,WEEKDAY(DATE($B$4,$A19,AF$11),1))=1,"WKND",INDEX(T_LEAVE[LEAVE CODE],SUMPRODUCT(--(T_LEAVE[NAME]=I_RPT_EMP),--(T_LEAVE[DATE]&lt;=DATE($B$4,$A19,AF$11)),--(T_LEAVE[DATE]&gt;=DATE($B$4,$A19,AF$11)),ROW(T_LEAVE[LEAVE CODE]))-ROW(T_LEAVE[#Headers])))))),"")</f>
        <v>H</v>
      </c>
      <c r="AG19" s="55" t="str">
        <f ca="1">IFERROR(IF(MONTH(DATE(I_RPT_YR,$A19,AG$11))&lt;&gt;$A19,"NA",IF(DATE(I_RPT_YR,$A19,AG$11)&gt;I_RPT_ED,"NA",IF(NOT(ISERROR(MATCH(DATE($B$4,$A19,AG$11),L_HOLS,0))),"H",IF(INDEX(L_WKNDVAL,WEEKDAY(DATE($B$4,$A19,AG$11),1))=1,"WKND",INDEX(T_LEAVE[LEAVE CODE],SUMPRODUCT(--(T_LEAVE[NAME]=I_RPT_EMP),--(T_LEAVE[DATE]&lt;=DATE($B$4,$A19,AG$11)),--(T_LEAVE[DATE]&gt;=DATE($B$4,$A19,AG$11)),ROW(T_LEAVE[LEAVE CODE]))-ROW(T_LEAVE[#Headers])))))),"")</f>
        <v/>
      </c>
      <c r="AH19" s="35"/>
      <c r="AI19" s="36"/>
      <c r="AJ19" s="52">
        <f ca="1">IF(OR($B19&gt;I_RPT_ED,AJ$11=""),"",COUNTIFS($C19:$AG19,AJ$11)*INDEX(T_LEAVETYPE[DAY VALUE],1))</f>
        <v>0</v>
      </c>
      <c r="AK19" s="52">
        <f ca="1">IF(OR($B19&gt;I_RPT_ED,AK$11=""),"",COUNTIFS($C19:$AG19,AK$11)*INDEX(T_LEAVETYPE[DAY VALUE],2))</f>
        <v>0</v>
      </c>
      <c r="AL19" s="52">
        <f ca="1">IF(OR($B19&gt;I_RPT_ED,AL$11=""),"",COUNTIFS($C19:$AG19,AL$11)*INDEX(T_LEAVETYPE[DAY VALUE],3))</f>
        <v>0</v>
      </c>
      <c r="AM19" s="52">
        <f ca="1">IF(OR($B19&gt;I_RPT_ED,AM$11=""),"",COUNTIFS($C19:$AG19,AM$11)*INDEX(T_LEAVETYPE[DAY VALUE],4))</f>
        <v>0</v>
      </c>
      <c r="AN19" s="52">
        <f ca="1">IF(OR($B19&gt;I_RPT_ED,AN$11=""),"",COUNTIFS($C19:$AG19,AN$11)*INDEX(T_LEAVETYPE[DAY VALUE],5))</f>
        <v>0</v>
      </c>
      <c r="AO19" s="52">
        <f ca="1">IF(OR($B19&gt;I_RPT_ED,AO$11=""),"",COUNTIFS($C19:$AG19,AO$11)*INDEX(T_LEAVETYPE[DAY VALUE],6))</f>
        <v>0</v>
      </c>
      <c r="AP19" s="52">
        <f ca="1">IF(OR($B19&gt;I_RPT_ED,AP$11=""),"",COUNTIFS($C19:$AG19,AP$11)*INDEX(T_LEAVETYPE[DAY VALUE],7))</f>
        <v>0</v>
      </c>
      <c r="AQ19" s="52">
        <f ca="1">IF(OR($B19&gt;I_RPT_ED,AQ$11=""),"",COUNTIFS($C19:$AG19,AQ$11)*INDEX(T_LEAVETYPE[DAY VALUE],8))</f>
        <v>0</v>
      </c>
      <c r="AR19" s="52">
        <f t="shared" ca="1" si="4"/>
        <v>0</v>
      </c>
      <c r="AS19" s="6"/>
    </row>
    <row r="20" spans="1:45" ht="15.75" x14ac:dyDescent="0.25">
      <c r="A20" s="51">
        <v>9</v>
      </c>
      <c r="B20" s="54">
        <f t="shared" si="3"/>
        <v>44440</v>
      </c>
      <c r="C20" s="55" t="str">
        <f ca="1">IFERROR(IF(MONTH(DATE(I_RPT_YR,$A20,C$11))&lt;&gt;$A20,"NA",IF(DATE(I_RPT_YR,$A20,C$11)&gt;I_RPT_ED,"NA",IF(NOT(ISERROR(MATCH(DATE($B$4,$A20,C$11),L_HOLS,0))),"H",IF(INDEX(L_WKNDVAL,WEEKDAY(DATE($B$4,$A20,C$11),1))=1,"WKND",INDEX(T_LEAVE[LEAVE CODE],SUMPRODUCT(--(T_LEAVE[NAME]=I_RPT_EMP),--(T_LEAVE[DATE]&lt;=DATE($B$4,$A20,C$11)),--(T_LEAVE[DATE]&gt;=DATE($B$4,$A20,C$11)),ROW(T_LEAVE[LEAVE CODE]))-ROW(T_LEAVE[#Headers])))))),"")</f>
        <v/>
      </c>
      <c r="D20" s="55" t="str">
        <f ca="1">IFERROR(IF(MONTH(DATE(I_RPT_YR,$A20,D$11))&lt;&gt;$A20,"NA",IF(DATE(I_RPT_YR,$A20,D$11)&gt;I_RPT_ED,"NA",IF(NOT(ISERROR(MATCH(DATE($B$4,$A20,D$11),L_HOLS,0))),"H",IF(INDEX(L_WKNDVAL,WEEKDAY(DATE($B$4,$A20,D$11),1))=1,"WKND",INDEX(T_LEAVE[LEAVE CODE],SUMPRODUCT(--(T_LEAVE[NAME]=I_RPT_EMP),--(T_LEAVE[DATE]&lt;=DATE($B$4,$A20,D$11)),--(T_LEAVE[DATE]&gt;=DATE($B$4,$A20,D$11)),ROW(T_LEAVE[LEAVE CODE]))-ROW(T_LEAVE[#Headers])))))),"")</f>
        <v/>
      </c>
      <c r="E20" s="55" t="str">
        <f ca="1">IFERROR(IF(MONTH(DATE(I_RPT_YR,$A20,E$11))&lt;&gt;$A20,"NA",IF(DATE(I_RPT_YR,$A20,E$11)&gt;I_RPT_ED,"NA",IF(NOT(ISERROR(MATCH(DATE($B$4,$A20,E$11),L_HOLS,0))),"H",IF(INDEX(L_WKNDVAL,WEEKDAY(DATE($B$4,$A20,E$11),1))=1,"WKND",INDEX(T_LEAVE[LEAVE CODE],SUMPRODUCT(--(T_LEAVE[NAME]=I_RPT_EMP),--(T_LEAVE[DATE]&lt;=DATE($B$4,$A20,E$11)),--(T_LEAVE[DATE]&gt;=DATE($B$4,$A20,E$11)),ROW(T_LEAVE[LEAVE CODE]))-ROW(T_LEAVE[#Headers])))))),"")</f>
        <v>H</v>
      </c>
      <c r="F20" s="55" t="str">
        <f ca="1">IFERROR(IF(MONTH(DATE(I_RPT_YR,$A20,F$11))&lt;&gt;$A20,"NA",IF(DATE(I_RPT_YR,$A20,F$11)&gt;I_RPT_ED,"NA",IF(NOT(ISERROR(MATCH(DATE($B$4,$A20,F$11),L_HOLS,0))),"H",IF(INDEX(L_WKNDVAL,WEEKDAY(DATE($B$4,$A20,F$11),1))=1,"WKND",INDEX(T_LEAVE[LEAVE CODE],SUMPRODUCT(--(T_LEAVE[NAME]=I_RPT_EMP),--(T_LEAVE[DATE]&lt;=DATE($B$4,$A20,F$11)),--(T_LEAVE[DATE]&gt;=DATE($B$4,$A20,F$11)),ROW(T_LEAVE[LEAVE CODE]))-ROW(T_LEAVE[#Headers])))))),"")</f>
        <v/>
      </c>
      <c r="G20" s="55" t="str">
        <f ca="1">IFERROR(IF(MONTH(DATE(I_RPT_YR,$A20,G$11))&lt;&gt;$A20,"NA",IF(DATE(I_RPT_YR,$A20,G$11)&gt;I_RPT_ED,"NA",IF(NOT(ISERROR(MATCH(DATE($B$4,$A20,G$11),L_HOLS,0))),"H",IF(INDEX(L_WKNDVAL,WEEKDAY(DATE($B$4,$A20,G$11),1))=1,"WKND",INDEX(T_LEAVE[LEAVE CODE],SUMPRODUCT(--(T_LEAVE[NAME]=I_RPT_EMP),--(T_LEAVE[DATE]&lt;=DATE($B$4,$A20,G$11)),--(T_LEAVE[DATE]&gt;=DATE($B$4,$A20,G$11)),ROW(T_LEAVE[LEAVE CODE]))-ROW(T_LEAVE[#Headers])))))),"")</f>
        <v/>
      </c>
      <c r="H20" s="55" t="str">
        <f ca="1">IFERROR(IF(MONTH(DATE(I_RPT_YR,$A20,H$11))&lt;&gt;$A20,"NA",IF(DATE(I_RPT_YR,$A20,H$11)&gt;I_RPT_ED,"NA",IF(NOT(ISERROR(MATCH(DATE($B$4,$A20,H$11),L_HOLS,0))),"H",IF(INDEX(L_WKNDVAL,WEEKDAY(DATE($B$4,$A20,H$11),1))=1,"WKND",INDEX(T_LEAVE[LEAVE CODE],SUMPRODUCT(--(T_LEAVE[NAME]=I_RPT_EMP),--(T_LEAVE[DATE]&lt;=DATE($B$4,$A20,H$11)),--(T_LEAVE[DATE]&gt;=DATE($B$4,$A20,H$11)),ROW(T_LEAVE[LEAVE CODE]))-ROW(T_LEAVE[#Headers])))))),"")</f>
        <v/>
      </c>
      <c r="I20" s="55" t="str">
        <f ca="1">IFERROR(IF(MONTH(DATE(I_RPT_YR,$A20,I$11))&lt;&gt;$A20,"NA",IF(DATE(I_RPT_YR,$A20,I$11)&gt;I_RPT_ED,"NA",IF(NOT(ISERROR(MATCH(DATE($B$4,$A20,I$11),L_HOLS,0))),"H",IF(INDEX(L_WKNDVAL,WEEKDAY(DATE($B$4,$A20,I$11),1))=1,"WKND",INDEX(T_LEAVE[LEAVE CODE],SUMPRODUCT(--(T_LEAVE[NAME]=I_RPT_EMP),--(T_LEAVE[DATE]&lt;=DATE($B$4,$A20,I$11)),--(T_LEAVE[DATE]&gt;=DATE($B$4,$A20,I$11)),ROW(T_LEAVE[LEAVE CODE]))-ROW(T_LEAVE[#Headers])))))),"")</f>
        <v/>
      </c>
      <c r="J20" s="55" t="str">
        <f ca="1">IFERROR(IF(MONTH(DATE(I_RPT_YR,$A20,J$11))&lt;&gt;$A20,"NA",IF(DATE(I_RPT_YR,$A20,J$11)&gt;I_RPT_ED,"NA",IF(NOT(ISERROR(MATCH(DATE($B$4,$A20,J$11),L_HOLS,0))),"H",IF(INDEX(L_WKNDVAL,WEEKDAY(DATE($B$4,$A20,J$11),1))=1,"WKND",INDEX(T_LEAVE[LEAVE CODE],SUMPRODUCT(--(T_LEAVE[NAME]=I_RPT_EMP),--(T_LEAVE[DATE]&lt;=DATE($B$4,$A20,J$11)),--(T_LEAVE[DATE]&gt;=DATE($B$4,$A20,J$11)),ROW(T_LEAVE[LEAVE CODE]))-ROW(T_LEAVE[#Headers])))))),"")</f>
        <v>H</v>
      </c>
      <c r="K20" s="55" t="str">
        <f ca="1">IFERROR(IF(MONTH(DATE(I_RPT_YR,$A20,K$11))&lt;&gt;$A20,"NA",IF(DATE(I_RPT_YR,$A20,K$11)&gt;I_RPT_ED,"NA",IF(NOT(ISERROR(MATCH(DATE($B$4,$A20,K$11),L_HOLS,0))),"H",IF(INDEX(L_WKNDVAL,WEEKDAY(DATE($B$4,$A20,K$11),1))=1,"WKND",INDEX(T_LEAVE[LEAVE CODE],SUMPRODUCT(--(T_LEAVE[NAME]=I_RPT_EMP),--(T_LEAVE[DATE]&lt;=DATE($B$4,$A20,K$11)),--(T_LEAVE[DATE]&gt;=DATE($B$4,$A20,K$11)),ROW(T_LEAVE[LEAVE CODE]))-ROW(T_LEAVE[#Headers])))))),"")</f>
        <v/>
      </c>
      <c r="L20" s="55" t="str">
        <f ca="1">IFERROR(IF(MONTH(DATE(I_RPT_YR,$A20,L$11))&lt;&gt;$A20,"NA",IF(DATE(I_RPT_YR,$A20,L$11)&gt;I_RPT_ED,"NA",IF(NOT(ISERROR(MATCH(DATE($B$4,$A20,L$11),L_HOLS,0))),"H",IF(INDEX(L_WKNDVAL,WEEKDAY(DATE($B$4,$A20,L$11),1))=1,"WKND",INDEX(T_LEAVE[LEAVE CODE],SUMPRODUCT(--(T_LEAVE[NAME]=I_RPT_EMP),--(T_LEAVE[DATE]&lt;=DATE($B$4,$A20,L$11)),--(T_LEAVE[DATE]&gt;=DATE($B$4,$A20,L$11)),ROW(T_LEAVE[LEAVE CODE]))-ROW(T_LEAVE[#Headers])))))),"")</f>
        <v/>
      </c>
      <c r="M20" s="55" t="str">
        <f ca="1">IFERROR(IF(MONTH(DATE(I_RPT_YR,$A20,M$11))&lt;&gt;$A20,"NA",IF(DATE(I_RPT_YR,$A20,M$11)&gt;I_RPT_ED,"NA",IF(NOT(ISERROR(MATCH(DATE($B$4,$A20,M$11),L_HOLS,0))),"H",IF(INDEX(L_WKNDVAL,WEEKDAY(DATE($B$4,$A20,M$11),1))=1,"WKND",INDEX(T_LEAVE[LEAVE CODE],SUMPRODUCT(--(T_LEAVE[NAME]=I_RPT_EMP),--(T_LEAVE[DATE]&lt;=DATE($B$4,$A20,M$11)),--(T_LEAVE[DATE]&gt;=DATE($B$4,$A20,M$11)),ROW(T_LEAVE[LEAVE CODE]))-ROW(T_LEAVE[#Headers])))))),"")</f>
        <v/>
      </c>
      <c r="N20" s="55" t="str">
        <f ca="1">IFERROR(IF(MONTH(DATE(I_RPT_YR,$A20,N$11))&lt;&gt;$A20,"NA",IF(DATE(I_RPT_YR,$A20,N$11)&gt;I_RPT_ED,"NA",IF(NOT(ISERROR(MATCH(DATE($B$4,$A20,N$11),L_HOLS,0))),"H",IF(INDEX(L_WKNDVAL,WEEKDAY(DATE($B$4,$A20,N$11),1))=1,"WKND",INDEX(T_LEAVE[LEAVE CODE],SUMPRODUCT(--(T_LEAVE[NAME]=I_RPT_EMP),--(T_LEAVE[DATE]&lt;=DATE($B$4,$A20,N$11)),--(T_LEAVE[DATE]&gt;=DATE($B$4,$A20,N$11)),ROW(T_LEAVE[LEAVE CODE]))-ROW(T_LEAVE[#Headers])))))),"")</f>
        <v/>
      </c>
      <c r="O20" s="55" t="str">
        <f ca="1">IFERROR(IF(MONTH(DATE(I_RPT_YR,$A20,O$11))&lt;&gt;$A20,"NA",IF(DATE(I_RPT_YR,$A20,O$11)&gt;I_RPT_ED,"NA",IF(NOT(ISERROR(MATCH(DATE($B$4,$A20,O$11),L_HOLS,0))),"H",IF(INDEX(L_WKNDVAL,WEEKDAY(DATE($B$4,$A20,O$11),1))=1,"WKND",INDEX(T_LEAVE[LEAVE CODE],SUMPRODUCT(--(T_LEAVE[NAME]=I_RPT_EMP),--(T_LEAVE[DATE]&lt;=DATE($B$4,$A20,O$11)),--(T_LEAVE[DATE]&gt;=DATE($B$4,$A20,O$11)),ROW(T_LEAVE[LEAVE CODE]))-ROW(T_LEAVE[#Headers])))))),"")</f>
        <v/>
      </c>
      <c r="P20" s="55" t="str">
        <f ca="1">IFERROR(IF(MONTH(DATE(I_RPT_YR,$A20,P$11))&lt;&gt;$A20,"NA",IF(DATE(I_RPT_YR,$A20,P$11)&gt;I_RPT_ED,"NA",IF(NOT(ISERROR(MATCH(DATE($B$4,$A20,P$11),L_HOLS,0))),"H",IF(INDEX(L_WKNDVAL,WEEKDAY(DATE($B$4,$A20,P$11),1))=1,"WKND",INDEX(T_LEAVE[LEAVE CODE],SUMPRODUCT(--(T_LEAVE[NAME]=I_RPT_EMP),--(T_LEAVE[DATE]&lt;=DATE($B$4,$A20,P$11)),--(T_LEAVE[DATE]&gt;=DATE($B$4,$A20,P$11)),ROW(T_LEAVE[LEAVE CODE]))-ROW(T_LEAVE[#Headers])))))),"")</f>
        <v/>
      </c>
      <c r="Q20" s="55" t="str">
        <f ca="1">IFERROR(IF(MONTH(DATE(I_RPT_YR,$A20,Q$11))&lt;&gt;$A20,"NA",IF(DATE(I_RPT_YR,$A20,Q$11)&gt;I_RPT_ED,"NA",IF(NOT(ISERROR(MATCH(DATE($B$4,$A20,Q$11),L_HOLS,0))),"H",IF(INDEX(L_WKNDVAL,WEEKDAY(DATE($B$4,$A20,Q$11),1))=1,"WKND",INDEX(T_LEAVE[LEAVE CODE],SUMPRODUCT(--(T_LEAVE[NAME]=I_RPT_EMP),--(T_LEAVE[DATE]&lt;=DATE($B$4,$A20,Q$11)),--(T_LEAVE[DATE]&gt;=DATE($B$4,$A20,Q$11)),ROW(T_LEAVE[LEAVE CODE]))-ROW(T_LEAVE[#Headers])))))),"")</f>
        <v/>
      </c>
      <c r="R20" s="55" t="str">
        <f ca="1">IFERROR(IF(MONTH(DATE(I_RPT_YR,$A20,R$11))&lt;&gt;$A20,"NA",IF(DATE(I_RPT_YR,$A20,R$11)&gt;I_RPT_ED,"NA",IF(NOT(ISERROR(MATCH(DATE($B$4,$A20,R$11),L_HOLS,0))),"H",IF(INDEX(L_WKNDVAL,WEEKDAY(DATE($B$4,$A20,R$11),1))=1,"WKND",INDEX(T_LEAVE[LEAVE CODE],SUMPRODUCT(--(T_LEAVE[NAME]=I_RPT_EMP),--(T_LEAVE[DATE]&lt;=DATE($B$4,$A20,R$11)),--(T_LEAVE[DATE]&gt;=DATE($B$4,$A20,R$11)),ROW(T_LEAVE[LEAVE CODE]))-ROW(T_LEAVE[#Headers])))))),"")</f>
        <v/>
      </c>
      <c r="S20" s="55" t="str">
        <f ca="1">IFERROR(IF(MONTH(DATE(I_RPT_YR,$A20,S$11))&lt;&gt;$A20,"NA",IF(DATE(I_RPT_YR,$A20,S$11)&gt;I_RPT_ED,"NA",IF(NOT(ISERROR(MATCH(DATE($B$4,$A20,S$11),L_HOLS,0))),"H",IF(INDEX(L_WKNDVAL,WEEKDAY(DATE($B$4,$A20,S$11),1))=1,"WKND",INDEX(T_LEAVE[LEAVE CODE],SUMPRODUCT(--(T_LEAVE[NAME]=I_RPT_EMP),--(T_LEAVE[DATE]&lt;=DATE($B$4,$A20,S$11)),--(T_LEAVE[DATE]&gt;=DATE($B$4,$A20,S$11)),ROW(T_LEAVE[LEAVE CODE]))-ROW(T_LEAVE[#Headers])))))),"")</f>
        <v/>
      </c>
      <c r="T20" s="55" t="str">
        <f ca="1">IFERROR(IF(MONTH(DATE(I_RPT_YR,$A20,T$11))&lt;&gt;$A20,"NA",IF(DATE(I_RPT_YR,$A20,T$11)&gt;I_RPT_ED,"NA",IF(NOT(ISERROR(MATCH(DATE($B$4,$A20,T$11),L_HOLS,0))),"H",IF(INDEX(L_WKNDVAL,WEEKDAY(DATE($B$4,$A20,T$11),1))=1,"WKND",INDEX(T_LEAVE[LEAVE CODE],SUMPRODUCT(--(T_LEAVE[NAME]=I_RPT_EMP),--(T_LEAVE[DATE]&lt;=DATE($B$4,$A20,T$11)),--(T_LEAVE[DATE]&gt;=DATE($B$4,$A20,T$11)),ROW(T_LEAVE[LEAVE CODE]))-ROW(T_LEAVE[#Headers])))))),"")</f>
        <v/>
      </c>
      <c r="U20" s="55" t="str">
        <f ca="1">IFERROR(IF(MONTH(DATE(I_RPT_YR,$A20,U$11))&lt;&gt;$A20,"NA",IF(DATE(I_RPT_YR,$A20,U$11)&gt;I_RPT_ED,"NA",IF(NOT(ISERROR(MATCH(DATE($B$4,$A20,U$11),L_HOLS,0))),"H",IF(INDEX(L_WKNDVAL,WEEKDAY(DATE($B$4,$A20,U$11),1))=1,"WKND",INDEX(T_LEAVE[LEAVE CODE],SUMPRODUCT(--(T_LEAVE[NAME]=I_RPT_EMP),--(T_LEAVE[DATE]&lt;=DATE($B$4,$A20,U$11)),--(T_LEAVE[DATE]&gt;=DATE($B$4,$A20,U$11)),ROW(T_LEAVE[LEAVE CODE]))-ROW(T_LEAVE[#Headers])))))),"")</f>
        <v/>
      </c>
      <c r="V20" s="55" t="str">
        <f ca="1">IFERROR(IF(MONTH(DATE(I_RPT_YR,$A20,V$11))&lt;&gt;$A20,"NA",IF(DATE(I_RPT_YR,$A20,V$11)&gt;I_RPT_ED,"NA",IF(NOT(ISERROR(MATCH(DATE($B$4,$A20,V$11),L_HOLS,0))),"H",IF(INDEX(L_WKNDVAL,WEEKDAY(DATE($B$4,$A20,V$11),1))=1,"WKND",INDEX(T_LEAVE[LEAVE CODE],SUMPRODUCT(--(T_LEAVE[NAME]=I_RPT_EMP),--(T_LEAVE[DATE]&lt;=DATE($B$4,$A20,V$11)),--(T_LEAVE[DATE]&gt;=DATE($B$4,$A20,V$11)),ROW(T_LEAVE[LEAVE CODE]))-ROW(T_LEAVE[#Headers])))))),"")</f>
        <v/>
      </c>
      <c r="W20" s="55" t="str">
        <f ca="1">IFERROR(IF(MONTH(DATE(I_RPT_YR,$A20,W$11))&lt;&gt;$A20,"NA",IF(DATE(I_RPT_YR,$A20,W$11)&gt;I_RPT_ED,"NA",IF(NOT(ISERROR(MATCH(DATE($B$4,$A20,W$11),L_HOLS,0))),"H",IF(INDEX(L_WKNDVAL,WEEKDAY(DATE($B$4,$A20,W$11),1))=1,"WKND",INDEX(T_LEAVE[LEAVE CODE],SUMPRODUCT(--(T_LEAVE[NAME]=I_RPT_EMP),--(T_LEAVE[DATE]&lt;=DATE($B$4,$A20,W$11)),--(T_LEAVE[DATE]&gt;=DATE($B$4,$A20,W$11)),ROW(T_LEAVE[LEAVE CODE]))-ROW(T_LEAVE[#Headers])))))),"")</f>
        <v/>
      </c>
      <c r="X20" s="55" t="str">
        <f ca="1">IFERROR(IF(MONTH(DATE(I_RPT_YR,$A20,X$11))&lt;&gt;$A20,"NA",IF(DATE(I_RPT_YR,$A20,X$11)&gt;I_RPT_ED,"NA",IF(NOT(ISERROR(MATCH(DATE($B$4,$A20,X$11),L_HOLS,0))),"H",IF(INDEX(L_WKNDVAL,WEEKDAY(DATE($B$4,$A20,X$11),1))=1,"WKND",INDEX(T_LEAVE[LEAVE CODE],SUMPRODUCT(--(T_LEAVE[NAME]=I_RPT_EMP),--(T_LEAVE[DATE]&lt;=DATE($B$4,$A20,X$11)),--(T_LEAVE[DATE]&gt;=DATE($B$4,$A20,X$11)),ROW(T_LEAVE[LEAVE CODE]))-ROW(T_LEAVE[#Headers])))))),"")</f>
        <v/>
      </c>
      <c r="Y20" s="55" t="str">
        <f ca="1">IFERROR(IF(MONTH(DATE(I_RPT_YR,$A20,Y$11))&lt;&gt;$A20,"NA",IF(DATE(I_RPT_YR,$A20,Y$11)&gt;I_RPT_ED,"NA",IF(NOT(ISERROR(MATCH(DATE($B$4,$A20,Y$11),L_HOLS,0))),"H",IF(INDEX(L_WKNDVAL,WEEKDAY(DATE($B$4,$A20,Y$11),1))=1,"WKND",INDEX(T_LEAVE[LEAVE CODE],SUMPRODUCT(--(T_LEAVE[NAME]=I_RPT_EMP),--(T_LEAVE[DATE]&lt;=DATE($B$4,$A20,Y$11)),--(T_LEAVE[DATE]&gt;=DATE($B$4,$A20,Y$11)),ROW(T_LEAVE[LEAVE CODE]))-ROW(T_LEAVE[#Headers])))))),"")</f>
        <v/>
      </c>
      <c r="Z20" s="55" t="str">
        <f ca="1">IFERROR(IF(MONTH(DATE(I_RPT_YR,$A20,Z$11))&lt;&gt;$A20,"NA",IF(DATE(I_RPT_YR,$A20,Z$11)&gt;I_RPT_ED,"NA",IF(NOT(ISERROR(MATCH(DATE($B$4,$A20,Z$11),L_HOLS,0))),"H",IF(INDEX(L_WKNDVAL,WEEKDAY(DATE($B$4,$A20,Z$11),1))=1,"WKND",INDEX(T_LEAVE[LEAVE CODE],SUMPRODUCT(--(T_LEAVE[NAME]=I_RPT_EMP),--(T_LEAVE[DATE]&lt;=DATE($B$4,$A20,Z$11)),--(T_LEAVE[DATE]&gt;=DATE($B$4,$A20,Z$11)),ROW(T_LEAVE[LEAVE CODE]))-ROW(T_LEAVE[#Headers])))))),"")</f>
        <v/>
      </c>
      <c r="AA20" s="55" t="str">
        <f ca="1">IFERROR(IF(MONTH(DATE(I_RPT_YR,$A20,AA$11))&lt;&gt;$A20,"NA",IF(DATE(I_RPT_YR,$A20,AA$11)&gt;I_RPT_ED,"NA",IF(NOT(ISERROR(MATCH(DATE($B$4,$A20,AA$11),L_HOLS,0))),"H",IF(INDEX(L_WKNDVAL,WEEKDAY(DATE($B$4,$A20,AA$11),1))=1,"WKND",INDEX(T_LEAVE[LEAVE CODE],SUMPRODUCT(--(T_LEAVE[NAME]=I_RPT_EMP),--(T_LEAVE[DATE]&lt;=DATE($B$4,$A20,AA$11)),--(T_LEAVE[DATE]&gt;=DATE($B$4,$A20,AA$11)),ROW(T_LEAVE[LEAVE CODE]))-ROW(T_LEAVE[#Headers])))))),"")</f>
        <v/>
      </c>
      <c r="AB20" s="55" t="str">
        <f ca="1">IFERROR(IF(MONTH(DATE(I_RPT_YR,$A20,AB$11))&lt;&gt;$A20,"NA",IF(DATE(I_RPT_YR,$A20,AB$11)&gt;I_RPT_ED,"NA",IF(NOT(ISERROR(MATCH(DATE($B$4,$A20,AB$11),L_HOLS,0))),"H",IF(INDEX(L_WKNDVAL,WEEKDAY(DATE($B$4,$A20,AB$11),1))=1,"WKND",INDEX(T_LEAVE[LEAVE CODE],SUMPRODUCT(--(T_LEAVE[NAME]=I_RPT_EMP),--(T_LEAVE[DATE]&lt;=DATE($B$4,$A20,AB$11)),--(T_LEAVE[DATE]&gt;=DATE($B$4,$A20,AB$11)),ROW(T_LEAVE[LEAVE CODE]))-ROW(T_LEAVE[#Headers])))))),"")</f>
        <v/>
      </c>
      <c r="AC20" s="55" t="str">
        <f ca="1">IFERROR(IF(MONTH(DATE(I_RPT_YR,$A20,AC$11))&lt;&gt;$A20,"NA",IF(DATE(I_RPT_YR,$A20,AC$11)&gt;I_RPT_ED,"NA",IF(NOT(ISERROR(MATCH(DATE($B$4,$A20,AC$11),L_HOLS,0))),"H",IF(INDEX(L_WKNDVAL,WEEKDAY(DATE($B$4,$A20,AC$11),1))=1,"WKND",INDEX(T_LEAVE[LEAVE CODE],SUMPRODUCT(--(T_LEAVE[NAME]=I_RPT_EMP),--(T_LEAVE[DATE]&lt;=DATE($B$4,$A20,AC$11)),--(T_LEAVE[DATE]&gt;=DATE($B$4,$A20,AC$11)),ROW(T_LEAVE[LEAVE CODE]))-ROW(T_LEAVE[#Headers])))))),"")</f>
        <v/>
      </c>
      <c r="AD20" s="55" t="str">
        <f ca="1">IFERROR(IF(MONTH(DATE(I_RPT_YR,$A20,AD$11))&lt;&gt;$A20,"NA",IF(DATE(I_RPT_YR,$A20,AD$11)&gt;I_RPT_ED,"NA",IF(NOT(ISERROR(MATCH(DATE($B$4,$A20,AD$11),L_HOLS,0))),"H",IF(INDEX(L_WKNDVAL,WEEKDAY(DATE($B$4,$A20,AD$11),1))=1,"WKND",INDEX(T_LEAVE[LEAVE CODE],SUMPRODUCT(--(T_LEAVE[NAME]=I_RPT_EMP),--(T_LEAVE[DATE]&lt;=DATE($B$4,$A20,AD$11)),--(T_LEAVE[DATE]&gt;=DATE($B$4,$A20,AD$11)),ROW(T_LEAVE[LEAVE CODE]))-ROW(T_LEAVE[#Headers])))))),"")</f>
        <v/>
      </c>
      <c r="AE20" s="55" t="str">
        <f ca="1">IFERROR(IF(MONTH(DATE(I_RPT_YR,$A20,AE$11))&lt;&gt;$A20,"NA",IF(DATE(I_RPT_YR,$A20,AE$11)&gt;I_RPT_ED,"NA",IF(NOT(ISERROR(MATCH(DATE($B$4,$A20,AE$11),L_HOLS,0))),"H",IF(INDEX(L_WKNDVAL,WEEKDAY(DATE($B$4,$A20,AE$11),1))=1,"WKND",INDEX(T_LEAVE[LEAVE CODE],SUMPRODUCT(--(T_LEAVE[NAME]=I_RPT_EMP),--(T_LEAVE[DATE]&lt;=DATE($B$4,$A20,AE$11)),--(T_LEAVE[DATE]&gt;=DATE($B$4,$A20,AE$11)),ROW(T_LEAVE[LEAVE CODE]))-ROW(T_LEAVE[#Headers])))))),"")</f>
        <v/>
      </c>
      <c r="AF20" s="55" t="str">
        <f ca="1">IFERROR(IF(MONTH(DATE(I_RPT_YR,$A20,AF$11))&lt;&gt;$A20,"NA",IF(DATE(I_RPT_YR,$A20,AF$11)&gt;I_RPT_ED,"NA",IF(NOT(ISERROR(MATCH(DATE($B$4,$A20,AF$11),L_HOLS,0))),"H",IF(INDEX(L_WKNDVAL,WEEKDAY(DATE($B$4,$A20,AF$11),1))=1,"WKND",INDEX(T_LEAVE[LEAVE CODE],SUMPRODUCT(--(T_LEAVE[NAME]=I_RPT_EMP),--(T_LEAVE[DATE]&lt;=DATE($B$4,$A20,AF$11)),--(T_LEAVE[DATE]&gt;=DATE($B$4,$A20,AF$11)),ROW(T_LEAVE[LEAVE CODE]))-ROW(T_LEAVE[#Headers])))))),"")</f>
        <v/>
      </c>
      <c r="AG20" s="55" t="str">
        <f>IFERROR(IF(MONTH(DATE(I_RPT_YR,$A20,AG$11))&lt;&gt;$A20,"NA",IF(DATE(I_RPT_YR,$A20,AG$11)&gt;I_RPT_ED,"NA",IF(NOT(ISERROR(MATCH(DATE($B$4,$A20,AG$11),L_HOLS,0))),"H",IF(INDEX(L_WKNDVAL,WEEKDAY(DATE($B$4,$A20,AG$11),1))=1,"WKND",INDEX(T_LEAVE[LEAVE CODE],SUMPRODUCT(--(T_LEAVE[NAME]=I_RPT_EMP),--(T_LEAVE[DATE]&lt;=DATE($B$4,$A20,AG$11)),--(T_LEAVE[DATE]&gt;=DATE($B$4,$A20,AG$11)),ROW(T_LEAVE[LEAVE CODE]))-ROW(T_LEAVE[#Headers])))))),"")</f>
        <v>NA</v>
      </c>
      <c r="AH20" s="35"/>
      <c r="AI20" s="36"/>
      <c r="AJ20" s="52">
        <f ca="1">IF(OR($B20&gt;I_RPT_ED,AJ$11=""),"",COUNTIFS($C20:$AG20,AJ$11)*INDEX(T_LEAVETYPE[DAY VALUE],1))</f>
        <v>0</v>
      </c>
      <c r="AK20" s="52">
        <f ca="1">IF(OR($B20&gt;I_RPT_ED,AK$11=""),"",COUNTIFS($C20:$AG20,AK$11)*INDEX(T_LEAVETYPE[DAY VALUE],2))</f>
        <v>0</v>
      </c>
      <c r="AL20" s="52">
        <f ca="1">IF(OR($B20&gt;I_RPT_ED,AL$11=""),"",COUNTIFS($C20:$AG20,AL$11)*INDEX(T_LEAVETYPE[DAY VALUE],3))</f>
        <v>0</v>
      </c>
      <c r="AM20" s="52">
        <f ca="1">IF(OR($B20&gt;I_RPT_ED,AM$11=""),"",COUNTIFS($C20:$AG20,AM$11)*INDEX(T_LEAVETYPE[DAY VALUE],4))</f>
        <v>0</v>
      </c>
      <c r="AN20" s="52">
        <f ca="1">IF(OR($B20&gt;I_RPT_ED,AN$11=""),"",COUNTIFS($C20:$AG20,AN$11)*INDEX(T_LEAVETYPE[DAY VALUE],5))</f>
        <v>0</v>
      </c>
      <c r="AO20" s="52">
        <f ca="1">IF(OR($B20&gt;I_RPT_ED,AO$11=""),"",COUNTIFS($C20:$AG20,AO$11)*INDEX(T_LEAVETYPE[DAY VALUE],6))</f>
        <v>0</v>
      </c>
      <c r="AP20" s="52">
        <f ca="1">IF(OR($B20&gt;I_RPT_ED,AP$11=""),"",COUNTIFS($C20:$AG20,AP$11)*INDEX(T_LEAVETYPE[DAY VALUE],7))</f>
        <v>0</v>
      </c>
      <c r="AQ20" s="52">
        <f ca="1">IF(OR($B20&gt;I_RPT_ED,AQ$11=""),"",COUNTIFS($C20:$AG20,AQ$11)*INDEX(T_LEAVETYPE[DAY VALUE],8))</f>
        <v>0</v>
      </c>
      <c r="AR20" s="52">
        <f t="shared" ca="1" si="4"/>
        <v>0</v>
      </c>
      <c r="AS20" s="6"/>
    </row>
    <row r="21" spans="1:45" ht="15.75" x14ac:dyDescent="0.25">
      <c r="A21" s="51">
        <v>10</v>
      </c>
      <c r="B21" s="54">
        <f t="shared" si="3"/>
        <v>44470</v>
      </c>
      <c r="C21" s="55" t="str">
        <f ca="1">IFERROR(IF(MONTH(DATE(I_RPT_YR,$A21,C$11))&lt;&gt;$A21,"NA",IF(DATE(I_RPT_YR,$A21,C$11)&gt;I_RPT_ED,"NA",IF(NOT(ISERROR(MATCH(DATE($B$4,$A21,C$11),L_HOLS,0))),"H",IF(INDEX(L_WKNDVAL,WEEKDAY(DATE($B$4,$A21,C$11),1))=1,"WKND",INDEX(T_LEAVE[LEAVE CODE],SUMPRODUCT(--(T_LEAVE[NAME]=I_RPT_EMP),--(T_LEAVE[DATE]&lt;=DATE($B$4,$A21,C$11)),--(T_LEAVE[DATE]&gt;=DATE($B$4,$A21,C$11)),ROW(T_LEAVE[LEAVE CODE]))-ROW(T_LEAVE[#Headers])))))),"")</f>
        <v/>
      </c>
      <c r="D21" s="55" t="str">
        <f ca="1">IFERROR(IF(MONTH(DATE(I_RPT_YR,$A21,D$11))&lt;&gt;$A21,"NA",IF(DATE(I_RPT_YR,$A21,D$11)&gt;I_RPT_ED,"NA",IF(NOT(ISERROR(MATCH(DATE($B$4,$A21,D$11),L_HOLS,0))),"H",IF(INDEX(L_WKNDVAL,WEEKDAY(DATE($B$4,$A21,D$11),1))=1,"WKND",INDEX(T_LEAVE[LEAVE CODE],SUMPRODUCT(--(T_LEAVE[NAME]=I_RPT_EMP),--(T_LEAVE[DATE]&lt;=DATE($B$4,$A21,D$11)),--(T_LEAVE[DATE]&gt;=DATE($B$4,$A21,D$11)),ROW(T_LEAVE[LEAVE CODE]))-ROW(T_LEAVE[#Headers])))))),"")</f>
        <v/>
      </c>
      <c r="E21" s="55" t="str">
        <f ca="1">IFERROR(IF(MONTH(DATE(I_RPT_YR,$A21,E$11))&lt;&gt;$A21,"NA",IF(DATE(I_RPT_YR,$A21,E$11)&gt;I_RPT_ED,"NA",IF(NOT(ISERROR(MATCH(DATE($B$4,$A21,E$11),L_HOLS,0))),"H",IF(INDEX(L_WKNDVAL,WEEKDAY(DATE($B$4,$A21,E$11),1))=1,"WKND",INDEX(T_LEAVE[LEAVE CODE],SUMPRODUCT(--(T_LEAVE[NAME]=I_RPT_EMP),--(T_LEAVE[DATE]&lt;=DATE($B$4,$A21,E$11)),--(T_LEAVE[DATE]&gt;=DATE($B$4,$A21,E$11)),ROW(T_LEAVE[LEAVE CODE]))-ROW(T_LEAVE[#Headers])))))),"")</f>
        <v/>
      </c>
      <c r="F21" s="55" t="str">
        <f ca="1">IFERROR(IF(MONTH(DATE(I_RPT_YR,$A21,F$11))&lt;&gt;$A21,"NA",IF(DATE(I_RPT_YR,$A21,F$11)&gt;I_RPT_ED,"NA",IF(NOT(ISERROR(MATCH(DATE($B$4,$A21,F$11),L_HOLS,0))),"H",IF(INDEX(L_WKNDVAL,WEEKDAY(DATE($B$4,$A21,F$11),1))=1,"WKND",INDEX(T_LEAVE[LEAVE CODE],SUMPRODUCT(--(T_LEAVE[NAME]=I_RPT_EMP),--(T_LEAVE[DATE]&lt;=DATE($B$4,$A21,F$11)),--(T_LEAVE[DATE]&gt;=DATE($B$4,$A21,F$11)),ROW(T_LEAVE[LEAVE CODE]))-ROW(T_LEAVE[#Headers])))))),"")</f>
        <v/>
      </c>
      <c r="G21" s="55" t="str">
        <f ca="1">IFERROR(IF(MONTH(DATE(I_RPT_YR,$A21,G$11))&lt;&gt;$A21,"NA",IF(DATE(I_RPT_YR,$A21,G$11)&gt;I_RPT_ED,"NA",IF(NOT(ISERROR(MATCH(DATE($B$4,$A21,G$11),L_HOLS,0))),"H",IF(INDEX(L_WKNDVAL,WEEKDAY(DATE($B$4,$A21,G$11),1))=1,"WKND",INDEX(T_LEAVE[LEAVE CODE],SUMPRODUCT(--(T_LEAVE[NAME]=I_RPT_EMP),--(T_LEAVE[DATE]&lt;=DATE($B$4,$A21,G$11)),--(T_LEAVE[DATE]&gt;=DATE($B$4,$A21,G$11)),ROW(T_LEAVE[LEAVE CODE]))-ROW(T_LEAVE[#Headers])))))),"")</f>
        <v/>
      </c>
      <c r="H21" s="55" t="str">
        <f ca="1">IFERROR(IF(MONTH(DATE(I_RPT_YR,$A21,H$11))&lt;&gt;$A21,"NA",IF(DATE(I_RPT_YR,$A21,H$11)&gt;I_RPT_ED,"NA",IF(NOT(ISERROR(MATCH(DATE($B$4,$A21,H$11),L_HOLS,0))),"H",IF(INDEX(L_WKNDVAL,WEEKDAY(DATE($B$4,$A21,H$11),1))=1,"WKND",INDEX(T_LEAVE[LEAVE CODE],SUMPRODUCT(--(T_LEAVE[NAME]=I_RPT_EMP),--(T_LEAVE[DATE]&lt;=DATE($B$4,$A21,H$11)),--(T_LEAVE[DATE]&gt;=DATE($B$4,$A21,H$11)),ROW(T_LEAVE[LEAVE CODE]))-ROW(T_LEAVE[#Headers])))))),"")</f>
        <v/>
      </c>
      <c r="I21" s="55" t="str">
        <f ca="1">IFERROR(IF(MONTH(DATE(I_RPT_YR,$A21,I$11))&lt;&gt;$A21,"NA",IF(DATE(I_RPT_YR,$A21,I$11)&gt;I_RPT_ED,"NA",IF(NOT(ISERROR(MATCH(DATE($B$4,$A21,I$11),L_HOLS,0))),"H",IF(INDEX(L_WKNDVAL,WEEKDAY(DATE($B$4,$A21,I$11),1))=1,"WKND",INDEX(T_LEAVE[LEAVE CODE],SUMPRODUCT(--(T_LEAVE[NAME]=I_RPT_EMP),--(T_LEAVE[DATE]&lt;=DATE($B$4,$A21,I$11)),--(T_LEAVE[DATE]&gt;=DATE($B$4,$A21,I$11)),ROW(T_LEAVE[LEAVE CODE]))-ROW(T_LEAVE[#Headers])))))),"")</f>
        <v/>
      </c>
      <c r="J21" s="55" t="str">
        <f ca="1">IFERROR(IF(MONTH(DATE(I_RPT_YR,$A21,J$11))&lt;&gt;$A21,"NA",IF(DATE(I_RPT_YR,$A21,J$11)&gt;I_RPT_ED,"NA",IF(NOT(ISERROR(MATCH(DATE($B$4,$A21,J$11),L_HOLS,0))),"H",IF(INDEX(L_WKNDVAL,WEEKDAY(DATE($B$4,$A21,J$11),1))=1,"WKND",INDEX(T_LEAVE[LEAVE CODE],SUMPRODUCT(--(T_LEAVE[NAME]=I_RPT_EMP),--(T_LEAVE[DATE]&lt;=DATE($B$4,$A21,J$11)),--(T_LEAVE[DATE]&gt;=DATE($B$4,$A21,J$11)),ROW(T_LEAVE[LEAVE CODE]))-ROW(T_LEAVE[#Headers])))))),"")</f>
        <v/>
      </c>
      <c r="K21" s="55" t="str">
        <f ca="1">IFERROR(IF(MONTH(DATE(I_RPT_YR,$A21,K$11))&lt;&gt;$A21,"NA",IF(DATE(I_RPT_YR,$A21,K$11)&gt;I_RPT_ED,"NA",IF(NOT(ISERROR(MATCH(DATE($B$4,$A21,K$11),L_HOLS,0))),"H",IF(INDEX(L_WKNDVAL,WEEKDAY(DATE($B$4,$A21,K$11),1))=1,"WKND",INDEX(T_LEAVE[LEAVE CODE],SUMPRODUCT(--(T_LEAVE[NAME]=I_RPT_EMP),--(T_LEAVE[DATE]&lt;=DATE($B$4,$A21,K$11)),--(T_LEAVE[DATE]&gt;=DATE($B$4,$A21,K$11)),ROW(T_LEAVE[LEAVE CODE]))-ROW(T_LEAVE[#Headers])))))),"")</f>
        <v/>
      </c>
      <c r="L21" s="55" t="str">
        <f ca="1">IFERROR(IF(MONTH(DATE(I_RPT_YR,$A21,L$11))&lt;&gt;$A21,"NA",IF(DATE(I_RPT_YR,$A21,L$11)&gt;I_RPT_ED,"NA",IF(NOT(ISERROR(MATCH(DATE($B$4,$A21,L$11),L_HOLS,0))),"H",IF(INDEX(L_WKNDVAL,WEEKDAY(DATE($B$4,$A21,L$11),1))=1,"WKND",INDEX(T_LEAVE[LEAVE CODE],SUMPRODUCT(--(T_LEAVE[NAME]=I_RPT_EMP),--(T_LEAVE[DATE]&lt;=DATE($B$4,$A21,L$11)),--(T_LEAVE[DATE]&gt;=DATE($B$4,$A21,L$11)),ROW(T_LEAVE[LEAVE CODE]))-ROW(T_LEAVE[#Headers])))))),"")</f>
        <v/>
      </c>
      <c r="M21" s="55" t="str">
        <f ca="1">IFERROR(IF(MONTH(DATE(I_RPT_YR,$A21,M$11))&lt;&gt;$A21,"NA",IF(DATE(I_RPT_YR,$A21,M$11)&gt;I_RPT_ED,"NA",IF(NOT(ISERROR(MATCH(DATE($B$4,$A21,M$11),L_HOLS,0))),"H",IF(INDEX(L_WKNDVAL,WEEKDAY(DATE($B$4,$A21,M$11),1))=1,"WKND",INDEX(T_LEAVE[LEAVE CODE],SUMPRODUCT(--(T_LEAVE[NAME]=I_RPT_EMP),--(T_LEAVE[DATE]&lt;=DATE($B$4,$A21,M$11)),--(T_LEAVE[DATE]&gt;=DATE($B$4,$A21,M$11)),ROW(T_LEAVE[LEAVE CODE]))-ROW(T_LEAVE[#Headers])))))),"")</f>
        <v/>
      </c>
      <c r="N21" s="55" t="str">
        <f ca="1">IFERROR(IF(MONTH(DATE(I_RPT_YR,$A21,N$11))&lt;&gt;$A21,"NA",IF(DATE(I_RPT_YR,$A21,N$11)&gt;I_RPT_ED,"NA",IF(NOT(ISERROR(MATCH(DATE($B$4,$A21,N$11),L_HOLS,0))),"H",IF(INDEX(L_WKNDVAL,WEEKDAY(DATE($B$4,$A21,N$11),1))=1,"WKND",INDEX(T_LEAVE[LEAVE CODE],SUMPRODUCT(--(T_LEAVE[NAME]=I_RPT_EMP),--(T_LEAVE[DATE]&lt;=DATE($B$4,$A21,N$11)),--(T_LEAVE[DATE]&gt;=DATE($B$4,$A21,N$11)),ROW(T_LEAVE[LEAVE CODE]))-ROW(T_LEAVE[#Headers])))))),"")</f>
        <v/>
      </c>
      <c r="O21" s="55" t="str">
        <f ca="1">IFERROR(IF(MONTH(DATE(I_RPT_YR,$A21,O$11))&lt;&gt;$A21,"NA",IF(DATE(I_RPT_YR,$A21,O$11)&gt;I_RPT_ED,"NA",IF(NOT(ISERROR(MATCH(DATE($B$4,$A21,O$11),L_HOLS,0))),"H",IF(INDEX(L_WKNDVAL,WEEKDAY(DATE($B$4,$A21,O$11),1))=1,"WKND",INDEX(T_LEAVE[LEAVE CODE],SUMPRODUCT(--(T_LEAVE[NAME]=I_RPT_EMP),--(T_LEAVE[DATE]&lt;=DATE($B$4,$A21,O$11)),--(T_LEAVE[DATE]&gt;=DATE($B$4,$A21,O$11)),ROW(T_LEAVE[LEAVE CODE]))-ROW(T_LEAVE[#Headers])))))),"")</f>
        <v/>
      </c>
      <c r="P21" s="55" t="str">
        <f ca="1">IFERROR(IF(MONTH(DATE(I_RPT_YR,$A21,P$11))&lt;&gt;$A21,"NA",IF(DATE(I_RPT_YR,$A21,P$11)&gt;I_RPT_ED,"NA",IF(NOT(ISERROR(MATCH(DATE($B$4,$A21,P$11),L_HOLS,0))),"H",IF(INDEX(L_WKNDVAL,WEEKDAY(DATE($B$4,$A21,P$11),1))=1,"WKND",INDEX(T_LEAVE[LEAVE CODE],SUMPRODUCT(--(T_LEAVE[NAME]=I_RPT_EMP),--(T_LEAVE[DATE]&lt;=DATE($B$4,$A21,P$11)),--(T_LEAVE[DATE]&gt;=DATE($B$4,$A21,P$11)),ROW(T_LEAVE[LEAVE CODE]))-ROW(T_LEAVE[#Headers])))))),"")</f>
        <v/>
      </c>
      <c r="Q21" s="55" t="str">
        <f ca="1">IFERROR(IF(MONTH(DATE(I_RPT_YR,$A21,Q$11))&lt;&gt;$A21,"NA",IF(DATE(I_RPT_YR,$A21,Q$11)&gt;I_RPT_ED,"NA",IF(NOT(ISERROR(MATCH(DATE($B$4,$A21,Q$11),L_HOLS,0))),"H",IF(INDEX(L_WKNDVAL,WEEKDAY(DATE($B$4,$A21,Q$11),1))=1,"WKND",INDEX(T_LEAVE[LEAVE CODE],SUMPRODUCT(--(T_LEAVE[NAME]=I_RPT_EMP),--(T_LEAVE[DATE]&lt;=DATE($B$4,$A21,Q$11)),--(T_LEAVE[DATE]&gt;=DATE($B$4,$A21,Q$11)),ROW(T_LEAVE[LEAVE CODE]))-ROW(T_LEAVE[#Headers])))))),"")</f>
        <v/>
      </c>
      <c r="R21" s="55" t="str">
        <f ca="1">IFERROR(IF(MONTH(DATE(I_RPT_YR,$A21,R$11))&lt;&gt;$A21,"NA",IF(DATE(I_RPT_YR,$A21,R$11)&gt;I_RPT_ED,"NA",IF(NOT(ISERROR(MATCH(DATE($B$4,$A21,R$11),L_HOLS,0))),"H",IF(INDEX(L_WKNDVAL,WEEKDAY(DATE($B$4,$A21,R$11),1))=1,"WKND",INDEX(T_LEAVE[LEAVE CODE],SUMPRODUCT(--(T_LEAVE[NAME]=I_RPT_EMP),--(T_LEAVE[DATE]&lt;=DATE($B$4,$A21,R$11)),--(T_LEAVE[DATE]&gt;=DATE($B$4,$A21,R$11)),ROW(T_LEAVE[LEAVE CODE]))-ROW(T_LEAVE[#Headers])))))),"")</f>
        <v/>
      </c>
      <c r="S21" s="55" t="str">
        <f ca="1">IFERROR(IF(MONTH(DATE(I_RPT_YR,$A21,S$11))&lt;&gt;$A21,"NA",IF(DATE(I_RPT_YR,$A21,S$11)&gt;I_RPT_ED,"NA",IF(NOT(ISERROR(MATCH(DATE($B$4,$A21,S$11),L_HOLS,0))),"H",IF(INDEX(L_WKNDVAL,WEEKDAY(DATE($B$4,$A21,S$11),1))=1,"WKND",INDEX(T_LEAVE[LEAVE CODE],SUMPRODUCT(--(T_LEAVE[NAME]=I_RPT_EMP),--(T_LEAVE[DATE]&lt;=DATE($B$4,$A21,S$11)),--(T_LEAVE[DATE]&gt;=DATE($B$4,$A21,S$11)),ROW(T_LEAVE[LEAVE CODE]))-ROW(T_LEAVE[#Headers])))))),"")</f>
        <v/>
      </c>
      <c r="T21" s="55" t="str">
        <f ca="1">IFERROR(IF(MONTH(DATE(I_RPT_YR,$A21,T$11))&lt;&gt;$A21,"NA",IF(DATE(I_RPT_YR,$A21,T$11)&gt;I_RPT_ED,"NA",IF(NOT(ISERROR(MATCH(DATE($B$4,$A21,T$11),L_HOLS,0))),"H",IF(INDEX(L_WKNDVAL,WEEKDAY(DATE($B$4,$A21,T$11),1))=1,"WKND",INDEX(T_LEAVE[LEAVE CODE],SUMPRODUCT(--(T_LEAVE[NAME]=I_RPT_EMP),--(T_LEAVE[DATE]&lt;=DATE($B$4,$A21,T$11)),--(T_LEAVE[DATE]&gt;=DATE($B$4,$A21,T$11)),ROW(T_LEAVE[LEAVE CODE]))-ROW(T_LEAVE[#Headers])))))),"")</f>
        <v/>
      </c>
      <c r="U21" s="55" t="str">
        <f ca="1">IFERROR(IF(MONTH(DATE(I_RPT_YR,$A21,U$11))&lt;&gt;$A21,"NA",IF(DATE(I_RPT_YR,$A21,U$11)&gt;I_RPT_ED,"NA",IF(NOT(ISERROR(MATCH(DATE($B$4,$A21,U$11),L_HOLS,0))),"H",IF(INDEX(L_WKNDVAL,WEEKDAY(DATE($B$4,$A21,U$11),1))=1,"WKND",INDEX(T_LEAVE[LEAVE CODE],SUMPRODUCT(--(T_LEAVE[NAME]=I_RPT_EMP),--(T_LEAVE[DATE]&lt;=DATE($B$4,$A21,U$11)),--(T_LEAVE[DATE]&gt;=DATE($B$4,$A21,U$11)),ROW(T_LEAVE[LEAVE CODE]))-ROW(T_LEAVE[#Headers])))))),"")</f>
        <v/>
      </c>
      <c r="V21" s="55" t="str">
        <f ca="1">IFERROR(IF(MONTH(DATE(I_RPT_YR,$A21,V$11))&lt;&gt;$A21,"NA",IF(DATE(I_RPT_YR,$A21,V$11)&gt;I_RPT_ED,"NA",IF(NOT(ISERROR(MATCH(DATE($B$4,$A21,V$11),L_HOLS,0))),"H",IF(INDEX(L_WKNDVAL,WEEKDAY(DATE($B$4,$A21,V$11),1))=1,"WKND",INDEX(T_LEAVE[LEAVE CODE],SUMPRODUCT(--(T_LEAVE[NAME]=I_RPT_EMP),--(T_LEAVE[DATE]&lt;=DATE($B$4,$A21,V$11)),--(T_LEAVE[DATE]&gt;=DATE($B$4,$A21,V$11)),ROW(T_LEAVE[LEAVE CODE]))-ROW(T_LEAVE[#Headers])))))),"")</f>
        <v/>
      </c>
      <c r="W21" s="55" t="str">
        <f ca="1">IFERROR(IF(MONTH(DATE(I_RPT_YR,$A21,W$11))&lt;&gt;$A21,"NA",IF(DATE(I_RPT_YR,$A21,W$11)&gt;I_RPT_ED,"NA",IF(NOT(ISERROR(MATCH(DATE($B$4,$A21,W$11),L_HOLS,0))),"H",IF(INDEX(L_WKNDVAL,WEEKDAY(DATE($B$4,$A21,W$11),1))=1,"WKND",INDEX(T_LEAVE[LEAVE CODE],SUMPRODUCT(--(T_LEAVE[NAME]=I_RPT_EMP),--(T_LEAVE[DATE]&lt;=DATE($B$4,$A21,W$11)),--(T_LEAVE[DATE]&gt;=DATE($B$4,$A21,W$11)),ROW(T_LEAVE[LEAVE CODE]))-ROW(T_LEAVE[#Headers])))))),"")</f>
        <v/>
      </c>
      <c r="X21" s="55" t="str">
        <f ca="1">IFERROR(IF(MONTH(DATE(I_RPT_YR,$A21,X$11))&lt;&gt;$A21,"NA",IF(DATE(I_RPT_YR,$A21,X$11)&gt;I_RPT_ED,"NA",IF(NOT(ISERROR(MATCH(DATE($B$4,$A21,X$11),L_HOLS,0))),"H",IF(INDEX(L_WKNDVAL,WEEKDAY(DATE($B$4,$A21,X$11),1))=1,"WKND",INDEX(T_LEAVE[LEAVE CODE],SUMPRODUCT(--(T_LEAVE[NAME]=I_RPT_EMP),--(T_LEAVE[DATE]&lt;=DATE($B$4,$A21,X$11)),--(T_LEAVE[DATE]&gt;=DATE($B$4,$A21,X$11)),ROW(T_LEAVE[LEAVE CODE]))-ROW(T_LEAVE[#Headers])))))),"")</f>
        <v/>
      </c>
      <c r="Y21" s="55" t="str">
        <f ca="1">IFERROR(IF(MONTH(DATE(I_RPT_YR,$A21,Y$11))&lt;&gt;$A21,"NA",IF(DATE(I_RPT_YR,$A21,Y$11)&gt;I_RPT_ED,"NA",IF(NOT(ISERROR(MATCH(DATE($B$4,$A21,Y$11),L_HOLS,0))),"H",IF(INDEX(L_WKNDVAL,WEEKDAY(DATE($B$4,$A21,Y$11),1))=1,"WKND",INDEX(T_LEAVE[LEAVE CODE],SUMPRODUCT(--(T_LEAVE[NAME]=I_RPT_EMP),--(T_LEAVE[DATE]&lt;=DATE($B$4,$A21,Y$11)),--(T_LEAVE[DATE]&gt;=DATE($B$4,$A21,Y$11)),ROW(T_LEAVE[LEAVE CODE]))-ROW(T_LEAVE[#Headers])))))),"")</f>
        <v/>
      </c>
      <c r="Z21" s="55" t="str">
        <f ca="1">IFERROR(IF(MONTH(DATE(I_RPT_YR,$A21,Z$11))&lt;&gt;$A21,"NA",IF(DATE(I_RPT_YR,$A21,Z$11)&gt;I_RPT_ED,"NA",IF(NOT(ISERROR(MATCH(DATE($B$4,$A21,Z$11),L_HOLS,0))),"H",IF(INDEX(L_WKNDVAL,WEEKDAY(DATE($B$4,$A21,Z$11),1))=1,"WKND",INDEX(T_LEAVE[LEAVE CODE],SUMPRODUCT(--(T_LEAVE[NAME]=I_RPT_EMP),--(T_LEAVE[DATE]&lt;=DATE($B$4,$A21,Z$11)),--(T_LEAVE[DATE]&gt;=DATE($B$4,$A21,Z$11)),ROW(T_LEAVE[LEAVE CODE]))-ROW(T_LEAVE[#Headers])))))),"")</f>
        <v/>
      </c>
      <c r="AA21" s="55" t="str">
        <f ca="1">IFERROR(IF(MONTH(DATE(I_RPT_YR,$A21,AA$11))&lt;&gt;$A21,"NA",IF(DATE(I_RPT_YR,$A21,AA$11)&gt;I_RPT_ED,"NA",IF(NOT(ISERROR(MATCH(DATE($B$4,$A21,AA$11),L_HOLS,0))),"H",IF(INDEX(L_WKNDVAL,WEEKDAY(DATE($B$4,$A21,AA$11),1))=1,"WKND",INDEX(T_LEAVE[LEAVE CODE],SUMPRODUCT(--(T_LEAVE[NAME]=I_RPT_EMP),--(T_LEAVE[DATE]&lt;=DATE($B$4,$A21,AA$11)),--(T_LEAVE[DATE]&gt;=DATE($B$4,$A21,AA$11)),ROW(T_LEAVE[LEAVE CODE]))-ROW(T_LEAVE[#Headers])))))),"")</f>
        <v/>
      </c>
      <c r="AB21" s="55" t="str">
        <f ca="1">IFERROR(IF(MONTH(DATE(I_RPT_YR,$A21,AB$11))&lt;&gt;$A21,"NA",IF(DATE(I_RPT_YR,$A21,AB$11)&gt;I_RPT_ED,"NA",IF(NOT(ISERROR(MATCH(DATE($B$4,$A21,AB$11),L_HOLS,0))),"H",IF(INDEX(L_WKNDVAL,WEEKDAY(DATE($B$4,$A21,AB$11),1))=1,"WKND",INDEX(T_LEAVE[LEAVE CODE],SUMPRODUCT(--(T_LEAVE[NAME]=I_RPT_EMP),--(T_LEAVE[DATE]&lt;=DATE($B$4,$A21,AB$11)),--(T_LEAVE[DATE]&gt;=DATE($B$4,$A21,AB$11)),ROW(T_LEAVE[LEAVE CODE]))-ROW(T_LEAVE[#Headers])))))),"")</f>
        <v/>
      </c>
      <c r="AC21" s="55" t="str">
        <f ca="1">IFERROR(IF(MONTH(DATE(I_RPT_YR,$A21,AC$11))&lt;&gt;$A21,"NA",IF(DATE(I_RPT_YR,$A21,AC$11)&gt;I_RPT_ED,"NA",IF(NOT(ISERROR(MATCH(DATE($B$4,$A21,AC$11),L_HOLS,0))),"H",IF(INDEX(L_WKNDVAL,WEEKDAY(DATE($B$4,$A21,AC$11),1))=1,"WKND",INDEX(T_LEAVE[LEAVE CODE],SUMPRODUCT(--(T_LEAVE[NAME]=I_RPT_EMP),--(T_LEAVE[DATE]&lt;=DATE($B$4,$A21,AC$11)),--(T_LEAVE[DATE]&gt;=DATE($B$4,$A21,AC$11)),ROW(T_LEAVE[LEAVE CODE]))-ROW(T_LEAVE[#Headers])))))),"")</f>
        <v/>
      </c>
      <c r="AD21" s="55" t="str">
        <f ca="1">IFERROR(IF(MONTH(DATE(I_RPT_YR,$A21,AD$11))&lt;&gt;$A21,"NA",IF(DATE(I_RPT_YR,$A21,AD$11)&gt;I_RPT_ED,"NA",IF(NOT(ISERROR(MATCH(DATE($B$4,$A21,AD$11),L_HOLS,0))),"H",IF(INDEX(L_WKNDVAL,WEEKDAY(DATE($B$4,$A21,AD$11),1))=1,"WKND",INDEX(T_LEAVE[LEAVE CODE],SUMPRODUCT(--(T_LEAVE[NAME]=I_RPT_EMP),--(T_LEAVE[DATE]&lt;=DATE($B$4,$A21,AD$11)),--(T_LEAVE[DATE]&gt;=DATE($B$4,$A21,AD$11)),ROW(T_LEAVE[LEAVE CODE]))-ROW(T_LEAVE[#Headers])))))),"")</f>
        <v/>
      </c>
      <c r="AE21" s="55" t="str">
        <f ca="1">IFERROR(IF(MONTH(DATE(I_RPT_YR,$A21,AE$11))&lt;&gt;$A21,"NA",IF(DATE(I_RPT_YR,$A21,AE$11)&gt;I_RPT_ED,"NA",IF(NOT(ISERROR(MATCH(DATE($B$4,$A21,AE$11),L_HOLS,0))),"H",IF(INDEX(L_WKNDVAL,WEEKDAY(DATE($B$4,$A21,AE$11),1))=1,"WKND",INDEX(T_LEAVE[LEAVE CODE],SUMPRODUCT(--(T_LEAVE[NAME]=I_RPT_EMP),--(T_LEAVE[DATE]&lt;=DATE($B$4,$A21,AE$11)),--(T_LEAVE[DATE]&gt;=DATE($B$4,$A21,AE$11)),ROW(T_LEAVE[LEAVE CODE]))-ROW(T_LEAVE[#Headers])))))),"")</f>
        <v/>
      </c>
      <c r="AF21" s="55" t="str">
        <f ca="1">IFERROR(IF(MONTH(DATE(I_RPT_YR,$A21,AF$11))&lt;&gt;$A21,"NA",IF(DATE(I_RPT_YR,$A21,AF$11)&gt;I_RPT_ED,"NA",IF(NOT(ISERROR(MATCH(DATE($B$4,$A21,AF$11),L_HOLS,0))),"H",IF(INDEX(L_WKNDVAL,WEEKDAY(DATE($B$4,$A21,AF$11),1))=1,"WKND",INDEX(T_LEAVE[LEAVE CODE],SUMPRODUCT(--(T_LEAVE[NAME]=I_RPT_EMP),--(T_LEAVE[DATE]&lt;=DATE($B$4,$A21,AF$11)),--(T_LEAVE[DATE]&gt;=DATE($B$4,$A21,AF$11)),ROW(T_LEAVE[LEAVE CODE]))-ROW(T_LEAVE[#Headers])))))),"")</f>
        <v/>
      </c>
      <c r="AG21" s="55" t="str">
        <f ca="1">IFERROR(IF(MONTH(DATE(I_RPT_YR,$A21,AG$11))&lt;&gt;$A21,"NA",IF(DATE(I_RPT_YR,$A21,AG$11)&gt;I_RPT_ED,"NA",IF(NOT(ISERROR(MATCH(DATE($B$4,$A21,AG$11),L_HOLS,0))),"H",IF(INDEX(L_WKNDVAL,WEEKDAY(DATE($B$4,$A21,AG$11),1))=1,"WKND",INDEX(T_LEAVE[LEAVE CODE],SUMPRODUCT(--(T_LEAVE[NAME]=I_RPT_EMP),--(T_LEAVE[DATE]&lt;=DATE($B$4,$A21,AG$11)),--(T_LEAVE[DATE]&gt;=DATE($B$4,$A21,AG$11)),ROW(T_LEAVE[LEAVE CODE]))-ROW(T_LEAVE[#Headers])))))),"")</f>
        <v/>
      </c>
      <c r="AH21" s="35"/>
      <c r="AI21" s="36"/>
      <c r="AJ21" s="52">
        <f ca="1">IF(OR($B21&gt;I_RPT_ED,AJ$11=""),"",COUNTIFS($C21:$AG21,AJ$11)*INDEX(T_LEAVETYPE[DAY VALUE],1))</f>
        <v>0</v>
      </c>
      <c r="AK21" s="52">
        <f ca="1">IF(OR($B21&gt;I_RPT_ED,AK$11=""),"",COUNTIFS($C21:$AG21,AK$11)*INDEX(T_LEAVETYPE[DAY VALUE],2))</f>
        <v>0</v>
      </c>
      <c r="AL21" s="52">
        <f ca="1">IF(OR($B21&gt;I_RPT_ED,AL$11=""),"",COUNTIFS($C21:$AG21,AL$11)*INDEX(T_LEAVETYPE[DAY VALUE],3))</f>
        <v>0</v>
      </c>
      <c r="AM21" s="52">
        <f ca="1">IF(OR($B21&gt;I_RPT_ED,AM$11=""),"",COUNTIFS($C21:$AG21,AM$11)*INDEX(T_LEAVETYPE[DAY VALUE],4))</f>
        <v>0</v>
      </c>
      <c r="AN21" s="52">
        <f ca="1">IF(OR($B21&gt;I_RPT_ED,AN$11=""),"",COUNTIFS($C21:$AG21,AN$11)*INDEX(T_LEAVETYPE[DAY VALUE],5))</f>
        <v>0</v>
      </c>
      <c r="AO21" s="52">
        <f ca="1">IF(OR($B21&gt;I_RPT_ED,AO$11=""),"",COUNTIFS($C21:$AG21,AO$11)*INDEX(T_LEAVETYPE[DAY VALUE],6))</f>
        <v>0</v>
      </c>
      <c r="AP21" s="52">
        <f ca="1">IF(OR($B21&gt;I_RPT_ED,AP$11=""),"",COUNTIFS($C21:$AG21,AP$11)*INDEX(T_LEAVETYPE[DAY VALUE],7))</f>
        <v>0</v>
      </c>
      <c r="AQ21" s="52">
        <f ca="1">IF(OR($B21&gt;I_RPT_ED,AQ$11=""),"",COUNTIFS($C21:$AG21,AQ$11)*INDEX(T_LEAVETYPE[DAY VALUE],8))</f>
        <v>0</v>
      </c>
      <c r="AR21" s="52">
        <f t="shared" ca="1" si="4"/>
        <v>0</v>
      </c>
      <c r="AS21" s="6"/>
    </row>
    <row r="22" spans="1:45" ht="15.75" x14ac:dyDescent="0.25">
      <c r="A22" s="51">
        <v>11</v>
      </c>
      <c r="B22" s="54">
        <f t="shared" si="3"/>
        <v>44501</v>
      </c>
      <c r="C22" s="55" t="str">
        <f ca="1">IFERROR(IF(MONTH(DATE(I_RPT_YR,$A22,C$11))&lt;&gt;$A22,"NA",IF(DATE(I_RPT_YR,$A22,C$11)&gt;I_RPT_ED,"NA",IF(NOT(ISERROR(MATCH(DATE($B$4,$A22,C$11),L_HOLS,0))),"H",IF(INDEX(L_WKNDVAL,WEEKDAY(DATE($B$4,$A22,C$11),1))=1,"WKND",INDEX(T_LEAVE[LEAVE CODE],SUMPRODUCT(--(T_LEAVE[NAME]=I_RPT_EMP),--(T_LEAVE[DATE]&lt;=DATE($B$4,$A22,C$11)),--(T_LEAVE[DATE]&gt;=DATE($B$4,$A22,C$11)),ROW(T_LEAVE[LEAVE CODE]))-ROW(T_LEAVE[#Headers])))))),"")</f>
        <v>H</v>
      </c>
      <c r="D22" s="55" t="str">
        <f ca="1">IFERROR(IF(MONTH(DATE(I_RPT_YR,$A22,D$11))&lt;&gt;$A22,"NA",IF(DATE(I_RPT_YR,$A22,D$11)&gt;I_RPT_ED,"NA",IF(NOT(ISERROR(MATCH(DATE($B$4,$A22,D$11),L_HOLS,0))),"H",IF(INDEX(L_WKNDVAL,WEEKDAY(DATE($B$4,$A22,D$11),1))=1,"WKND",INDEX(T_LEAVE[LEAVE CODE],SUMPRODUCT(--(T_LEAVE[NAME]=I_RPT_EMP),--(T_LEAVE[DATE]&lt;=DATE($B$4,$A22,D$11)),--(T_LEAVE[DATE]&gt;=DATE($B$4,$A22,D$11)),ROW(T_LEAVE[LEAVE CODE]))-ROW(T_LEAVE[#Headers])))))),"")</f>
        <v>H</v>
      </c>
      <c r="E22" s="55" t="str">
        <f ca="1">IFERROR(IF(MONTH(DATE(I_RPT_YR,$A22,E$11))&lt;&gt;$A22,"NA",IF(DATE(I_RPT_YR,$A22,E$11)&gt;I_RPT_ED,"NA",IF(NOT(ISERROR(MATCH(DATE($B$4,$A22,E$11),L_HOLS,0))),"H",IF(INDEX(L_WKNDVAL,WEEKDAY(DATE($B$4,$A22,E$11),1))=1,"WKND",INDEX(T_LEAVE[LEAVE CODE],SUMPRODUCT(--(T_LEAVE[NAME]=I_RPT_EMP),--(T_LEAVE[DATE]&lt;=DATE($B$4,$A22,E$11)),--(T_LEAVE[DATE]&gt;=DATE($B$4,$A22,E$11)),ROW(T_LEAVE[LEAVE CODE]))-ROW(T_LEAVE[#Headers])))))),"")</f>
        <v/>
      </c>
      <c r="F22" s="55" t="str">
        <f ca="1">IFERROR(IF(MONTH(DATE(I_RPT_YR,$A22,F$11))&lt;&gt;$A22,"NA",IF(DATE(I_RPT_YR,$A22,F$11)&gt;I_RPT_ED,"NA",IF(NOT(ISERROR(MATCH(DATE($B$4,$A22,F$11),L_HOLS,0))),"H",IF(INDEX(L_WKNDVAL,WEEKDAY(DATE($B$4,$A22,F$11),1))=1,"WKND",INDEX(T_LEAVE[LEAVE CODE],SUMPRODUCT(--(T_LEAVE[NAME]=I_RPT_EMP),--(T_LEAVE[DATE]&lt;=DATE($B$4,$A22,F$11)),--(T_LEAVE[DATE]&gt;=DATE($B$4,$A22,F$11)),ROW(T_LEAVE[LEAVE CODE]))-ROW(T_LEAVE[#Headers])))))),"")</f>
        <v/>
      </c>
      <c r="G22" s="55" t="str">
        <f ca="1">IFERROR(IF(MONTH(DATE(I_RPT_YR,$A22,G$11))&lt;&gt;$A22,"NA",IF(DATE(I_RPT_YR,$A22,G$11)&gt;I_RPT_ED,"NA",IF(NOT(ISERROR(MATCH(DATE($B$4,$A22,G$11),L_HOLS,0))),"H",IF(INDEX(L_WKNDVAL,WEEKDAY(DATE($B$4,$A22,G$11),1))=1,"WKND",INDEX(T_LEAVE[LEAVE CODE],SUMPRODUCT(--(T_LEAVE[NAME]=I_RPT_EMP),--(T_LEAVE[DATE]&lt;=DATE($B$4,$A22,G$11)),--(T_LEAVE[DATE]&gt;=DATE($B$4,$A22,G$11)),ROW(T_LEAVE[LEAVE CODE]))-ROW(T_LEAVE[#Headers])))))),"")</f>
        <v/>
      </c>
      <c r="H22" s="55" t="str">
        <f ca="1">IFERROR(IF(MONTH(DATE(I_RPT_YR,$A22,H$11))&lt;&gt;$A22,"NA",IF(DATE(I_RPT_YR,$A22,H$11)&gt;I_RPT_ED,"NA",IF(NOT(ISERROR(MATCH(DATE($B$4,$A22,H$11),L_HOLS,0))),"H",IF(INDEX(L_WKNDVAL,WEEKDAY(DATE($B$4,$A22,H$11),1))=1,"WKND",INDEX(T_LEAVE[LEAVE CODE],SUMPRODUCT(--(T_LEAVE[NAME]=I_RPT_EMP),--(T_LEAVE[DATE]&lt;=DATE($B$4,$A22,H$11)),--(T_LEAVE[DATE]&gt;=DATE($B$4,$A22,H$11)),ROW(T_LEAVE[LEAVE CODE]))-ROW(T_LEAVE[#Headers])))))),"")</f>
        <v/>
      </c>
      <c r="I22" s="55" t="str">
        <f ca="1">IFERROR(IF(MONTH(DATE(I_RPT_YR,$A22,I$11))&lt;&gt;$A22,"NA",IF(DATE(I_RPT_YR,$A22,I$11)&gt;I_RPT_ED,"NA",IF(NOT(ISERROR(MATCH(DATE($B$4,$A22,I$11),L_HOLS,0))),"H",IF(INDEX(L_WKNDVAL,WEEKDAY(DATE($B$4,$A22,I$11),1))=1,"WKND",INDEX(T_LEAVE[LEAVE CODE],SUMPRODUCT(--(T_LEAVE[NAME]=I_RPT_EMP),--(T_LEAVE[DATE]&lt;=DATE($B$4,$A22,I$11)),--(T_LEAVE[DATE]&gt;=DATE($B$4,$A22,I$11)),ROW(T_LEAVE[LEAVE CODE]))-ROW(T_LEAVE[#Headers])))))),"")</f>
        <v/>
      </c>
      <c r="J22" s="55" t="str">
        <f ca="1">IFERROR(IF(MONTH(DATE(I_RPT_YR,$A22,J$11))&lt;&gt;$A22,"NA",IF(DATE(I_RPT_YR,$A22,J$11)&gt;I_RPT_ED,"NA",IF(NOT(ISERROR(MATCH(DATE($B$4,$A22,J$11),L_HOLS,0))),"H",IF(INDEX(L_WKNDVAL,WEEKDAY(DATE($B$4,$A22,J$11),1))=1,"WKND",INDEX(T_LEAVE[LEAVE CODE],SUMPRODUCT(--(T_LEAVE[NAME]=I_RPT_EMP),--(T_LEAVE[DATE]&lt;=DATE($B$4,$A22,J$11)),--(T_LEAVE[DATE]&gt;=DATE($B$4,$A22,J$11)),ROW(T_LEAVE[LEAVE CODE]))-ROW(T_LEAVE[#Headers])))))),"")</f>
        <v/>
      </c>
      <c r="K22" s="55" t="str">
        <f ca="1">IFERROR(IF(MONTH(DATE(I_RPT_YR,$A22,K$11))&lt;&gt;$A22,"NA",IF(DATE(I_RPT_YR,$A22,K$11)&gt;I_RPT_ED,"NA",IF(NOT(ISERROR(MATCH(DATE($B$4,$A22,K$11),L_HOLS,0))),"H",IF(INDEX(L_WKNDVAL,WEEKDAY(DATE($B$4,$A22,K$11),1))=1,"WKND",INDEX(T_LEAVE[LEAVE CODE],SUMPRODUCT(--(T_LEAVE[NAME]=I_RPT_EMP),--(T_LEAVE[DATE]&lt;=DATE($B$4,$A22,K$11)),--(T_LEAVE[DATE]&gt;=DATE($B$4,$A22,K$11)),ROW(T_LEAVE[LEAVE CODE]))-ROW(T_LEAVE[#Headers])))))),"")</f>
        <v/>
      </c>
      <c r="L22" s="55" t="str">
        <f ca="1">IFERROR(IF(MONTH(DATE(I_RPT_YR,$A22,L$11))&lt;&gt;$A22,"NA",IF(DATE(I_RPT_YR,$A22,L$11)&gt;I_RPT_ED,"NA",IF(NOT(ISERROR(MATCH(DATE($B$4,$A22,L$11),L_HOLS,0))),"H",IF(INDEX(L_WKNDVAL,WEEKDAY(DATE($B$4,$A22,L$11),1))=1,"WKND",INDEX(T_LEAVE[LEAVE CODE],SUMPRODUCT(--(T_LEAVE[NAME]=I_RPT_EMP),--(T_LEAVE[DATE]&lt;=DATE($B$4,$A22,L$11)),--(T_LEAVE[DATE]&gt;=DATE($B$4,$A22,L$11)),ROW(T_LEAVE[LEAVE CODE]))-ROW(T_LEAVE[#Headers])))))),"")</f>
        <v/>
      </c>
      <c r="M22" s="55" t="str">
        <f ca="1">IFERROR(IF(MONTH(DATE(I_RPT_YR,$A22,M$11))&lt;&gt;$A22,"NA",IF(DATE(I_RPT_YR,$A22,M$11)&gt;I_RPT_ED,"NA",IF(NOT(ISERROR(MATCH(DATE($B$4,$A22,M$11),L_HOLS,0))),"H",IF(INDEX(L_WKNDVAL,WEEKDAY(DATE($B$4,$A22,M$11),1))=1,"WKND",INDEX(T_LEAVE[LEAVE CODE],SUMPRODUCT(--(T_LEAVE[NAME]=I_RPT_EMP),--(T_LEAVE[DATE]&lt;=DATE($B$4,$A22,M$11)),--(T_LEAVE[DATE]&gt;=DATE($B$4,$A22,M$11)),ROW(T_LEAVE[LEAVE CODE]))-ROW(T_LEAVE[#Headers])))))),"")</f>
        <v/>
      </c>
      <c r="N22" s="55" t="str">
        <f ca="1">IFERROR(IF(MONTH(DATE(I_RPT_YR,$A22,N$11))&lt;&gt;$A22,"NA",IF(DATE(I_RPT_YR,$A22,N$11)&gt;I_RPT_ED,"NA",IF(NOT(ISERROR(MATCH(DATE($B$4,$A22,N$11),L_HOLS,0))),"H",IF(INDEX(L_WKNDVAL,WEEKDAY(DATE($B$4,$A22,N$11),1))=1,"WKND",INDEX(T_LEAVE[LEAVE CODE],SUMPRODUCT(--(T_LEAVE[NAME]=I_RPT_EMP),--(T_LEAVE[DATE]&lt;=DATE($B$4,$A22,N$11)),--(T_LEAVE[DATE]&gt;=DATE($B$4,$A22,N$11)),ROW(T_LEAVE[LEAVE CODE]))-ROW(T_LEAVE[#Headers])))))),"")</f>
        <v/>
      </c>
      <c r="O22" s="55" t="str">
        <f ca="1">IFERROR(IF(MONTH(DATE(I_RPT_YR,$A22,O$11))&lt;&gt;$A22,"NA",IF(DATE(I_RPT_YR,$A22,O$11)&gt;I_RPT_ED,"NA",IF(NOT(ISERROR(MATCH(DATE($B$4,$A22,O$11),L_HOLS,0))),"H",IF(INDEX(L_WKNDVAL,WEEKDAY(DATE($B$4,$A22,O$11),1))=1,"WKND",INDEX(T_LEAVE[LEAVE CODE],SUMPRODUCT(--(T_LEAVE[NAME]=I_RPT_EMP),--(T_LEAVE[DATE]&lt;=DATE($B$4,$A22,O$11)),--(T_LEAVE[DATE]&gt;=DATE($B$4,$A22,O$11)),ROW(T_LEAVE[LEAVE CODE]))-ROW(T_LEAVE[#Headers])))))),"")</f>
        <v/>
      </c>
      <c r="P22" s="55" t="str">
        <f ca="1">IFERROR(IF(MONTH(DATE(I_RPT_YR,$A22,P$11))&lt;&gt;$A22,"NA",IF(DATE(I_RPT_YR,$A22,P$11)&gt;I_RPT_ED,"NA",IF(NOT(ISERROR(MATCH(DATE($B$4,$A22,P$11),L_HOLS,0))),"H",IF(INDEX(L_WKNDVAL,WEEKDAY(DATE($B$4,$A22,P$11),1))=1,"WKND",INDEX(T_LEAVE[LEAVE CODE],SUMPRODUCT(--(T_LEAVE[NAME]=I_RPT_EMP),--(T_LEAVE[DATE]&lt;=DATE($B$4,$A22,P$11)),--(T_LEAVE[DATE]&gt;=DATE($B$4,$A22,P$11)),ROW(T_LEAVE[LEAVE CODE]))-ROW(T_LEAVE[#Headers])))))),"")</f>
        <v/>
      </c>
      <c r="Q22" s="55" t="str">
        <f ca="1">IFERROR(IF(MONTH(DATE(I_RPT_YR,$A22,Q$11))&lt;&gt;$A22,"NA",IF(DATE(I_RPT_YR,$A22,Q$11)&gt;I_RPT_ED,"NA",IF(NOT(ISERROR(MATCH(DATE($B$4,$A22,Q$11),L_HOLS,0))),"H",IF(INDEX(L_WKNDVAL,WEEKDAY(DATE($B$4,$A22,Q$11),1))=1,"WKND",INDEX(T_LEAVE[LEAVE CODE],SUMPRODUCT(--(T_LEAVE[NAME]=I_RPT_EMP),--(T_LEAVE[DATE]&lt;=DATE($B$4,$A22,Q$11)),--(T_LEAVE[DATE]&gt;=DATE($B$4,$A22,Q$11)),ROW(T_LEAVE[LEAVE CODE]))-ROW(T_LEAVE[#Headers])))))),"")</f>
        <v/>
      </c>
      <c r="R22" s="55" t="str">
        <f ca="1">IFERROR(IF(MONTH(DATE(I_RPT_YR,$A22,R$11))&lt;&gt;$A22,"NA",IF(DATE(I_RPT_YR,$A22,R$11)&gt;I_RPT_ED,"NA",IF(NOT(ISERROR(MATCH(DATE($B$4,$A22,R$11),L_HOLS,0))),"H",IF(INDEX(L_WKNDVAL,WEEKDAY(DATE($B$4,$A22,R$11),1))=1,"WKND",INDEX(T_LEAVE[LEAVE CODE],SUMPRODUCT(--(T_LEAVE[NAME]=I_RPT_EMP),--(T_LEAVE[DATE]&lt;=DATE($B$4,$A22,R$11)),--(T_LEAVE[DATE]&gt;=DATE($B$4,$A22,R$11)),ROW(T_LEAVE[LEAVE CODE]))-ROW(T_LEAVE[#Headers])))))),"")</f>
        <v/>
      </c>
      <c r="S22" s="55" t="str">
        <f ca="1">IFERROR(IF(MONTH(DATE(I_RPT_YR,$A22,S$11))&lt;&gt;$A22,"NA",IF(DATE(I_RPT_YR,$A22,S$11)&gt;I_RPT_ED,"NA",IF(NOT(ISERROR(MATCH(DATE($B$4,$A22,S$11),L_HOLS,0))),"H",IF(INDEX(L_WKNDVAL,WEEKDAY(DATE($B$4,$A22,S$11),1))=1,"WKND",INDEX(T_LEAVE[LEAVE CODE],SUMPRODUCT(--(T_LEAVE[NAME]=I_RPT_EMP),--(T_LEAVE[DATE]&lt;=DATE($B$4,$A22,S$11)),--(T_LEAVE[DATE]&gt;=DATE($B$4,$A22,S$11)),ROW(T_LEAVE[LEAVE CODE]))-ROW(T_LEAVE[#Headers])))))),"")</f>
        <v/>
      </c>
      <c r="T22" s="55" t="str">
        <f ca="1">IFERROR(IF(MONTH(DATE(I_RPT_YR,$A22,T$11))&lt;&gt;$A22,"NA",IF(DATE(I_RPT_YR,$A22,T$11)&gt;I_RPT_ED,"NA",IF(NOT(ISERROR(MATCH(DATE($B$4,$A22,T$11),L_HOLS,0))),"H",IF(INDEX(L_WKNDVAL,WEEKDAY(DATE($B$4,$A22,T$11),1))=1,"WKND",INDEX(T_LEAVE[LEAVE CODE],SUMPRODUCT(--(T_LEAVE[NAME]=I_RPT_EMP),--(T_LEAVE[DATE]&lt;=DATE($B$4,$A22,T$11)),--(T_LEAVE[DATE]&gt;=DATE($B$4,$A22,T$11)),ROW(T_LEAVE[LEAVE CODE]))-ROW(T_LEAVE[#Headers])))))),"")</f>
        <v/>
      </c>
      <c r="U22" s="55" t="str">
        <f ca="1">IFERROR(IF(MONTH(DATE(I_RPT_YR,$A22,U$11))&lt;&gt;$A22,"NA",IF(DATE(I_RPT_YR,$A22,U$11)&gt;I_RPT_ED,"NA",IF(NOT(ISERROR(MATCH(DATE($B$4,$A22,U$11),L_HOLS,0))),"H",IF(INDEX(L_WKNDVAL,WEEKDAY(DATE($B$4,$A22,U$11),1))=1,"WKND",INDEX(T_LEAVE[LEAVE CODE],SUMPRODUCT(--(T_LEAVE[NAME]=I_RPT_EMP),--(T_LEAVE[DATE]&lt;=DATE($B$4,$A22,U$11)),--(T_LEAVE[DATE]&gt;=DATE($B$4,$A22,U$11)),ROW(T_LEAVE[LEAVE CODE]))-ROW(T_LEAVE[#Headers])))))),"")</f>
        <v/>
      </c>
      <c r="V22" s="55" t="str">
        <f ca="1">IFERROR(IF(MONTH(DATE(I_RPT_YR,$A22,V$11))&lt;&gt;$A22,"NA",IF(DATE(I_RPT_YR,$A22,V$11)&gt;I_RPT_ED,"NA",IF(NOT(ISERROR(MATCH(DATE($B$4,$A22,V$11),L_HOLS,0))),"H",IF(INDEX(L_WKNDVAL,WEEKDAY(DATE($B$4,$A22,V$11),1))=1,"WKND",INDEX(T_LEAVE[LEAVE CODE],SUMPRODUCT(--(T_LEAVE[NAME]=I_RPT_EMP),--(T_LEAVE[DATE]&lt;=DATE($B$4,$A22,V$11)),--(T_LEAVE[DATE]&gt;=DATE($B$4,$A22,V$11)),ROW(T_LEAVE[LEAVE CODE]))-ROW(T_LEAVE[#Headers])))))),"")</f>
        <v/>
      </c>
      <c r="W22" s="55" t="str">
        <f ca="1">IFERROR(IF(MONTH(DATE(I_RPT_YR,$A22,W$11))&lt;&gt;$A22,"NA",IF(DATE(I_RPT_YR,$A22,W$11)&gt;I_RPT_ED,"NA",IF(NOT(ISERROR(MATCH(DATE($B$4,$A22,W$11),L_HOLS,0))),"H",IF(INDEX(L_WKNDVAL,WEEKDAY(DATE($B$4,$A22,W$11),1))=1,"WKND",INDEX(T_LEAVE[LEAVE CODE],SUMPRODUCT(--(T_LEAVE[NAME]=I_RPT_EMP),--(T_LEAVE[DATE]&lt;=DATE($B$4,$A22,W$11)),--(T_LEAVE[DATE]&gt;=DATE($B$4,$A22,W$11)),ROW(T_LEAVE[LEAVE CODE]))-ROW(T_LEAVE[#Headers])))))),"")</f>
        <v/>
      </c>
      <c r="X22" s="55" t="str">
        <f ca="1">IFERROR(IF(MONTH(DATE(I_RPT_YR,$A22,X$11))&lt;&gt;$A22,"NA",IF(DATE(I_RPT_YR,$A22,X$11)&gt;I_RPT_ED,"NA",IF(NOT(ISERROR(MATCH(DATE($B$4,$A22,X$11),L_HOLS,0))),"H",IF(INDEX(L_WKNDVAL,WEEKDAY(DATE($B$4,$A22,X$11),1))=1,"WKND",INDEX(T_LEAVE[LEAVE CODE],SUMPRODUCT(--(T_LEAVE[NAME]=I_RPT_EMP),--(T_LEAVE[DATE]&lt;=DATE($B$4,$A22,X$11)),--(T_LEAVE[DATE]&gt;=DATE($B$4,$A22,X$11)),ROW(T_LEAVE[LEAVE CODE]))-ROW(T_LEAVE[#Headers])))))),"")</f>
        <v/>
      </c>
      <c r="Y22" s="55" t="str">
        <f ca="1">IFERROR(IF(MONTH(DATE(I_RPT_YR,$A22,Y$11))&lt;&gt;$A22,"NA",IF(DATE(I_RPT_YR,$A22,Y$11)&gt;I_RPT_ED,"NA",IF(NOT(ISERROR(MATCH(DATE($B$4,$A22,Y$11),L_HOLS,0))),"H",IF(INDEX(L_WKNDVAL,WEEKDAY(DATE($B$4,$A22,Y$11),1))=1,"WKND",INDEX(T_LEAVE[LEAVE CODE],SUMPRODUCT(--(T_LEAVE[NAME]=I_RPT_EMP),--(T_LEAVE[DATE]&lt;=DATE($B$4,$A22,Y$11)),--(T_LEAVE[DATE]&gt;=DATE($B$4,$A22,Y$11)),ROW(T_LEAVE[LEAVE CODE]))-ROW(T_LEAVE[#Headers])))))),"")</f>
        <v/>
      </c>
      <c r="Z22" s="55" t="str">
        <f ca="1">IFERROR(IF(MONTH(DATE(I_RPT_YR,$A22,Z$11))&lt;&gt;$A22,"NA",IF(DATE(I_RPT_YR,$A22,Z$11)&gt;I_RPT_ED,"NA",IF(NOT(ISERROR(MATCH(DATE($B$4,$A22,Z$11),L_HOLS,0))),"H",IF(INDEX(L_WKNDVAL,WEEKDAY(DATE($B$4,$A22,Z$11),1))=1,"WKND",INDEX(T_LEAVE[LEAVE CODE],SUMPRODUCT(--(T_LEAVE[NAME]=I_RPT_EMP),--(T_LEAVE[DATE]&lt;=DATE($B$4,$A22,Z$11)),--(T_LEAVE[DATE]&gt;=DATE($B$4,$A22,Z$11)),ROW(T_LEAVE[LEAVE CODE]))-ROW(T_LEAVE[#Headers])))))),"")</f>
        <v/>
      </c>
      <c r="AA22" s="55" t="str">
        <f ca="1">IFERROR(IF(MONTH(DATE(I_RPT_YR,$A22,AA$11))&lt;&gt;$A22,"NA",IF(DATE(I_RPT_YR,$A22,AA$11)&gt;I_RPT_ED,"NA",IF(NOT(ISERROR(MATCH(DATE($B$4,$A22,AA$11),L_HOLS,0))),"H",IF(INDEX(L_WKNDVAL,WEEKDAY(DATE($B$4,$A22,AA$11),1))=1,"WKND",INDEX(T_LEAVE[LEAVE CODE],SUMPRODUCT(--(T_LEAVE[NAME]=I_RPT_EMP),--(T_LEAVE[DATE]&lt;=DATE($B$4,$A22,AA$11)),--(T_LEAVE[DATE]&gt;=DATE($B$4,$A22,AA$11)),ROW(T_LEAVE[LEAVE CODE]))-ROW(T_LEAVE[#Headers])))))),"")</f>
        <v/>
      </c>
      <c r="AB22" s="55" t="str">
        <f ca="1">IFERROR(IF(MONTH(DATE(I_RPT_YR,$A22,AB$11))&lt;&gt;$A22,"NA",IF(DATE(I_RPT_YR,$A22,AB$11)&gt;I_RPT_ED,"NA",IF(NOT(ISERROR(MATCH(DATE($B$4,$A22,AB$11),L_HOLS,0))),"H",IF(INDEX(L_WKNDVAL,WEEKDAY(DATE($B$4,$A22,AB$11),1))=1,"WKND",INDEX(T_LEAVE[LEAVE CODE],SUMPRODUCT(--(T_LEAVE[NAME]=I_RPT_EMP),--(T_LEAVE[DATE]&lt;=DATE($B$4,$A22,AB$11)),--(T_LEAVE[DATE]&gt;=DATE($B$4,$A22,AB$11)),ROW(T_LEAVE[LEAVE CODE]))-ROW(T_LEAVE[#Headers])))))),"")</f>
        <v/>
      </c>
      <c r="AC22" s="55" t="str">
        <f ca="1">IFERROR(IF(MONTH(DATE(I_RPT_YR,$A22,AC$11))&lt;&gt;$A22,"NA",IF(DATE(I_RPT_YR,$A22,AC$11)&gt;I_RPT_ED,"NA",IF(NOT(ISERROR(MATCH(DATE($B$4,$A22,AC$11),L_HOLS,0))),"H",IF(INDEX(L_WKNDVAL,WEEKDAY(DATE($B$4,$A22,AC$11),1))=1,"WKND",INDEX(T_LEAVE[LEAVE CODE],SUMPRODUCT(--(T_LEAVE[NAME]=I_RPT_EMP),--(T_LEAVE[DATE]&lt;=DATE($B$4,$A22,AC$11)),--(T_LEAVE[DATE]&gt;=DATE($B$4,$A22,AC$11)),ROW(T_LEAVE[LEAVE CODE]))-ROW(T_LEAVE[#Headers])))))),"")</f>
        <v/>
      </c>
      <c r="AD22" s="55" t="str">
        <f ca="1">IFERROR(IF(MONTH(DATE(I_RPT_YR,$A22,AD$11))&lt;&gt;$A22,"NA",IF(DATE(I_RPT_YR,$A22,AD$11)&gt;I_RPT_ED,"NA",IF(NOT(ISERROR(MATCH(DATE($B$4,$A22,AD$11),L_HOLS,0))),"H",IF(INDEX(L_WKNDVAL,WEEKDAY(DATE($B$4,$A22,AD$11),1))=1,"WKND",INDEX(T_LEAVE[LEAVE CODE],SUMPRODUCT(--(T_LEAVE[NAME]=I_RPT_EMP),--(T_LEAVE[DATE]&lt;=DATE($B$4,$A22,AD$11)),--(T_LEAVE[DATE]&gt;=DATE($B$4,$A22,AD$11)),ROW(T_LEAVE[LEAVE CODE]))-ROW(T_LEAVE[#Headers])))))),"")</f>
        <v/>
      </c>
      <c r="AE22" s="55" t="str">
        <f ca="1">IFERROR(IF(MONTH(DATE(I_RPT_YR,$A22,AE$11))&lt;&gt;$A22,"NA",IF(DATE(I_RPT_YR,$A22,AE$11)&gt;I_RPT_ED,"NA",IF(NOT(ISERROR(MATCH(DATE($B$4,$A22,AE$11),L_HOLS,0))),"H",IF(INDEX(L_WKNDVAL,WEEKDAY(DATE($B$4,$A22,AE$11),1))=1,"WKND",INDEX(T_LEAVE[LEAVE CODE],SUMPRODUCT(--(T_LEAVE[NAME]=I_RPT_EMP),--(T_LEAVE[DATE]&lt;=DATE($B$4,$A22,AE$11)),--(T_LEAVE[DATE]&gt;=DATE($B$4,$A22,AE$11)),ROW(T_LEAVE[LEAVE CODE]))-ROW(T_LEAVE[#Headers])))))),"")</f>
        <v/>
      </c>
      <c r="AF22" s="55" t="str">
        <f ca="1">IFERROR(IF(MONTH(DATE(I_RPT_YR,$A22,AF$11))&lt;&gt;$A22,"NA",IF(DATE(I_RPT_YR,$A22,AF$11)&gt;I_RPT_ED,"NA",IF(NOT(ISERROR(MATCH(DATE($B$4,$A22,AF$11),L_HOLS,0))),"H",IF(INDEX(L_WKNDVAL,WEEKDAY(DATE($B$4,$A22,AF$11),1))=1,"WKND",INDEX(T_LEAVE[LEAVE CODE],SUMPRODUCT(--(T_LEAVE[NAME]=I_RPT_EMP),--(T_LEAVE[DATE]&lt;=DATE($B$4,$A22,AF$11)),--(T_LEAVE[DATE]&gt;=DATE($B$4,$A22,AF$11)),ROW(T_LEAVE[LEAVE CODE]))-ROW(T_LEAVE[#Headers])))))),"")</f>
        <v>H</v>
      </c>
      <c r="AG22" s="55" t="str">
        <f>IFERROR(IF(MONTH(DATE(I_RPT_YR,$A22,AG$11))&lt;&gt;$A22,"NA",IF(DATE(I_RPT_YR,$A22,AG$11)&gt;I_RPT_ED,"NA",IF(NOT(ISERROR(MATCH(DATE($B$4,$A22,AG$11),L_HOLS,0))),"H",IF(INDEX(L_WKNDVAL,WEEKDAY(DATE($B$4,$A22,AG$11),1))=1,"WKND",INDEX(T_LEAVE[LEAVE CODE],SUMPRODUCT(--(T_LEAVE[NAME]=I_RPT_EMP),--(T_LEAVE[DATE]&lt;=DATE($B$4,$A22,AG$11)),--(T_LEAVE[DATE]&gt;=DATE($B$4,$A22,AG$11)),ROW(T_LEAVE[LEAVE CODE]))-ROW(T_LEAVE[#Headers])))))),"")</f>
        <v>NA</v>
      </c>
      <c r="AH22" s="35"/>
      <c r="AI22" s="36"/>
      <c r="AJ22" s="52">
        <f ca="1">IF(OR($B22&gt;I_RPT_ED,AJ$11=""),"",COUNTIFS($C22:$AG22,AJ$11)*INDEX(T_LEAVETYPE[DAY VALUE],1))</f>
        <v>0</v>
      </c>
      <c r="AK22" s="52">
        <f ca="1">IF(OR($B22&gt;I_RPT_ED,AK$11=""),"",COUNTIFS($C22:$AG22,AK$11)*INDEX(T_LEAVETYPE[DAY VALUE],2))</f>
        <v>0</v>
      </c>
      <c r="AL22" s="52">
        <f ca="1">IF(OR($B22&gt;I_RPT_ED,AL$11=""),"",COUNTIFS($C22:$AG22,AL$11)*INDEX(T_LEAVETYPE[DAY VALUE],3))</f>
        <v>0</v>
      </c>
      <c r="AM22" s="52">
        <f ca="1">IF(OR($B22&gt;I_RPT_ED,AM$11=""),"",COUNTIFS($C22:$AG22,AM$11)*INDEX(T_LEAVETYPE[DAY VALUE],4))</f>
        <v>0</v>
      </c>
      <c r="AN22" s="52">
        <f ca="1">IF(OR($B22&gt;I_RPT_ED,AN$11=""),"",COUNTIFS($C22:$AG22,AN$11)*INDEX(T_LEAVETYPE[DAY VALUE],5))</f>
        <v>0</v>
      </c>
      <c r="AO22" s="52">
        <f ca="1">IF(OR($B22&gt;I_RPT_ED,AO$11=""),"",COUNTIFS($C22:$AG22,AO$11)*INDEX(T_LEAVETYPE[DAY VALUE],6))</f>
        <v>0</v>
      </c>
      <c r="AP22" s="52">
        <f ca="1">IF(OR($B22&gt;I_RPT_ED,AP$11=""),"",COUNTIFS($C22:$AG22,AP$11)*INDEX(T_LEAVETYPE[DAY VALUE],7))</f>
        <v>0</v>
      </c>
      <c r="AQ22" s="52">
        <f ca="1">IF(OR($B22&gt;I_RPT_ED,AQ$11=""),"",COUNTIFS($C22:$AG22,AQ$11)*INDEX(T_LEAVETYPE[DAY VALUE],8))</f>
        <v>0</v>
      </c>
      <c r="AR22" s="52">
        <f t="shared" ca="1" si="4"/>
        <v>0</v>
      </c>
      <c r="AS22" s="6"/>
    </row>
    <row r="23" spans="1:45" ht="15.75" x14ac:dyDescent="0.25">
      <c r="A23" s="51">
        <v>12</v>
      </c>
      <c r="B23" s="54">
        <f t="shared" si="3"/>
        <v>44531</v>
      </c>
      <c r="C23" s="55" t="str">
        <f ca="1">IFERROR(IF(MONTH(DATE(I_RPT_YR,$A23,C$11))&lt;&gt;$A23,"NA",IF(DATE(I_RPT_YR,$A23,C$11)&gt;I_RPT_ED,"NA",IF(NOT(ISERROR(MATCH(DATE($B$4,$A23,C$11),L_HOLS,0))),"H",IF(INDEX(L_WKNDVAL,WEEKDAY(DATE($B$4,$A23,C$11),1))=1,"WKND",INDEX(T_LEAVE[LEAVE CODE],SUMPRODUCT(--(T_LEAVE[NAME]=I_RPT_EMP),--(T_LEAVE[DATE]&lt;=DATE($B$4,$A23,C$11)),--(T_LEAVE[DATE]&gt;=DATE($B$4,$A23,C$11)),ROW(T_LEAVE[LEAVE CODE]))-ROW(T_LEAVE[#Headers])))))),"")</f>
        <v/>
      </c>
      <c r="D23" s="55" t="str">
        <f ca="1">IFERROR(IF(MONTH(DATE(I_RPT_YR,$A23,D$11))&lt;&gt;$A23,"NA",IF(DATE(I_RPT_YR,$A23,D$11)&gt;I_RPT_ED,"NA",IF(NOT(ISERROR(MATCH(DATE($B$4,$A23,D$11),L_HOLS,0))),"H",IF(INDEX(L_WKNDVAL,WEEKDAY(DATE($B$4,$A23,D$11),1))=1,"WKND",INDEX(T_LEAVE[LEAVE CODE],SUMPRODUCT(--(T_LEAVE[NAME]=I_RPT_EMP),--(T_LEAVE[DATE]&lt;=DATE($B$4,$A23,D$11)),--(T_LEAVE[DATE]&gt;=DATE($B$4,$A23,D$11)),ROW(T_LEAVE[LEAVE CODE]))-ROW(T_LEAVE[#Headers])))))),"")</f>
        <v/>
      </c>
      <c r="E23" s="55" t="str">
        <f ca="1">IFERROR(IF(MONTH(DATE(I_RPT_YR,$A23,E$11))&lt;&gt;$A23,"NA",IF(DATE(I_RPT_YR,$A23,E$11)&gt;I_RPT_ED,"NA",IF(NOT(ISERROR(MATCH(DATE($B$4,$A23,E$11),L_HOLS,0))),"H",IF(INDEX(L_WKNDVAL,WEEKDAY(DATE($B$4,$A23,E$11),1))=1,"WKND",INDEX(T_LEAVE[LEAVE CODE],SUMPRODUCT(--(T_LEAVE[NAME]=I_RPT_EMP),--(T_LEAVE[DATE]&lt;=DATE($B$4,$A23,E$11)),--(T_LEAVE[DATE]&gt;=DATE($B$4,$A23,E$11)),ROW(T_LEAVE[LEAVE CODE]))-ROW(T_LEAVE[#Headers])))))),"")</f>
        <v/>
      </c>
      <c r="F23" s="55" t="str">
        <f ca="1">IFERROR(IF(MONTH(DATE(I_RPT_YR,$A23,F$11))&lt;&gt;$A23,"NA",IF(DATE(I_RPT_YR,$A23,F$11)&gt;I_RPT_ED,"NA",IF(NOT(ISERROR(MATCH(DATE($B$4,$A23,F$11),L_HOLS,0))),"H",IF(INDEX(L_WKNDVAL,WEEKDAY(DATE($B$4,$A23,F$11),1))=1,"WKND",INDEX(T_LEAVE[LEAVE CODE],SUMPRODUCT(--(T_LEAVE[NAME]=I_RPT_EMP),--(T_LEAVE[DATE]&lt;=DATE($B$4,$A23,F$11)),--(T_LEAVE[DATE]&gt;=DATE($B$4,$A23,F$11)),ROW(T_LEAVE[LEAVE CODE]))-ROW(T_LEAVE[#Headers])))))),"")</f>
        <v/>
      </c>
      <c r="G23" s="55" t="str">
        <f ca="1">IFERROR(IF(MONTH(DATE(I_RPT_YR,$A23,G$11))&lt;&gt;$A23,"NA",IF(DATE(I_RPT_YR,$A23,G$11)&gt;I_RPT_ED,"NA",IF(NOT(ISERROR(MATCH(DATE($B$4,$A23,G$11),L_HOLS,0))),"H",IF(INDEX(L_WKNDVAL,WEEKDAY(DATE($B$4,$A23,G$11),1))=1,"WKND",INDEX(T_LEAVE[LEAVE CODE],SUMPRODUCT(--(T_LEAVE[NAME]=I_RPT_EMP),--(T_LEAVE[DATE]&lt;=DATE($B$4,$A23,G$11)),--(T_LEAVE[DATE]&gt;=DATE($B$4,$A23,G$11)),ROW(T_LEAVE[LEAVE CODE]))-ROW(T_LEAVE[#Headers])))))),"")</f>
        <v/>
      </c>
      <c r="H23" s="55" t="str">
        <f ca="1">IFERROR(IF(MONTH(DATE(I_RPT_YR,$A23,H$11))&lt;&gt;$A23,"NA",IF(DATE(I_RPT_YR,$A23,H$11)&gt;I_RPT_ED,"NA",IF(NOT(ISERROR(MATCH(DATE($B$4,$A23,H$11),L_HOLS,0))),"H",IF(INDEX(L_WKNDVAL,WEEKDAY(DATE($B$4,$A23,H$11),1))=1,"WKND",INDEX(T_LEAVE[LEAVE CODE],SUMPRODUCT(--(T_LEAVE[NAME]=I_RPT_EMP),--(T_LEAVE[DATE]&lt;=DATE($B$4,$A23,H$11)),--(T_LEAVE[DATE]&gt;=DATE($B$4,$A23,H$11)),ROW(T_LEAVE[LEAVE CODE]))-ROW(T_LEAVE[#Headers])))))),"")</f>
        <v/>
      </c>
      <c r="I23" s="55" t="str">
        <f ca="1">IFERROR(IF(MONTH(DATE(I_RPT_YR,$A23,I$11))&lt;&gt;$A23,"NA",IF(DATE(I_RPT_YR,$A23,I$11)&gt;I_RPT_ED,"NA",IF(NOT(ISERROR(MATCH(DATE($B$4,$A23,I$11),L_HOLS,0))),"H",IF(INDEX(L_WKNDVAL,WEEKDAY(DATE($B$4,$A23,I$11),1))=1,"WKND",INDEX(T_LEAVE[LEAVE CODE],SUMPRODUCT(--(T_LEAVE[NAME]=I_RPT_EMP),--(T_LEAVE[DATE]&lt;=DATE($B$4,$A23,I$11)),--(T_LEAVE[DATE]&gt;=DATE($B$4,$A23,I$11)),ROW(T_LEAVE[LEAVE CODE]))-ROW(T_LEAVE[#Headers])))))),"")</f>
        <v/>
      </c>
      <c r="J23" s="55" t="str">
        <f ca="1">IFERROR(IF(MONTH(DATE(I_RPT_YR,$A23,J$11))&lt;&gt;$A23,"NA",IF(DATE(I_RPT_YR,$A23,J$11)&gt;I_RPT_ED,"NA",IF(NOT(ISERROR(MATCH(DATE($B$4,$A23,J$11),L_HOLS,0))),"H",IF(INDEX(L_WKNDVAL,WEEKDAY(DATE($B$4,$A23,J$11),1))=1,"WKND",INDEX(T_LEAVE[LEAVE CODE],SUMPRODUCT(--(T_LEAVE[NAME]=I_RPT_EMP),--(T_LEAVE[DATE]&lt;=DATE($B$4,$A23,J$11)),--(T_LEAVE[DATE]&gt;=DATE($B$4,$A23,J$11)),ROW(T_LEAVE[LEAVE CODE]))-ROW(T_LEAVE[#Headers])))))),"")</f>
        <v/>
      </c>
      <c r="K23" s="55" t="str">
        <f ca="1">IFERROR(IF(MONTH(DATE(I_RPT_YR,$A23,K$11))&lt;&gt;$A23,"NA",IF(DATE(I_RPT_YR,$A23,K$11)&gt;I_RPT_ED,"NA",IF(NOT(ISERROR(MATCH(DATE($B$4,$A23,K$11),L_HOLS,0))),"H",IF(INDEX(L_WKNDVAL,WEEKDAY(DATE($B$4,$A23,K$11),1))=1,"WKND",INDEX(T_LEAVE[LEAVE CODE],SUMPRODUCT(--(T_LEAVE[NAME]=I_RPT_EMP),--(T_LEAVE[DATE]&lt;=DATE($B$4,$A23,K$11)),--(T_LEAVE[DATE]&gt;=DATE($B$4,$A23,K$11)),ROW(T_LEAVE[LEAVE CODE]))-ROW(T_LEAVE[#Headers])))))),"")</f>
        <v/>
      </c>
      <c r="L23" s="55" t="str">
        <f ca="1">IFERROR(IF(MONTH(DATE(I_RPT_YR,$A23,L$11))&lt;&gt;$A23,"NA",IF(DATE(I_RPT_YR,$A23,L$11)&gt;I_RPT_ED,"NA",IF(NOT(ISERROR(MATCH(DATE($B$4,$A23,L$11),L_HOLS,0))),"H",IF(INDEX(L_WKNDVAL,WEEKDAY(DATE($B$4,$A23,L$11),1))=1,"WKND",INDEX(T_LEAVE[LEAVE CODE],SUMPRODUCT(--(T_LEAVE[NAME]=I_RPT_EMP),--(T_LEAVE[DATE]&lt;=DATE($B$4,$A23,L$11)),--(T_LEAVE[DATE]&gt;=DATE($B$4,$A23,L$11)),ROW(T_LEAVE[LEAVE CODE]))-ROW(T_LEAVE[#Headers])))))),"")</f>
        <v/>
      </c>
      <c r="M23" s="55" t="str">
        <f ca="1">IFERROR(IF(MONTH(DATE(I_RPT_YR,$A23,M$11))&lt;&gt;$A23,"NA",IF(DATE(I_RPT_YR,$A23,M$11)&gt;I_RPT_ED,"NA",IF(NOT(ISERROR(MATCH(DATE($B$4,$A23,M$11),L_HOLS,0))),"H",IF(INDEX(L_WKNDVAL,WEEKDAY(DATE($B$4,$A23,M$11),1))=1,"WKND",INDEX(T_LEAVE[LEAVE CODE],SUMPRODUCT(--(T_LEAVE[NAME]=I_RPT_EMP),--(T_LEAVE[DATE]&lt;=DATE($B$4,$A23,M$11)),--(T_LEAVE[DATE]&gt;=DATE($B$4,$A23,M$11)),ROW(T_LEAVE[LEAVE CODE]))-ROW(T_LEAVE[#Headers])))))),"")</f>
        <v/>
      </c>
      <c r="N23" s="55" t="str">
        <f ca="1">IFERROR(IF(MONTH(DATE(I_RPT_YR,$A23,N$11))&lt;&gt;$A23,"NA",IF(DATE(I_RPT_YR,$A23,N$11)&gt;I_RPT_ED,"NA",IF(NOT(ISERROR(MATCH(DATE($B$4,$A23,N$11),L_HOLS,0))),"H",IF(INDEX(L_WKNDVAL,WEEKDAY(DATE($B$4,$A23,N$11),1))=1,"WKND",INDEX(T_LEAVE[LEAVE CODE],SUMPRODUCT(--(T_LEAVE[NAME]=I_RPT_EMP),--(T_LEAVE[DATE]&lt;=DATE($B$4,$A23,N$11)),--(T_LEAVE[DATE]&gt;=DATE($B$4,$A23,N$11)),ROW(T_LEAVE[LEAVE CODE]))-ROW(T_LEAVE[#Headers])))))),"")</f>
        <v/>
      </c>
      <c r="O23" s="55" t="str">
        <f ca="1">IFERROR(IF(MONTH(DATE(I_RPT_YR,$A23,O$11))&lt;&gt;$A23,"NA",IF(DATE(I_RPT_YR,$A23,O$11)&gt;I_RPT_ED,"NA",IF(NOT(ISERROR(MATCH(DATE($B$4,$A23,O$11),L_HOLS,0))),"H",IF(INDEX(L_WKNDVAL,WEEKDAY(DATE($B$4,$A23,O$11),1))=1,"WKND",INDEX(T_LEAVE[LEAVE CODE],SUMPRODUCT(--(T_LEAVE[NAME]=I_RPT_EMP),--(T_LEAVE[DATE]&lt;=DATE($B$4,$A23,O$11)),--(T_LEAVE[DATE]&gt;=DATE($B$4,$A23,O$11)),ROW(T_LEAVE[LEAVE CODE]))-ROW(T_LEAVE[#Headers])))))),"")</f>
        <v/>
      </c>
      <c r="P23" s="55" t="str">
        <f ca="1">IFERROR(IF(MONTH(DATE(I_RPT_YR,$A23,P$11))&lt;&gt;$A23,"NA",IF(DATE(I_RPT_YR,$A23,P$11)&gt;I_RPT_ED,"NA",IF(NOT(ISERROR(MATCH(DATE($B$4,$A23,P$11),L_HOLS,0))),"H",IF(INDEX(L_WKNDVAL,WEEKDAY(DATE($B$4,$A23,P$11),1))=1,"WKND",INDEX(T_LEAVE[LEAVE CODE],SUMPRODUCT(--(T_LEAVE[NAME]=I_RPT_EMP),--(T_LEAVE[DATE]&lt;=DATE($B$4,$A23,P$11)),--(T_LEAVE[DATE]&gt;=DATE($B$4,$A23,P$11)),ROW(T_LEAVE[LEAVE CODE]))-ROW(T_LEAVE[#Headers])))))),"")</f>
        <v/>
      </c>
      <c r="Q23" s="55" t="str">
        <f ca="1">IFERROR(IF(MONTH(DATE(I_RPT_YR,$A23,Q$11))&lt;&gt;$A23,"NA",IF(DATE(I_RPT_YR,$A23,Q$11)&gt;I_RPT_ED,"NA",IF(NOT(ISERROR(MATCH(DATE($B$4,$A23,Q$11),L_HOLS,0))),"H",IF(INDEX(L_WKNDVAL,WEEKDAY(DATE($B$4,$A23,Q$11),1))=1,"WKND",INDEX(T_LEAVE[LEAVE CODE],SUMPRODUCT(--(T_LEAVE[NAME]=I_RPT_EMP),--(T_LEAVE[DATE]&lt;=DATE($B$4,$A23,Q$11)),--(T_LEAVE[DATE]&gt;=DATE($B$4,$A23,Q$11)),ROW(T_LEAVE[LEAVE CODE]))-ROW(T_LEAVE[#Headers])))))),"")</f>
        <v/>
      </c>
      <c r="R23" s="55" t="str">
        <f ca="1">IFERROR(IF(MONTH(DATE(I_RPT_YR,$A23,R$11))&lt;&gt;$A23,"NA",IF(DATE(I_RPT_YR,$A23,R$11)&gt;I_RPT_ED,"NA",IF(NOT(ISERROR(MATCH(DATE($B$4,$A23,R$11),L_HOLS,0))),"H",IF(INDEX(L_WKNDVAL,WEEKDAY(DATE($B$4,$A23,R$11),1))=1,"WKND",INDEX(T_LEAVE[LEAVE CODE],SUMPRODUCT(--(T_LEAVE[NAME]=I_RPT_EMP),--(T_LEAVE[DATE]&lt;=DATE($B$4,$A23,R$11)),--(T_LEAVE[DATE]&gt;=DATE($B$4,$A23,R$11)),ROW(T_LEAVE[LEAVE CODE]))-ROW(T_LEAVE[#Headers])))))),"")</f>
        <v/>
      </c>
      <c r="S23" s="55" t="str">
        <f ca="1">IFERROR(IF(MONTH(DATE(I_RPT_YR,$A23,S$11))&lt;&gt;$A23,"NA",IF(DATE(I_RPT_YR,$A23,S$11)&gt;I_RPT_ED,"NA",IF(NOT(ISERROR(MATCH(DATE($B$4,$A23,S$11),L_HOLS,0))),"H",IF(INDEX(L_WKNDVAL,WEEKDAY(DATE($B$4,$A23,S$11),1))=1,"WKND",INDEX(T_LEAVE[LEAVE CODE],SUMPRODUCT(--(T_LEAVE[NAME]=I_RPT_EMP),--(T_LEAVE[DATE]&lt;=DATE($B$4,$A23,S$11)),--(T_LEAVE[DATE]&gt;=DATE($B$4,$A23,S$11)),ROW(T_LEAVE[LEAVE CODE]))-ROW(T_LEAVE[#Headers])))))),"")</f>
        <v/>
      </c>
      <c r="T23" s="55" t="str">
        <f ca="1">IFERROR(IF(MONTH(DATE(I_RPT_YR,$A23,T$11))&lt;&gt;$A23,"NA",IF(DATE(I_RPT_YR,$A23,T$11)&gt;I_RPT_ED,"NA",IF(NOT(ISERROR(MATCH(DATE($B$4,$A23,T$11),L_HOLS,0))),"H",IF(INDEX(L_WKNDVAL,WEEKDAY(DATE($B$4,$A23,T$11),1))=1,"WKND",INDEX(T_LEAVE[LEAVE CODE],SUMPRODUCT(--(T_LEAVE[NAME]=I_RPT_EMP),--(T_LEAVE[DATE]&lt;=DATE($B$4,$A23,T$11)),--(T_LEAVE[DATE]&gt;=DATE($B$4,$A23,T$11)),ROW(T_LEAVE[LEAVE CODE]))-ROW(T_LEAVE[#Headers])))))),"")</f>
        <v/>
      </c>
      <c r="U23" s="55" t="str">
        <f ca="1">IFERROR(IF(MONTH(DATE(I_RPT_YR,$A23,U$11))&lt;&gt;$A23,"NA",IF(DATE(I_RPT_YR,$A23,U$11)&gt;I_RPT_ED,"NA",IF(NOT(ISERROR(MATCH(DATE($B$4,$A23,U$11),L_HOLS,0))),"H",IF(INDEX(L_WKNDVAL,WEEKDAY(DATE($B$4,$A23,U$11),1))=1,"WKND",INDEX(T_LEAVE[LEAVE CODE],SUMPRODUCT(--(T_LEAVE[NAME]=I_RPT_EMP),--(T_LEAVE[DATE]&lt;=DATE($B$4,$A23,U$11)),--(T_LEAVE[DATE]&gt;=DATE($B$4,$A23,U$11)),ROW(T_LEAVE[LEAVE CODE]))-ROW(T_LEAVE[#Headers])))))),"")</f>
        <v/>
      </c>
      <c r="V23" s="55" t="str">
        <f ca="1">IFERROR(IF(MONTH(DATE(I_RPT_YR,$A23,V$11))&lt;&gt;$A23,"NA",IF(DATE(I_RPT_YR,$A23,V$11)&gt;I_RPT_ED,"NA",IF(NOT(ISERROR(MATCH(DATE($B$4,$A23,V$11),L_HOLS,0))),"H",IF(INDEX(L_WKNDVAL,WEEKDAY(DATE($B$4,$A23,V$11),1))=1,"WKND",INDEX(T_LEAVE[LEAVE CODE],SUMPRODUCT(--(T_LEAVE[NAME]=I_RPT_EMP),--(T_LEAVE[DATE]&lt;=DATE($B$4,$A23,V$11)),--(T_LEAVE[DATE]&gt;=DATE($B$4,$A23,V$11)),ROW(T_LEAVE[LEAVE CODE]))-ROW(T_LEAVE[#Headers])))))),"")</f>
        <v/>
      </c>
      <c r="W23" s="55" t="str">
        <f ca="1">IFERROR(IF(MONTH(DATE(I_RPT_YR,$A23,W$11))&lt;&gt;$A23,"NA",IF(DATE(I_RPT_YR,$A23,W$11)&gt;I_RPT_ED,"NA",IF(NOT(ISERROR(MATCH(DATE($B$4,$A23,W$11),L_HOLS,0))),"H",IF(INDEX(L_WKNDVAL,WEEKDAY(DATE($B$4,$A23,W$11),1))=1,"WKND",INDEX(T_LEAVE[LEAVE CODE],SUMPRODUCT(--(T_LEAVE[NAME]=I_RPT_EMP),--(T_LEAVE[DATE]&lt;=DATE($B$4,$A23,W$11)),--(T_LEAVE[DATE]&gt;=DATE($B$4,$A23,W$11)),ROW(T_LEAVE[LEAVE CODE]))-ROW(T_LEAVE[#Headers])))))),"")</f>
        <v/>
      </c>
      <c r="X23" s="55" t="str">
        <f ca="1">IFERROR(IF(MONTH(DATE(I_RPT_YR,$A23,X$11))&lt;&gt;$A23,"NA",IF(DATE(I_RPT_YR,$A23,X$11)&gt;I_RPT_ED,"NA",IF(NOT(ISERROR(MATCH(DATE($B$4,$A23,X$11),L_HOLS,0))),"H",IF(INDEX(L_WKNDVAL,WEEKDAY(DATE($B$4,$A23,X$11),1))=1,"WKND",INDEX(T_LEAVE[LEAVE CODE],SUMPRODUCT(--(T_LEAVE[NAME]=I_RPT_EMP),--(T_LEAVE[DATE]&lt;=DATE($B$4,$A23,X$11)),--(T_LEAVE[DATE]&gt;=DATE($B$4,$A23,X$11)),ROW(T_LEAVE[LEAVE CODE]))-ROW(T_LEAVE[#Headers])))))),"")</f>
        <v/>
      </c>
      <c r="Y23" s="55" t="str">
        <f ca="1">IFERROR(IF(MONTH(DATE(I_RPT_YR,$A23,Y$11))&lt;&gt;$A23,"NA",IF(DATE(I_RPT_YR,$A23,Y$11)&gt;I_RPT_ED,"NA",IF(NOT(ISERROR(MATCH(DATE($B$4,$A23,Y$11),L_HOLS,0))),"H",IF(INDEX(L_WKNDVAL,WEEKDAY(DATE($B$4,$A23,Y$11),1))=1,"WKND",INDEX(T_LEAVE[LEAVE CODE],SUMPRODUCT(--(T_LEAVE[NAME]=I_RPT_EMP),--(T_LEAVE[DATE]&lt;=DATE($B$4,$A23,Y$11)),--(T_LEAVE[DATE]&gt;=DATE($B$4,$A23,Y$11)),ROW(T_LEAVE[LEAVE CODE]))-ROW(T_LEAVE[#Headers])))))),"")</f>
        <v/>
      </c>
      <c r="Z23" s="55" t="str">
        <f ca="1">IFERROR(IF(MONTH(DATE(I_RPT_YR,$A23,Z$11))&lt;&gt;$A23,"NA",IF(DATE(I_RPT_YR,$A23,Z$11)&gt;I_RPT_ED,"NA",IF(NOT(ISERROR(MATCH(DATE($B$4,$A23,Z$11),L_HOLS,0))),"H",IF(INDEX(L_WKNDVAL,WEEKDAY(DATE($B$4,$A23,Z$11),1))=1,"WKND",INDEX(T_LEAVE[LEAVE CODE],SUMPRODUCT(--(T_LEAVE[NAME]=I_RPT_EMP),--(T_LEAVE[DATE]&lt;=DATE($B$4,$A23,Z$11)),--(T_LEAVE[DATE]&gt;=DATE($B$4,$A23,Z$11)),ROW(T_LEAVE[LEAVE CODE]))-ROW(T_LEAVE[#Headers])))))),"")</f>
        <v>H</v>
      </c>
      <c r="AA23" s="55" t="str">
        <f ca="1">IFERROR(IF(MONTH(DATE(I_RPT_YR,$A23,AA$11))&lt;&gt;$A23,"NA",IF(DATE(I_RPT_YR,$A23,AA$11)&gt;I_RPT_ED,"NA",IF(NOT(ISERROR(MATCH(DATE($B$4,$A23,AA$11),L_HOLS,0))),"H",IF(INDEX(L_WKNDVAL,WEEKDAY(DATE($B$4,$A23,AA$11),1))=1,"WKND",INDEX(T_LEAVE[LEAVE CODE],SUMPRODUCT(--(T_LEAVE[NAME]=I_RPT_EMP),--(T_LEAVE[DATE]&lt;=DATE($B$4,$A23,AA$11)),--(T_LEAVE[DATE]&gt;=DATE($B$4,$A23,AA$11)),ROW(T_LEAVE[LEAVE CODE]))-ROW(T_LEAVE[#Headers])))))),"")</f>
        <v>H</v>
      </c>
      <c r="AB23" s="55" t="str">
        <f ca="1">IFERROR(IF(MONTH(DATE(I_RPT_YR,$A23,AB$11))&lt;&gt;$A23,"NA",IF(DATE(I_RPT_YR,$A23,AB$11)&gt;I_RPT_ED,"NA",IF(NOT(ISERROR(MATCH(DATE($B$4,$A23,AB$11),L_HOLS,0))),"H",IF(INDEX(L_WKNDVAL,WEEKDAY(DATE($B$4,$A23,AB$11),1))=1,"WKND",INDEX(T_LEAVE[LEAVE CODE],SUMPRODUCT(--(T_LEAVE[NAME]=I_RPT_EMP),--(T_LEAVE[DATE]&lt;=DATE($B$4,$A23,AB$11)),--(T_LEAVE[DATE]&gt;=DATE($B$4,$A23,AB$11)),ROW(T_LEAVE[LEAVE CODE]))-ROW(T_LEAVE[#Headers])))))),"")</f>
        <v/>
      </c>
      <c r="AC23" s="55" t="str">
        <f ca="1">IFERROR(IF(MONTH(DATE(I_RPT_YR,$A23,AC$11))&lt;&gt;$A23,"NA",IF(DATE(I_RPT_YR,$A23,AC$11)&gt;I_RPT_ED,"NA",IF(NOT(ISERROR(MATCH(DATE($B$4,$A23,AC$11),L_HOLS,0))),"H",IF(INDEX(L_WKNDVAL,WEEKDAY(DATE($B$4,$A23,AC$11),1))=1,"WKND",INDEX(T_LEAVE[LEAVE CODE],SUMPRODUCT(--(T_LEAVE[NAME]=I_RPT_EMP),--(T_LEAVE[DATE]&lt;=DATE($B$4,$A23,AC$11)),--(T_LEAVE[DATE]&gt;=DATE($B$4,$A23,AC$11)),ROW(T_LEAVE[LEAVE CODE]))-ROW(T_LEAVE[#Headers])))))),"")</f>
        <v/>
      </c>
      <c r="AD23" s="55" t="str">
        <f ca="1">IFERROR(IF(MONTH(DATE(I_RPT_YR,$A23,AD$11))&lt;&gt;$A23,"NA",IF(DATE(I_RPT_YR,$A23,AD$11)&gt;I_RPT_ED,"NA",IF(NOT(ISERROR(MATCH(DATE($B$4,$A23,AD$11),L_HOLS,0))),"H",IF(INDEX(L_WKNDVAL,WEEKDAY(DATE($B$4,$A23,AD$11),1))=1,"WKND",INDEX(T_LEAVE[LEAVE CODE],SUMPRODUCT(--(T_LEAVE[NAME]=I_RPT_EMP),--(T_LEAVE[DATE]&lt;=DATE($B$4,$A23,AD$11)),--(T_LEAVE[DATE]&gt;=DATE($B$4,$A23,AD$11)),ROW(T_LEAVE[LEAVE CODE]))-ROW(T_LEAVE[#Headers])))))),"")</f>
        <v/>
      </c>
      <c r="AE23" s="55" t="str">
        <f ca="1">IFERROR(IF(MONTH(DATE(I_RPT_YR,$A23,AE$11))&lt;&gt;$A23,"NA",IF(DATE(I_RPT_YR,$A23,AE$11)&gt;I_RPT_ED,"NA",IF(NOT(ISERROR(MATCH(DATE($B$4,$A23,AE$11),L_HOLS,0))),"H",IF(INDEX(L_WKNDVAL,WEEKDAY(DATE($B$4,$A23,AE$11),1))=1,"WKND",INDEX(T_LEAVE[LEAVE CODE],SUMPRODUCT(--(T_LEAVE[NAME]=I_RPT_EMP),--(T_LEAVE[DATE]&lt;=DATE($B$4,$A23,AE$11)),--(T_LEAVE[DATE]&gt;=DATE($B$4,$A23,AE$11)),ROW(T_LEAVE[LEAVE CODE]))-ROW(T_LEAVE[#Headers])))))),"")</f>
        <v/>
      </c>
      <c r="AF23" s="55" t="str">
        <f ca="1">IFERROR(IF(MONTH(DATE(I_RPT_YR,$A23,AF$11))&lt;&gt;$A23,"NA",IF(DATE(I_RPT_YR,$A23,AF$11)&gt;I_RPT_ED,"NA",IF(NOT(ISERROR(MATCH(DATE($B$4,$A23,AF$11),L_HOLS,0))),"H",IF(INDEX(L_WKNDVAL,WEEKDAY(DATE($B$4,$A23,AF$11),1))=1,"WKND",INDEX(T_LEAVE[LEAVE CODE],SUMPRODUCT(--(T_LEAVE[NAME]=I_RPT_EMP),--(T_LEAVE[DATE]&lt;=DATE($B$4,$A23,AF$11)),--(T_LEAVE[DATE]&gt;=DATE($B$4,$A23,AF$11)),ROW(T_LEAVE[LEAVE CODE]))-ROW(T_LEAVE[#Headers])))))),"")</f>
        <v>H</v>
      </c>
      <c r="AG23" s="55" t="str">
        <f ca="1">IFERROR(IF(MONTH(DATE(I_RPT_YR,$A23,AG$11))&lt;&gt;$A23,"NA",IF(DATE(I_RPT_YR,$A23,AG$11)&gt;I_RPT_ED,"NA",IF(NOT(ISERROR(MATCH(DATE($B$4,$A23,AG$11),L_HOLS,0))),"H",IF(INDEX(L_WKNDVAL,WEEKDAY(DATE($B$4,$A23,AG$11),1))=1,"WKND",INDEX(T_LEAVE[LEAVE CODE],SUMPRODUCT(--(T_LEAVE[NAME]=I_RPT_EMP),--(T_LEAVE[DATE]&lt;=DATE($B$4,$A23,AG$11)),--(T_LEAVE[DATE]&gt;=DATE($B$4,$A23,AG$11)),ROW(T_LEAVE[LEAVE CODE]))-ROW(T_LEAVE[#Headers])))))),"")</f>
        <v>H</v>
      </c>
      <c r="AH23" s="35"/>
      <c r="AI23" s="36"/>
      <c r="AJ23" s="52">
        <f ca="1">IF(OR($B23&gt;I_RPT_ED,AJ$11=""),"",COUNTIFS($C23:$AG23,AJ$11)*INDEX(T_LEAVETYPE[DAY VALUE],1))</f>
        <v>0</v>
      </c>
      <c r="AK23" s="52">
        <f ca="1">IF(OR($B23&gt;I_RPT_ED,AK$11=""),"",COUNTIFS($C23:$AG23,AK$11)*INDEX(T_LEAVETYPE[DAY VALUE],2))</f>
        <v>0</v>
      </c>
      <c r="AL23" s="52">
        <f ca="1">IF(OR($B23&gt;I_RPT_ED,AL$11=""),"",COUNTIFS($C23:$AG23,AL$11)*INDEX(T_LEAVETYPE[DAY VALUE],3))</f>
        <v>0</v>
      </c>
      <c r="AM23" s="52">
        <f ca="1">IF(OR($B23&gt;I_RPT_ED,AM$11=""),"",COUNTIFS($C23:$AG23,AM$11)*INDEX(T_LEAVETYPE[DAY VALUE],4))</f>
        <v>0</v>
      </c>
      <c r="AN23" s="52">
        <f ca="1">IF(OR($B23&gt;I_RPT_ED,AN$11=""),"",COUNTIFS($C23:$AG23,AN$11)*INDEX(T_LEAVETYPE[DAY VALUE],5))</f>
        <v>0</v>
      </c>
      <c r="AO23" s="52">
        <f ca="1">IF(OR($B23&gt;I_RPT_ED,AO$11=""),"",COUNTIFS($C23:$AG23,AO$11)*INDEX(T_LEAVETYPE[DAY VALUE],6))</f>
        <v>0</v>
      </c>
      <c r="AP23" s="52">
        <f ca="1">IF(OR($B23&gt;I_RPT_ED,AP$11=""),"",COUNTIFS($C23:$AG23,AP$11)*INDEX(T_LEAVETYPE[DAY VALUE],7))</f>
        <v>0</v>
      </c>
      <c r="AQ23" s="52">
        <f ca="1">IF(OR($B23&gt;I_RPT_ED,AQ$11=""),"",COUNTIFS($C23:$AG23,AQ$11)*INDEX(T_LEAVETYPE[DAY VALUE],8))</f>
        <v>0</v>
      </c>
      <c r="AR23" s="52">
        <f t="shared" ca="1" si="4"/>
        <v>0</v>
      </c>
      <c r="AS23" s="6"/>
    </row>
    <row r="24" spans="1:45" x14ac:dyDescent="0.25">
      <c r="B24" s="13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25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25"/>
    </row>
    <row r="25" spans="1:45" x14ac:dyDescent="0.25">
      <c r="AJ25" s="4" t="s">
        <v>62</v>
      </c>
    </row>
  </sheetData>
  <mergeCells count="10">
    <mergeCell ref="AR5:AR7"/>
    <mergeCell ref="AL3:AM3"/>
    <mergeCell ref="AJ5:AJ7"/>
    <mergeCell ref="AK5:AK7"/>
    <mergeCell ref="AL5:AL7"/>
    <mergeCell ref="AM5:AM7"/>
    <mergeCell ref="AQ5:AQ7"/>
    <mergeCell ref="AN5:AN7"/>
    <mergeCell ref="AO5:AO7"/>
    <mergeCell ref="AP5:AP7"/>
  </mergeCells>
  <conditionalFormatting sqref="AJ5:AM7">
    <cfRule type="expression" dxfId="86" priority="38">
      <formula>AJ5=""</formula>
    </cfRule>
  </conditionalFormatting>
  <conditionalFormatting sqref="C12:AG23">
    <cfRule type="expression" dxfId="85" priority="13">
      <formula>C12=INDEX(L_LEAVE,5)</formula>
    </cfRule>
    <cfRule type="expression" dxfId="84" priority="14">
      <formula>C12=INDEX(L_LEAVE,6)</formula>
    </cfRule>
    <cfRule type="expression" dxfId="83" priority="15">
      <formula>C12=INDEX(L_LEAVE,5)</formula>
    </cfRule>
    <cfRule type="expression" dxfId="82" priority="39">
      <formula>C12=INDEX(L_LEAVE,8)</formula>
    </cfRule>
    <cfRule type="expression" dxfId="81" priority="40">
      <formula>C12=INDEX(L_LEAVE,4)</formula>
    </cfRule>
    <cfRule type="expression" dxfId="80" priority="41">
      <formula>C12=INDEX(L_LEAVE,3)</formula>
    </cfRule>
    <cfRule type="expression" dxfId="79" priority="42">
      <formula>C12=INDEX(L_LEAVE,2)</formula>
    </cfRule>
    <cfRule type="expression" dxfId="78" priority="43">
      <formula>C12=INDEX(L_LEAVE,1)</formula>
    </cfRule>
    <cfRule type="expression" dxfId="77" priority="44">
      <formula>C12="WKND"</formula>
    </cfRule>
    <cfRule type="expression" dxfId="76" priority="45">
      <formula>C12="H"</formula>
    </cfRule>
    <cfRule type="expression" dxfId="75" priority="46">
      <formula>C12="NA"</formula>
    </cfRule>
    <cfRule type="expression" dxfId="74" priority="47">
      <formula>C12="NE"</formula>
    </cfRule>
  </conditionalFormatting>
  <conditionalFormatting sqref="AJ11:AM11 AQ11">
    <cfRule type="expression" dxfId="73" priority="23">
      <formula>AJ11=""</formula>
    </cfRule>
  </conditionalFormatting>
  <conditionalFormatting sqref="AN11">
    <cfRule type="expression" dxfId="72" priority="22">
      <formula>AN11=""</formula>
    </cfRule>
  </conditionalFormatting>
  <conditionalFormatting sqref="AO11">
    <cfRule type="expression" dxfId="71" priority="21">
      <formula>AO11=""</formula>
    </cfRule>
  </conditionalFormatting>
  <conditionalFormatting sqref="AP11">
    <cfRule type="expression" dxfId="70" priority="20">
      <formula>AP11=""</formula>
    </cfRule>
  </conditionalFormatting>
  <conditionalFormatting sqref="AQ5">
    <cfRule type="expression" dxfId="69" priority="19">
      <formula>AQ5=""</formula>
    </cfRule>
  </conditionalFormatting>
  <conditionalFormatting sqref="AN5">
    <cfRule type="expression" dxfId="68" priority="18">
      <formula>AN5=""</formula>
    </cfRule>
  </conditionalFormatting>
  <conditionalFormatting sqref="AO5">
    <cfRule type="expression" dxfId="67" priority="17">
      <formula>AO5=""</formula>
    </cfRule>
  </conditionalFormatting>
  <conditionalFormatting sqref="AP5">
    <cfRule type="expression" dxfId="66" priority="16">
      <formula>AP5=""</formula>
    </cfRule>
  </conditionalFormatting>
  <conditionalFormatting sqref="AB5">
    <cfRule type="expression" dxfId="65" priority="1">
      <formula>AB5=INDEX(L_LEAVE,5)</formula>
    </cfRule>
    <cfRule type="expression" dxfId="64" priority="2">
      <formula>AB5=INDEX(L_LEAVE,6)</formula>
    </cfRule>
    <cfRule type="expression" dxfId="63" priority="3">
      <formula>AB5=INDEX(L_LEAVE,5)</formula>
    </cfRule>
    <cfRule type="expression" dxfId="62" priority="4">
      <formula>AB5=INDEX(L_LEAVE,8)</formula>
    </cfRule>
    <cfRule type="expression" dxfId="61" priority="5">
      <formula>AB5=INDEX(L_LEAVE,4)</formula>
    </cfRule>
    <cfRule type="expression" dxfId="60" priority="6">
      <formula>AB5=INDEX(L_LEAVE,3)</formula>
    </cfRule>
    <cfRule type="expression" dxfId="59" priority="7">
      <formula>AB5=INDEX(L_LEAVE,2)</formula>
    </cfRule>
    <cfRule type="expression" dxfId="58" priority="8">
      <formula>AB5=INDEX(L_LEAVE,1)</formula>
    </cfRule>
    <cfRule type="expression" dxfId="57" priority="9">
      <formula>AB5="WKND"</formula>
    </cfRule>
    <cfRule type="expression" dxfId="56" priority="10">
      <formula>AB5="H"</formula>
    </cfRule>
    <cfRule type="expression" dxfId="55" priority="11">
      <formula>AB5="NA"</formula>
    </cfRule>
    <cfRule type="expression" dxfId="54" priority="12">
      <formula>AB5="NE"</formula>
    </cfRule>
  </conditionalFormatting>
  <dataValidations count="1">
    <dataValidation type="list" allowBlank="1" showInputMessage="1" showErrorMessage="1" sqref="B6" xr:uid="{2BCB91C9-BE6C-49FF-92B9-C2EA66B34873}">
      <formula1>L_EMPS</formula1>
    </dataValidation>
  </dataValidations>
  <pageMargins left="0.7" right="0.7" top="0.75" bottom="0.75" header="0.3" footer="0.3"/>
  <ignoredErrors>
    <ignoredError xmlns:x16r3="http://schemas.microsoft.com/office/spreadsheetml/2018/08/main" sqref="C10:AG10" x16r3:misleadingFormat="1"/>
    <ignoredError sqref="AQ8:AR8 AQ5:AR5 AQ3:AR3 AL3:AM3 AJ5:AM7 AJ8:AM8 AN5:AP5 AJ12 AR12 AK12:AQ23 AJ13:AJ23 AN8:AP8 AR6:AR7 AR15:AR23 AR13:AR1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ADB51-9CAB-4EFA-BF18-75D741301402}">
  <sheetPr codeName="Sheet3">
    <tabColor rgb="FF00B0F0"/>
  </sheetPr>
  <dimension ref="B1:N800"/>
  <sheetViews>
    <sheetView showGridLines="0" workbookViewId="0">
      <pane ySplit="3" topLeftCell="A4" activePane="bottomLeft" state="frozen"/>
      <selection pane="bottomLeft" activeCell="B766" sqref="B4:J766"/>
    </sheetView>
  </sheetViews>
  <sheetFormatPr defaultRowHeight="15" x14ac:dyDescent="0.25"/>
  <cols>
    <col min="1" max="1" width="3.140625" style="4" customWidth="1"/>
    <col min="2" max="2" width="15.7109375" style="4" bestFit="1" customWidth="1"/>
    <col min="3" max="3" width="18.140625" style="48" bestFit="1" customWidth="1"/>
    <col min="4" max="4" width="33.140625" style="48" bestFit="1" customWidth="1"/>
    <col min="5" max="5" width="19.28515625" style="4" bestFit="1" customWidth="1"/>
    <col min="6" max="6" width="8" style="49" bestFit="1" customWidth="1"/>
    <col min="7" max="7" width="53.85546875" style="4" bestFit="1" customWidth="1"/>
    <col min="8" max="8" width="15.7109375" style="4" bestFit="1" customWidth="1"/>
    <col min="9" max="9" width="10.7109375" style="4" bestFit="1" customWidth="1"/>
    <col min="10" max="10" width="27.85546875" style="4" bestFit="1" customWidth="1"/>
    <col min="11" max="11" width="31" style="48" bestFit="1" customWidth="1"/>
    <col min="12" max="12" width="12.140625" style="4" bestFit="1" customWidth="1"/>
    <col min="13" max="13" width="19.28515625" style="4" bestFit="1" customWidth="1"/>
    <col min="14" max="14" width="14.5703125" style="4" bestFit="1" customWidth="1"/>
    <col min="15" max="16384" width="9.140625" style="4"/>
  </cols>
  <sheetData>
    <row r="1" spans="2:14" s="1" customFormat="1" ht="60" customHeight="1" x14ac:dyDescent="0.25">
      <c r="B1" s="9"/>
      <c r="C1" s="43"/>
      <c r="D1" s="43"/>
      <c r="K1" s="43"/>
    </row>
    <row r="2" spans="2:14" customFormat="1" x14ac:dyDescent="0.25">
      <c r="B2" s="10" t="s">
        <v>1355</v>
      </c>
      <c r="C2" s="10" t="s">
        <v>1355</v>
      </c>
      <c r="D2" s="10" t="s">
        <v>1355</v>
      </c>
      <c r="E2" s="10" t="s">
        <v>1355</v>
      </c>
      <c r="F2" s="10"/>
      <c r="G2" s="10" t="s">
        <v>1355</v>
      </c>
      <c r="H2" s="10"/>
      <c r="I2" s="10" t="s">
        <v>1355</v>
      </c>
      <c r="J2" s="10" t="s">
        <v>1355</v>
      </c>
      <c r="K2" s="71"/>
    </row>
    <row r="3" spans="2:14" x14ac:dyDescent="0.25">
      <c r="B3" s="4" t="s">
        <v>108</v>
      </c>
      <c r="C3" s="48" t="s">
        <v>107</v>
      </c>
      <c r="D3" s="48" t="s">
        <v>18</v>
      </c>
      <c r="E3" s="4" t="s">
        <v>109</v>
      </c>
      <c r="F3" s="4" t="s">
        <v>110</v>
      </c>
      <c r="G3" s="4" t="s">
        <v>27</v>
      </c>
      <c r="H3" s="4" t="s">
        <v>111</v>
      </c>
      <c r="I3" s="4" t="s">
        <v>112</v>
      </c>
      <c r="J3" s="4" t="s">
        <v>86</v>
      </c>
      <c r="K3" s="72" t="s">
        <v>0</v>
      </c>
      <c r="L3" s="72" t="s">
        <v>23</v>
      </c>
      <c r="M3" s="68" t="s">
        <v>20</v>
      </c>
      <c r="N3" s="68" t="s">
        <v>47</v>
      </c>
    </row>
    <row r="4" spans="2:14" x14ac:dyDescent="0.25">
      <c r="B4" s="93">
        <v>43663</v>
      </c>
      <c r="C4" s="48" t="s">
        <v>495</v>
      </c>
      <c r="D4" s="48" t="s">
        <v>496</v>
      </c>
      <c r="E4" s="4" t="s">
        <v>89</v>
      </c>
      <c r="F4" s="49">
        <v>1</v>
      </c>
      <c r="G4" s="4" t="s">
        <v>497</v>
      </c>
      <c r="I4" s="4" t="s">
        <v>149</v>
      </c>
      <c r="K4" s="4" t="str">
        <f>IFERROR(LEFT(T_LEAVE[[#This Row],[EMPLOYEE NAME]],LEN(T_LEAVE[[#This Row],[EMPLOYEE NAME]])-3),"")</f>
        <v>FACTO, SHANICE</v>
      </c>
      <c r="L4" s="48">
        <f>IFERROR(DATEVALUE(TEXT(RIGHT(T_LEAVE[[#This Row],[LEAVE DATE]],LEN(T_LEAVE[[#This Row],[LEAVE DATE]])-6),"[$-en-US]d-mmm-yyyy;@")),"")</f>
        <v>43654</v>
      </c>
      <c r="M4" s="4" t="str">
        <f>IFERROR(TRIM(T_LEAVE[[#This Row],[TYPE]]),"")</f>
        <v>SICK LEAVE</v>
      </c>
      <c r="N4" s="69" t="str">
        <f>IFERROR(VLOOKUP(T_LEAVE[[#This Row],[LEAVE TYPE]],T_LEAVETYPE[#All],2,0),"")</f>
        <v>SL</v>
      </c>
    </row>
    <row r="5" spans="2:14" x14ac:dyDescent="0.25">
      <c r="B5" s="93">
        <v>43663</v>
      </c>
      <c r="C5" s="48" t="s">
        <v>498</v>
      </c>
      <c r="D5" s="48" t="s">
        <v>496</v>
      </c>
      <c r="E5" s="4" t="s">
        <v>89</v>
      </c>
      <c r="F5" s="49">
        <v>1</v>
      </c>
      <c r="G5" s="4" t="s">
        <v>497</v>
      </c>
      <c r="I5" s="4" t="s">
        <v>149</v>
      </c>
      <c r="K5" s="4" t="str">
        <f>IFERROR(LEFT(T_LEAVE[[#This Row],[EMPLOYEE NAME]],LEN(T_LEAVE[[#This Row],[EMPLOYEE NAME]])-3),"")</f>
        <v>FACTO, SHANICE</v>
      </c>
      <c r="L5" s="48">
        <f>IFERROR(DATEVALUE(TEXT(RIGHT(T_LEAVE[[#This Row],[LEAVE DATE]],LEN(T_LEAVE[[#This Row],[LEAVE DATE]])-6),"[$-en-US]d-mmm-yyyy;@")),"")</f>
        <v>43655</v>
      </c>
      <c r="M5" s="4" t="str">
        <f>IFERROR(TRIM(T_LEAVE[[#This Row],[TYPE]]),"")</f>
        <v>SICK LEAVE</v>
      </c>
      <c r="N5" s="69" t="str">
        <f>IFERROR(VLOOKUP(T_LEAVE[[#This Row],[LEAVE TYPE]],T_LEAVETYPE[#All],2,0),"")</f>
        <v>SL</v>
      </c>
    </row>
    <row r="6" spans="2:14" x14ac:dyDescent="0.25">
      <c r="B6" s="93">
        <v>43663</v>
      </c>
      <c r="C6" s="48" t="s">
        <v>499</v>
      </c>
      <c r="D6" s="48" t="s">
        <v>496</v>
      </c>
      <c r="E6" s="4" t="s">
        <v>89</v>
      </c>
      <c r="F6" s="49">
        <v>1</v>
      </c>
      <c r="G6" s="4" t="s">
        <v>497</v>
      </c>
      <c r="I6" s="4" t="s">
        <v>149</v>
      </c>
      <c r="K6" s="4" t="str">
        <f>IFERROR(LEFT(T_LEAVE[[#This Row],[EMPLOYEE NAME]],LEN(T_LEAVE[[#This Row],[EMPLOYEE NAME]])-3),"")</f>
        <v>FACTO, SHANICE</v>
      </c>
      <c r="L6" s="48">
        <f>IFERROR(DATEVALUE(TEXT(RIGHT(T_LEAVE[[#This Row],[LEAVE DATE]],LEN(T_LEAVE[[#This Row],[LEAVE DATE]])-6),"[$-en-US]d-mmm-yyyy;@")),"")</f>
        <v>43656</v>
      </c>
      <c r="M6" s="4" t="str">
        <f>IFERROR(TRIM(T_LEAVE[[#This Row],[TYPE]]),"")</f>
        <v>SICK LEAVE</v>
      </c>
      <c r="N6" s="69" t="str">
        <f>IFERROR(VLOOKUP(T_LEAVE[[#This Row],[LEAVE TYPE]],T_LEAVETYPE[#All],2,0),"")</f>
        <v>SL</v>
      </c>
    </row>
    <row r="7" spans="2:14" x14ac:dyDescent="0.25">
      <c r="B7" s="93">
        <v>43663</v>
      </c>
      <c r="C7" s="48" t="s">
        <v>500</v>
      </c>
      <c r="D7" s="48" t="s">
        <v>496</v>
      </c>
      <c r="E7" s="4" t="s">
        <v>88</v>
      </c>
      <c r="F7" s="49">
        <v>1</v>
      </c>
      <c r="G7" s="4" t="s">
        <v>501</v>
      </c>
      <c r="I7" s="4" t="s">
        <v>149</v>
      </c>
      <c r="K7" s="4" t="str">
        <f>IFERROR(LEFT(T_LEAVE[[#This Row],[EMPLOYEE NAME]],LEN(T_LEAVE[[#This Row],[EMPLOYEE NAME]])-3),"")</f>
        <v>FACTO, SHANICE</v>
      </c>
      <c r="L7" s="48">
        <f>IFERROR(DATEVALUE(TEXT(RIGHT(T_LEAVE[[#This Row],[LEAVE DATE]],LEN(T_LEAVE[[#This Row],[LEAVE DATE]])-6),"[$-en-US]d-mmm-yyyy;@")),"")</f>
        <v>43669</v>
      </c>
      <c r="M7" s="4" t="str">
        <f>IFERROR(TRIM(T_LEAVE[[#This Row],[TYPE]]),"")</f>
        <v>VACATION LEAVE</v>
      </c>
      <c r="N7" s="69" t="str">
        <f>IFERROR(VLOOKUP(T_LEAVE[[#This Row],[LEAVE TYPE]],T_LEAVETYPE[#All],2,0),"")</f>
        <v>VL</v>
      </c>
    </row>
    <row r="8" spans="2:14" x14ac:dyDescent="0.25">
      <c r="B8" s="93">
        <v>43663</v>
      </c>
      <c r="C8" s="48" t="s">
        <v>502</v>
      </c>
      <c r="D8" s="48" t="s">
        <v>496</v>
      </c>
      <c r="E8" s="4" t="s">
        <v>88</v>
      </c>
      <c r="F8" s="49">
        <v>1</v>
      </c>
      <c r="G8" s="4" t="s">
        <v>501</v>
      </c>
      <c r="I8" s="4" t="s">
        <v>149</v>
      </c>
      <c r="K8" s="4" t="str">
        <f>IFERROR(LEFT(T_LEAVE[[#This Row],[EMPLOYEE NAME]],LEN(T_LEAVE[[#This Row],[EMPLOYEE NAME]])-3),"")</f>
        <v>FACTO, SHANICE</v>
      </c>
      <c r="L8" s="48">
        <f>IFERROR(DATEVALUE(TEXT(RIGHT(T_LEAVE[[#This Row],[LEAVE DATE]],LEN(T_LEAVE[[#This Row],[LEAVE DATE]])-6),"[$-en-US]d-mmm-yyyy;@")),"")</f>
        <v>43670</v>
      </c>
      <c r="M8" s="4" t="str">
        <f>IFERROR(TRIM(T_LEAVE[[#This Row],[TYPE]]),"")</f>
        <v>VACATION LEAVE</v>
      </c>
      <c r="N8" s="69" t="str">
        <f>IFERROR(VLOOKUP(T_LEAVE[[#This Row],[LEAVE TYPE]],T_LEAVETYPE[#All],2,0),"")</f>
        <v>VL</v>
      </c>
    </row>
    <row r="9" spans="2:14" x14ac:dyDescent="0.25">
      <c r="B9" s="93">
        <v>43665</v>
      </c>
      <c r="C9" s="48" t="s">
        <v>776</v>
      </c>
      <c r="D9" s="48" t="s">
        <v>777</v>
      </c>
      <c r="E9" s="4" t="s">
        <v>88</v>
      </c>
      <c r="F9" s="49">
        <v>1</v>
      </c>
      <c r="G9" s="4" t="s">
        <v>233</v>
      </c>
      <c r="I9" s="4" t="s">
        <v>149</v>
      </c>
      <c r="K9" s="4" t="str">
        <f>IFERROR(LEFT(T_LEAVE[[#This Row],[EMPLOYEE NAME]],LEN(T_LEAVE[[#This Row],[EMPLOYEE NAME]])-3),"")</f>
        <v>MACALALAD, ANAMARIE</v>
      </c>
      <c r="L9" s="48">
        <f>IFERROR(DATEVALUE(TEXT(RIGHT(T_LEAVE[[#This Row],[LEAVE DATE]],LEN(T_LEAVE[[#This Row],[LEAVE DATE]])-6),"[$-en-US]d-mmm-yyyy;@")),"")</f>
        <v>43675</v>
      </c>
      <c r="M9" s="4" t="str">
        <f>IFERROR(TRIM(T_LEAVE[[#This Row],[TYPE]]),"")</f>
        <v>VACATION LEAVE</v>
      </c>
      <c r="N9" s="69" t="str">
        <f>IFERROR(VLOOKUP(T_LEAVE[[#This Row],[LEAVE TYPE]],T_LEAVETYPE[#All],2,0),"")</f>
        <v>VL</v>
      </c>
    </row>
    <row r="10" spans="2:14" x14ac:dyDescent="0.25">
      <c r="B10" s="93">
        <v>43666</v>
      </c>
      <c r="C10" s="48" t="s">
        <v>1123</v>
      </c>
      <c r="D10" s="48" t="s">
        <v>1124</v>
      </c>
      <c r="E10" s="4" t="s">
        <v>88</v>
      </c>
      <c r="F10" s="49">
        <v>1</v>
      </c>
      <c r="G10" s="4" t="s">
        <v>1125</v>
      </c>
      <c r="I10" s="4" t="s">
        <v>149</v>
      </c>
      <c r="K10" s="4" t="str">
        <f>IFERROR(LEFT(T_LEAVE[[#This Row],[EMPLOYEE NAME]],LEN(T_LEAVE[[#This Row],[EMPLOYEE NAME]])-3),"")</f>
        <v>VINO, KARLA LOU</v>
      </c>
      <c r="L10" s="48">
        <f>IFERROR(DATEVALUE(TEXT(RIGHT(T_LEAVE[[#This Row],[LEAVE DATE]],LEN(T_LEAVE[[#This Row],[LEAVE DATE]])-6),"[$-en-US]d-mmm-yyyy;@")),"")</f>
        <v>43667</v>
      </c>
      <c r="M10" s="4" t="str">
        <f>IFERROR(TRIM(T_LEAVE[[#This Row],[TYPE]]),"")</f>
        <v>VACATION LEAVE</v>
      </c>
      <c r="N10" s="69" t="str">
        <f>IFERROR(VLOOKUP(T_LEAVE[[#This Row],[LEAVE TYPE]],T_LEAVETYPE[#All],2,0),"")</f>
        <v>VL</v>
      </c>
    </row>
    <row r="11" spans="2:14" x14ac:dyDescent="0.25">
      <c r="B11" s="93">
        <v>43669</v>
      </c>
      <c r="C11" s="48" t="s">
        <v>1032</v>
      </c>
      <c r="D11" s="48" t="s">
        <v>1033</v>
      </c>
      <c r="E11" s="4" t="s">
        <v>89</v>
      </c>
      <c r="F11" s="49">
        <v>1</v>
      </c>
      <c r="G11" s="4" t="s">
        <v>1034</v>
      </c>
      <c r="I11" s="4" t="s">
        <v>149</v>
      </c>
      <c r="K11" s="4" t="str">
        <f>IFERROR(LEFT(T_LEAVE[[#This Row],[EMPLOYEE NAME]],LEN(T_LEAVE[[#This Row],[EMPLOYEE NAME]])-3),"")</f>
        <v>VALLADARES, ALLEN</v>
      </c>
      <c r="L11" s="48">
        <f>IFERROR(DATEVALUE(TEXT(RIGHT(T_LEAVE[[#This Row],[LEAVE DATE]],LEN(T_LEAVE[[#This Row],[LEAVE DATE]])-6),"[$-en-US]d-mmm-yyyy;@")),"")</f>
        <v>43668</v>
      </c>
      <c r="M11" s="4" t="str">
        <f>IFERROR(TRIM(T_LEAVE[[#This Row],[TYPE]]),"")</f>
        <v>SICK LEAVE</v>
      </c>
      <c r="N11" s="69" t="str">
        <f>IFERROR(VLOOKUP(T_LEAVE[[#This Row],[LEAVE TYPE]],T_LEAVETYPE[#All],2,0),"")</f>
        <v>SL</v>
      </c>
    </row>
    <row r="12" spans="2:14" x14ac:dyDescent="0.25">
      <c r="B12" s="93">
        <v>43670</v>
      </c>
      <c r="C12" s="48" t="s">
        <v>479</v>
      </c>
      <c r="D12" s="48" t="s">
        <v>480</v>
      </c>
      <c r="E12" s="4" t="s">
        <v>88</v>
      </c>
      <c r="F12" s="49">
        <v>1</v>
      </c>
      <c r="G12" s="4" t="s">
        <v>481</v>
      </c>
      <c r="I12" s="4" t="s">
        <v>149</v>
      </c>
      <c r="K12" s="4" t="str">
        <f>IFERROR(LEFT(T_LEAVE[[#This Row],[EMPLOYEE NAME]],LEN(T_LEAVE[[#This Row],[EMPLOYEE NAME]])-3),"")</f>
        <v>DELA CRUZ, R-JOHN</v>
      </c>
      <c r="L12" s="48">
        <f>IFERROR(DATEVALUE(TEXT(RIGHT(T_LEAVE[[#This Row],[LEAVE DATE]],LEN(T_LEAVE[[#This Row],[LEAVE DATE]])-6),"[$-en-US]d-mmm-yyyy;@")),"")</f>
        <v>43679</v>
      </c>
      <c r="M12" s="4" t="str">
        <f>IFERROR(TRIM(T_LEAVE[[#This Row],[TYPE]]),"")</f>
        <v>VACATION LEAVE</v>
      </c>
      <c r="N12" s="69" t="str">
        <f>IFERROR(VLOOKUP(T_LEAVE[[#This Row],[LEAVE TYPE]],T_LEAVETYPE[#All],2,0),"")</f>
        <v>VL</v>
      </c>
    </row>
    <row r="13" spans="2:14" x14ac:dyDescent="0.25">
      <c r="B13" s="93">
        <v>43670</v>
      </c>
      <c r="C13" s="48" t="s">
        <v>1130</v>
      </c>
      <c r="D13" s="48" t="s">
        <v>1131</v>
      </c>
      <c r="E13" s="4" t="s">
        <v>88</v>
      </c>
      <c r="F13" s="49">
        <v>1</v>
      </c>
      <c r="G13" s="4" t="s">
        <v>384</v>
      </c>
      <c r="I13" s="4" t="s">
        <v>149</v>
      </c>
      <c r="K13" s="4" t="str">
        <f>IFERROR(LEFT(T_LEAVE[[#This Row],[EMPLOYEE NAME]],LEN(T_LEAVE[[#This Row],[EMPLOYEE NAME]])-3),"")</f>
        <v>WAMBANGCO, JAN TOBEY</v>
      </c>
      <c r="L13" s="48">
        <f>IFERROR(DATEVALUE(TEXT(RIGHT(T_LEAVE[[#This Row],[LEAVE DATE]],LEN(T_LEAVE[[#This Row],[LEAVE DATE]])-6),"[$-en-US]d-mmm-yyyy;@")),"")</f>
        <v>43672</v>
      </c>
      <c r="M13" s="4" t="str">
        <f>IFERROR(TRIM(T_LEAVE[[#This Row],[TYPE]]),"")</f>
        <v>VACATION LEAVE</v>
      </c>
      <c r="N13" s="69" t="str">
        <f>IFERROR(VLOOKUP(T_LEAVE[[#This Row],[LEAVE TYPE]],T_LEAVETYPE[#All],2,0),"")</f>
        <v>VL</v>
      </c>
    </row>
    <row r="14" spans="2:14" x14ac:dyDescent="0.25">
      <c r="B14" s="93">
        <v>43671</v>
      </c>
      <c r="C14" s="48" t="s">
        <v>381</v>
      </c>
      <c r="D14" s="48" t="s">
        <v>382</v>
      </c>
      <c r="E14" s="4" t="s">
        <v>88</v>
      </c>
      <c r="F14" s="49">
        <v>1</v>
      </c>
      <c r="G14" s="4" t="s">
        <v>233</v>
      </c>
      <c r="I14" s="4" t="s">
        <v>149</v>
      </c>
      <c r="K14" s="4" t="str">
        <f>IFERROR(LEFT(T_LEAVE[[#This Row],[EMPLOYEE NAME]],LEN(T_LEAVE[[#This Row],[EMPLOYEE NAME]])-3),"")</f>
        <v>CONSTANTINO, IAN ARCHIMEDES</v>
      </c>
      <c r="L14" s="48">
        <f>IFERROR(DATEVALUE(TEXT(RIGHT(T_LEAVE[[#This Row],[LEAVE DATE]],LEN(T_LEAVE[[#This Row],[LEAVE DATE]])-6),"[$-en-US]d-mmm-yyyy;@")),"")</f>
        <v>43674</v>
      </c>
      <c r="M14" s="4" t="str">
        <f>IFERROR(TRIM(T_LEAVE[[#This Row],[TYPE]]),"")</f>
        <v>VACATION LEAVE</v>
      </c>
      <c r="N14" s="69" t="str">
        <f>IFERROR(VLOOKUP(T_LEAVE[[#This Row],[LEAVE TYPE]],T_LEAVETYPE[#All],2,0),"")</f>
        <v>VL</v>
      </c>
    </row>
    <row r="15" spans="2:14" x14ac:dyDescent="0.25">
      <c r="B15" s="93">
        <v>43671</v>
      </c>
      <c r="C15" s="48" t="s">
        <v>462</v>
      </c>
      <c r="D15" s="48" t="s">
        <v>463</v>
      </c>
      <c r="E15" s="4" t="s">
        <v>88</v>
      </c>
      <c r="F15" s="49">
        <v>1</v>
      </c>
      <c r="G15" s="4" t="s">
        <v>464</v>
      </c>
      <c r="I15" s="4" t="s">
        <v>149</v>
      </c>
      <c r="K15" s="4" t="str">
        <f>IFERROR(LEFT(T_LEAVE[[#This Row],[EMPLOYEE NAME]],LEN(T_LEAVE[[#This Row],[EMPLOYEE NAME]])-3),"")</f>
        <v>DEDEL, BRIAN KOBE</v>
      </c>
      <c r="L15" s="48">
        <f>IFERROR(DATEVALUE(TEXT(RIGHT(T_LEAVE[[#This Row],[LEAVE DATE]],LEN(T_LEAVE[[#This Row],[LEAVE DATE]])-6),"[$-en-US]d-mmm-yyyy;@")),"")</f>
        <v>43671</v>
      </c>
      <c r="M15" s="4" t="str">
        <f>IFERROR(TRIM(T_LEAVE[[#This Row],[TYPE]]),"")</f>
        <v>VACATION LEAVE</v>
      </c>
      <c r="N15" s="69" t="str">
        <f>IFERROR(VLOOKUP(T_LEAVE[[#This Row],[LEAVE TYPE]],T_LEAVETYPE[#All],2,0),"")</f>
        <v>VL</v>
      </c>
    </row>
    <row r="16" spans="2:14" x14ac:dyDescent="0.25">
      <c r="B16" s="93">
        <v>43671</v>
      </c>
      <c r="C16" s="48" t="s">
        <v>381</v>
      </c>
      <c r="D16" s="48" t="s">
        <v>558</v>
      </c>
      <c r="E16" s="4" t="s">
        <v>88</v>
      </c>
      <c r="F16" s="49">
        <v>1</v>
      </c>
      <c r="G16" s="4" t="s">
        <v>233</v>
      </c>
      <c r="I16" s="4" t="s">
        <v>149</v>
      </c>
      <c r="K16" s="4" t="str">
        <f>IFERROR(LEFT(T_LEAVE[[#This Row],[EMPLOYEE NAME]],LEN(T_LEAVE[[#This Row],[EMPLOYEE NAME]])-3),"")</f>
        <v>GONZALES, MA-ANNE</v>
      </c>
      <c r="L16" s="48">
        <f>IFERROR(DATEVALUE(TEXT(RIGHT(T_LEAVE[[#This Row],[LEAVE DATE]],LEN(T_LEAVE[[#This Row],[LEAVE DATE]])-6),"[$-en-US]d-mmm-yyyy;@")),"")</f>
        <v>43674</v>
      </c>
      <c r="M16" s="4" t="str">
        <f>IFERROR(TRIM(T_LEAVE[[#This Row],[TYPE]]),"")</f>
        <v>VACATION LEAVE</v>
      </c>
      <c r="N16" s="69" t="str">
        <f>IFERROR(VLOOKUP(T_LEAVE[[#This Row],[LEAVE TYPE]],T_LEAVETYPE[#All],2,0),"")</f>
        <v>VL</v>
      </c>
    </row>
    <row r="17" spans="2:14" x14ac:dyDescent="0.25">
      <c r="B17" s="93">
        <v>43674</v>
      </c>
      <c r="C17" s="48" t="s">
        <v>1003</v>
      </c>
      <c r="D17" s="48" t="s">
        <v>1004</v>
      </c>
      <c r="E17" s="4" t="s">
        <v>88</v>
      </c>
      <c r="F17" s="49">
        <v>1</v>
      </c>
      <c r="G17" s="4" t="s">
        <v>1005</v>
      </c>
      <c r="I17" s="4" t="s">
        <v>149</v>
      </c>
      <c r="K17" s="4" t="str">
        <f>IFERROR(LEFT(T_LEAVE[[#This Row],[EMPLOYEE NAME]],LEN(T_LEAVE[[#This Row],[EMPLOYEE NAME]])-3),"")</f>
        <v>VALENCIA, WINDSOR ROBERT</v>
      </c>
      <c r="L17" s="48">
        <f>IFERROR(DATEVALUE(TEXT(RIGHT(T_LEAVE[[#This Row],[LEAVE DATE]],LEN(T_LEAVE[[#This Row],[LEAVE DATE]])-6),"[$-en-US]d-mmm-yyyy;@")),"")</f>
        <v>43678</v>
      </c>
      <c r="M17" s="4" t="str">
        <f>IFERROR(TRIM(T_LEAVE[[#This Row],[TYPE]]),"")</f>
        <v>VACATION LEAVE</v>
      </c>
      <c r="N17" s="69" t="str">
        <f>IFERROR(VLOOKUP(T_LEAVE[[#This Row],[LEAVE TYPE]],T_LEAVETYPE[#All],2,0),"")</f>
        <v>VL</v>
      </c>
    </row>
    <row r="18" spans="2:14" x14ac:dyDescent="0.25">
      <c r="B18" s="93">
        <v>43678</v>
      </c>
      <c r="C18" s="48" t="s">
        <v>657</v>
      </c>
      <c r="D18" s="48" t="s">
        <v>691</v>
      </c>
      <c r="E18" s="4" t="s">
        <v>88</v>
      </c>
      <c r="F18" s="49">
        <v>1</v>
      </c>
      <c r="G18" s="4" t="s">
        <v>692</v>
      </c>
      <c r="I18" s="4" t="s">
        <v>149</v>
      </c>
      <c r="K18" s="4" t="str">
        <f>IFERROR(LEFT(T_LEAVE[[#This Row],[EMPLOYEE NAME]],LEN(T_LEAVE[[#This Row],[EMPLOYEE NAME]])-3),"")</f>
        <v>LATUGA, PHOEBE</v>
      </c>
      <c r="L18" s="48">
        <f>IFERROR(DATEVALUE(TEXT(RIGHT(T_LEAVE[[#This Row],[LEAVE DATE]],LEN(T_LEAVE[[#This Row],[LEAVE DATE]])-6),"[$-en-US]d-mmm-yyyy;@")),"")</f>
        <v>43683</v>
      </c>
      <c r="M18" s="4" t="str">
        <f>IFERROR(TRIM(T_LEAVE[[#This Row],[TYPE]]),"")</f>
        <v>VACATION LEAVE</v>
      </c>
      <c r="N18" s="69" t="str">
        <f>IFERROR(VLOOKUP(T_LEAVE[[#This Row],[LEAVE TYPE]],T_LEAVETYPE[#All],2,0),"")</f>
        <v>VL</v>
      </c>
    </row>
    <row r="19" spans="2:14" x14ac:dyDescent="0.25">
      <c r="B19" s="93">
        <v>43678</v>
      </c>
      <c r="C19" s="48" t="s">
        <v>693</v>
      </c>
      <c r="D19" s="48" t="s">
        <v>691</v>
      </c>
      <c r="E19" s="4" t="s">
        <v>88</v>
      </c>
      <c r="F19" s="49">
        <v>1</v>
      </c>
      <c r="G19" s="4" t="s">
        <v>692</v>
      </c>
      <c r="I19" s="4" t="s">
        <v>149</v>
      </c>
      <c r="K19" s="4" t="str">
        <f>IFERROR(LEFT(T_LEAVE[[#This Row],[EMPLOYEE NAME]],LEN(T_LEAVE[[#This Row],[EMPLOYEE NAME]])-3),"")</f>
        <v>LATUGA, PHOEBE</v>
      </c>
      <c r="L19" s="48">
        <f>IFERROR(DATEVALUE(TEXT(RIGHT(T_LEAVE[[#This Row],[LEAVE DATE]],LEN(T_LEAVE[[#This Row],[LEAVE DATE]])-6),"[$-en-US]d-mmm-yyyy;@")),"")</f>
        <v>43684</v>
      </c>
      <c r="M19" s="4" t="str">
        <f>IFERROR(TRIM(T_LEAVE[[#This Row],[TYPE]]),"")</f>
        <v>VACATION LEAVE</v>
      </c>
      <c r="N19" s="69" t="str">
        <f>IFERROR(VLOOKUP(T_LEAVE[[#This Row],[LEAVE TYPE]],T_LEAVETYPE[#All],2,0),"")</f>
        <v>VL</v>
      </c>
    </row>
    <row r="20" spans="2:14" x14ac:dyDescent="0.25">
      <c r="B20" s="93">
        <v>43678</v>
      </c>
      <c r="C20" s="48" t="s">
        <v>776</v>
      </c>
      <c r="D20" s="48" t="s">
        <v>939</v>
      </c>
      <c r="E20" s="4" t="s">
        <v>940</v>
      </c>
      <c r="F20" s="49">
        <v>1</v>
      </c>
      <c r="G20" s="4" t="s">
        <v>941</v>
      </c>
      <c r="I20" s="4" t="s">
        <v>149</v>
      </c>
      <c r="K20" s="4" t="str">
        <f>IFERROR(LEFT(T_LEAVE[[#This Row],[EMPLOYEE NAME]],LEN(T_LEAVE[[#This Row],[EMPLOYEE NAME]])-3),"")</f>
        <v>ROCA, SHARON</v>
      </c>
      <c r="L20" s="48">
        <f>IFERROR(DATEVALUE(TEXT(RIGHT(T_LEAVE[[#This Row],[LEAVE DATE]],LEN(T_LEAVE[[#This Row],[LEAVE DATE]])-6),"[$-en-US]d-mmm-yyyy;@")),"")</f>
        <v>43675</v>
      </c>
      <c r="M20" s="4" t="str">
        <f>IFERROR(TRIM(T_LEAVE[[#This Row],[TYPE]]),"")</f>
        <v>BIRTHDAY LEAVE</v>
      </c>
      <c r="N20" s="69" t="str">
        <f>IFERROR(VLOOKUP(T_LEAVE[[#This Row],[LEAVE TYPE]],T_LEAVETYPE[#All],2,0),"")</f>
        <v/>
      </c>
    </row>
    <row r="21" spans="2:14" x14ac:dyDescent="0.25">
      <c r="B21" s="93">
        <v>43680</v>
      </c>
      <c r="C21" s="48" t="s">
        <v>479</v>
      </c>
      <c r="D21" s="48" t="s">
        <v>655</v>
      </c>
      <c r="E21" s="4" t="s">
        <v>89</v>
      </c>
      <c r="F21" s="49">
        <v>1</v>
      </c>
      <c r="G21" s="4" t="s">
        <v>656</v>
      </c>
      <c r="I21" s="4" t="s">
        <v>149</v>
      </c>
      <c r="K21" s="4" t="str">
        <f>IFERROR(LEFT(T_LEAVE[[#This Row],[EMPLOYEE NAME]],LEN(T_LEAVE[[#This Row],[EMPLOYEE NAME]])-3),"")</f>
        <v>JUANILLO, ROELYN DELA PIZA</v>
      </c>
      <c r="L21" s="48">
        <f>IFERROR(DATEVALUE(TEXT(RIGHT(T_LEAVE[[#This Row],[LEAVE DATE]],LEN(T_LEAVE[[#This Row],[LEAVE DATE]])-6),"[$-en-US]d-mmm-yyyy;@")),"")</f>
        <v>43679</v>
      </c>
      <c r="M21" s="4" t="str">
        <f>IFERROR(TRIM(T_LEAVE[[#This Row],[TYPE]]),"")</f>
        <v>SICK LEAVE</v>
      </c>
      <c r="N21" s="69" t="str">
        <f>IFERROR(VLOOKUP(T_LEAVE[[#This Row],[LEAVE TYPE]],T_LEAVETYPE[#All],2,0),"")</f>
        <v>SL</v>
      </c>
    </row>
    <row r="22" spans="2:14" x14ac:dyDescent="0.25">
      <c r="B22" s="93">
        <v>43681</v>
      </c>
      <c r="C22" s="48" t="s">
        <v>383</v>
      </c>
      <c r="D22" s="48" t="s">
        <v>382</v>
      </c>
      <c r="E22" s="4" t="s">
        <v>88</v>
      </c>
      <c r="F22" s="49">
        <v>1</v>
      </c>
      <c r="G22" s="4" t="s">
        <v>384</v>
      </c>
      <c r="I22" s="4" t="s">
        <v>149</v>
      </c>
      <c r="K22" s="4" t="str">
        <f>IFERROR(LEFT(T_LEAVE[[#This Row],[EMPLOYEE NAME]],LEN(T_LEAVE[[#This Row],[EMPLOYEE NAME]])-3),"")</f>
        <v>CONSTANTINO, IAN ARCHIMEDES</v>
      </c>
      <c r="L22" s="48">
        <f>IFERROR(DATEVALUE(TEXT(RIGHT(T_LEAVE[[#This Row],[LEAVE DATE]],LEN(T_LEAVE[[#This Row],[LEAVE DATE]])-6),"[$-en-US]d-mmm-yyyy;@")),"")</f>
        <v>43687</v>
      </c>
      <c r="M22" s="4" t="str">
        <f>IFERROR(TRIM(T_LEAVE[[#This Row],[TYPE]]),"")</f>
        <v>VACATION LEAVE</v>
      </c>
      <c r="N22" s="69" t="str">
        <f>IFERROR(VLOOKUP(T_LEAVE[[#This Row],[LEAVE TYPE]],T_LEAVETYPE[#All],2,0),"")</f>
        <v>VL</v>
      </c>
    </row>
    <row r="23" spans="2:14" x14ac:dyDescent="0.25">
      <c r="B23" s="93">
        <v>43681</v>
      </c>
      <c r="C23" s="48" t="s">
        <v>385</v>
      </c>
      <c r="D23" s="48" t="s">
        <v>382</v>
      </c>
      <c r="E23" s="4" t="s">
        <v>88</v>
      </c>
      <c r="F23" s="49">
        <v>1</v>
      </c>
      <c r="G23" s="4" t="s">
        <v>386</v>
      </c>
      <c r="I23" s="4" t="s">
        <v>149</v>
      </c>
      <c r="K23" s="4" t="str">
        <f>IFERROR(LEFT(T_LEAVE[[#This Row],[EMPLOYEE NAME]],LEN(T_LEAVE[[#This Row],[EMPLOYEE NAME]])-3),"")</f>
        <v>CONSTANTINO, IAN ARCHIMEDES</v>
      </c>
      <c r="L23" s="48">
        <f>IFERROR(DATEVALUE(TEXT(RIGHT(T_LEAVE[[#This Row],[LEAVE DATE]],LEN(T_LEAVE[[#This Row],[LEAVE DATE]])-6),"[$-en-US]d-mmm-yyyy;@")),"")</f>
        <v>43694</v>
      </c>
      <c r="M23" s="4" t="str">
        <f>IFERROR(TRIM(T_LEAVE[[#This Row],[TYPE]]),"")</f>
        <v>VACATION LEAVE</v>
      </c>
      <c r="N23" s="69" t="str">
        <f>IFERROR(VLOOKUP(T_LEAVE[[#This Row],[LEAVE TYPE]],T_LEAVETYPE[#All],2,0),"")</f>
        <v>VL</v>
      </c>
    </row>
    <row r="24" spans="2:14" x14ac:dyDescent="0.25">
      <c r="B24" s="93">
        <v>43683</v>
      </c>
      <c r="C24" s="48" t="s">
        <v>578</v>
      </c>
      <c r="D24" s="48" t="s">
        <v>579</v>
      </c>
      <c r="E24" s="4" t="s">
        <v>88</v>
      </c>
      <c r="F24" s="49">
        <v>1</v>
      </c>
      <c r="G24" s="4" t="s">
        <v>501</v>
      </c>
      <c r="I24" s="4" t="s">
        <v>149</v>
      </c>
      <c r="K24" s="4" t="str">
        <f>IFERROR(LEFT(T_LEAVE[[#This Row],[EMPLOYEE NAME]],LEN(T_LEAVE[[#This Row],[EMPLOYEE NAME]])-3),"")</f>
        <v>GORDORA, AIREEN GRACE</v>
      </c>
      <c r="L24" s="48">
        <f>IFERROR(DATEVALUE(TEXT(RIGHT(T_LEAVE[[#This Row],[LEAVE DATE]],LEN(T_LEAVE[[#This Row],[LEAVE DATE]])-6),"[$-en-US]d-mmm-yyyy;@")),"")</f>
        <v>43689</v>
      </c>
      <c r="M24" s="4" t="str">
        <f>IFERROR(TRIM(T_LEAVE[[#This Row],[TYPE]]),"")</f>
        <v>VACATION LEAVE</v>
      </c>
      <c r="N24" s="69" t="str">
        <f>IFERROR(VLOOKUP(T_LEAVE[[#This Row],[LEAVE TYPE]],T_LEAVETYPE[#All],2,0),"")</f>
        <v>VL</v>
      </c>
    </row>
    <row r="25" spans="2:14" x14ac:dyDescent="0.25">
      <c r="B25" s="93">
        <v>43684</v>
      </c>
      <c r="C25" s="48" t="s">
        <v>212</v>
      </c>
      <c r="D25" s="48" t="s">
        <v>971</v>
      </c>
      <c r="E25" s="4" t="s">
        <v>88</v>
      </c>
      <c r="F25" s="49">
        <v>1</v>
      </c>
      <c r="G25" s="4" t="s">
        <v>972</v>
      </c>
      <c r="I25" s="4" t="s">
        <v>149</v>
      </c>
      <c r="K25" s="4" t="str">
        <f>IFERROR(LEFT(T_LEAVE[[#This Row],[EMPLOYEE NAME]],LEN(T_LEAVE[[#This Row],[EMPLOYEE NAME]])-3),"")</f>
        <v>TABIA, JENNIFER</v>
      </c>
      <c r="L25" s="48">
        <f>IFERROR(DATEVALUE(TEXT(RIGHT(T_LEAVE[[#This Row],[LEAVE DATE]],LEN(T_LEAVE[[#This Row],[LEAVE DATE]])-6),"[$-en-US]d-mmm-yyyy;@")),"")</f>
        <v>43693</v>
      </c>
      <c r="M25" s="4" t="str">
        <f>IFERROR(TRIM(T_LEAVE[[#This Row],[TYPE]]),"")</f>
        <v>VACATION LEAVE</v>
      </c>
      <c r="N25" s="69" t="str">
        <f>IFERROR(VLOOKUP(T_LEAVE[[#This Row],[LEAVE TYPE]],T_LEAVETYPE[#All],2,0),"")</f>
        <v>VL</v>
      </c>
    </row>
    <row r="26" spans="2:14" x14ac:dyDescent="0.25">
      <c r="B26" s="93">
        <v>43684</v>
      </c>
      <c r="C26" s="48" t="s">
        <v>385</v>
      </c>
      <c r="D26" s="48" t="s">
        <v>971</v>
      </c>
      <c r="E26" s="4" t="s">
        <v>88</v>
      </c>
      <c r="F26" s="49">
        <v>1</v>
      </c>
      <c r="G26" s="4" t="s">
        <v>972</v>
      </c>
      <c r="I26" s="4" t="s">
        <v>149</v>
      </c>
      <c r="K26" s="4" t="str">
        <f>IFERROR(LEFT(T_LEAVE[[#This Row],[EMPLOYEE NAME]],LEN(T_LEAVE[[#This Row],[EMPLOYEE NAME]])-3),"")</f>
        <v>TABIA, JENNIFER</v>
      </c>
      <c r="L26" s="48">
        <f>IFERROR(DATEVALUE(TEXT(RIGHT(T_LEAVE[[#This Row],[LEAVE DATE]],LEN(T_LEAVE[[#This Row],[LEAVE DATE]])-6),"[$-en-US]d-mmm-yyyy;@")),"")</f>
        <v>43694</v>
      </c>
      <c r="M26" s="4" t="str">
        <f>IFERROR(TRIM(T_LEAVE[[#This Row],[TYPE]]),"")</f>
        <v>VACATION LEAVE</v>
      </c>
      <c r="N26" s="69" t="str">
        <f>IFERROR(VLOOKUP(T_LEAVE[[#This Row],[LEAVE TYPE]],T_LEAVETYPE[#All],2,0),"")</f>
        <v>VL</v>
      </c>
    </row>
    <row r="27" spans="2:14" x14ac:dyDescent="0.25">
      <c r="B27" s="93">
        <v>43684</v>
      </c>
      <c r="C27" s="48" t="s">
        <v>210</v>
      </c>
      <c r="D27" s="48" t="s">
        <v>1064</v>
      </c>
      <c r="E27" s="4" t="s">
        <v>88</v>
      </c>
      <c r="F27" s="49">
        <v>1</v>
      </c>
      <c r="G27" s="4" t="s">
        <v>521</v>
      </c>
      <c r="I27" s="4" t="s">
        <v>149</v>
      </c>
      <c r="K27" s="4" t="str">
        <f>IFERROR(LEFT(T_LEAVE[[#This Row],[EMPLOYEE NAME]],LEN(T_LEAVE[[#This Row],[EMPLOYEE NAME]])-3),"")</f>
        <v>VIADO, DANAH LORRAINE</v>
      </c>
      <c r="L27" s="48">
        <f>IFERROR(DATEVALUE(TEXT(RIGHT(T_LEAVE[[#This Row],[LEAVE DATE]],LEN(T_LEAVE[[#This Row],[LEAVE DATE]])-6),"[$-en-US]d-mmm-yyyy;@")),"")</f>
        <v>43691</v>
      </c>
      <c r="M27" s="4" t="str">
        <f>IFERROR(TRIM(T_LEAVE[[#This Row],[TYPE]]),"")</f>
        <v>VACATION LEAVE</v>
      </c>
      <c r="N27" s="69" t="str">
        <f>IFERROR(VLOOKUP(T_LEAVE[[#This Row],[LEAVE TYPE]],T_LEAVETYPE[#All],2,0),"")</f>
        <v>VL</v>
      </c>
    </row>
    <row r="28" spans="2:14" x14ac:dyDescent="0.25">
      <c r="B28" s="93">
        <v>43684</v>
      </c>
      <c r="C28" s="48" t="s">
        <v>211</v>
      </c>
      <c r="D28" s="48" t="s">
        <v>1064</v>
      </c>
      <c r="E28" s="4" t="s">
        <v>88</v>
      </c>
      <c r="F28" s="49">
        <v>1</v>
      </c>
      <c r="G28" s="4" t="s">
        <v>521</v>
      </c>
      <c r="I28" s="4" t="s">
        <v>149</v>
      </c>
      <c r="K28" s="4" t="str">
        <f>IFERROR(LEFT(T_LEAVE[[#This Row],[EMPLOYEE NAME]],LEN(T_LEAVE[[#This Row],[EMPLOYEE NAME]])-3),"")</f>
        <v>VIADO, DANAH LORRAINE</v>
      </c>
      <c r="L28" s="48">
        <f>IFERROR(DATEVALUE(TEXT(RIGHT(T_LEAVE[[#This Row],[LEAVE DATE]],LEN(T_LEAVE[[#This Row],[LEAVE DATE]])-6),"[$-en-US]d-mmm-yyyy;@")),"")</f>
        <v>43692</v>
      </c>
      <c r="M28" s="4" t="str">
        <f>IFERROR(TRIM(T_LEAVE[[#This Row],[TYPE]]),"")</f>
        <v>VACATION LEAVE</v>
      </c>
      <c r="N28" s="69" t="str">
        <f>IFERROR(VLOOKUP(T_LEAVE[[#This Row],[LEAVE TYPE]],T_LEAVETYPE[#All],2,0),"")</f>
        <v>VL</v>
      </c>
    </row>
    <row r="29" spans="2:14" x14ac:dyDescent="0.25">
      <c r="B29" s="93">
        <v>43684</v>
      </c>
      <c r="C29" s="48" t="s">
        <v>212</v>
      </c>
      <c r="D29" s="48" t="s">
        <v>1064</v>
      </c>
      <c r="E29" s="4" t="s">
        <v>88</v>
      </c>
      <c r="F29" s="49">
        <v>1</v>
      </c>
      <c r="G29" s="4" t="s">
        <v>521</v>
      </c>
      <c r="I29" s="4" t="s">
        <v>149</v>
      </c>
      <c r="K29" s="4" t="str">
        <f>IFERROR(LEFT(T_LEAVE[[#This Row],[EMPLOYEE NAME]],LEN(T_LEAVE[[#This Row],[EMPLOYEE NAME]])-3),"")</f>
        <v>VIADO, DANAH LORRAINE</v>
      </c>
      <c r="L29" s="48">
        <f>IFERROR(DATEVALUE(TEXT(RIGHT(T_LEAVE[[#This Row],[LEAVE DATE]],LEN(T_LEAVE[[#This Row],[LEAVE DATE]])-6),"[$-en-US]d-mmm-yyyy;@")),"")</f>
        <v>43693</v>
      </c>
      <c r="M29" s="4" t="str">
        <f>IFERROR(TRIM(T_LEAVE[[#This Row],[TYPE]]),"")</f>
        <v>VACATION LEAVE</v>
      </c>
      <c r="N29" s="69" t="str">
        <f>IFERROR(VLOOKUP(T_LEAVE[[#This Row],[LEAVE TYPE]],T_LEAVETYPE[#All],2,0),"")</f>
        <v>VL</v>
      </c>
    </row>
    <row r="30" spans="2:14" x14ac:dyDescent="0.25">
      <c r="B30" s="93">
        <v>43684</v>
      </c>
      <c r="C30" s="48" t="s">
        <v>385</v>
      </c>
      <c r="D30" s="48" t="s">
        <v>1064</v>
      </c>
      <c r="E30" s="4" t="s">
        <v>88</v>
      </c>
      <c r="F30" s="49">
        <v>1</v>
      </c>
      <c r="G30" s="4" t="s">
        <v>521</v>
      </c>
      <c r="I30" s="4" t="s">
        <v>149</v>
      </c>
      <c r="K30" s="4" t="str">
        <f>IFERROR(LEFT(T_LEAVE[[#This Row],[EMPLOYEE NAME]],LEN(T_LEAVE[[#This Row],[EMPLOYEE NAME]])-3),"")</f>
        <v>VIADO, DANAH LORRAINE</v>
      </c>
      <c r="L30" s="48">
        <f>IFERROR(DATEVALUE(TEXT(RIGHT(T_LEAVE[[#This Row],[LEAVE DATE]],LEN(T_LEAVE[[#This Row],[LEAVE DATE]])-6),"[$-en-US]d-mmm-yyyy;@")),"")</f>
        <v>43694</v>
      </c>
      <c r="M30" s="4" t="str">
        <f>IFERROR(TRIM(T_LEAVE[[#This Row],[TYPE]]),"")</f>
        <v>VACATION LEAVE</v>
      </c>
      <c r="N30" s="69" t="str">
        <f>IFERROR(VLOOKUP(T_LEAVE[[#This Row],[LEAVE TYPE]],T_LEAVETYPE[#All],2,0),"")</f>
        <v>VL</v>
      </c>
    </row>
    <row r="31" spans="2:14" x14ac:dyDescent="0.25">
      <c r="B31" s="93">
        <v>43686</v>
      </c>
      <c r="C31" s="48" t="s">
        <v>657</v>
      </c>
      <c r="D31" s="48" t="s">
        <v>655</v>
      </c>
      <c r="E31" s="4" t="s">
        <v>89</v>
      </c>
      <c r="F31" s="49">
        <v>1</v>
      </c>
      <c r="G31" s="4" t="s">
        <v>230</v>
      </c>
      <c r="I31" s="4" t="s">
        <v>149</v>
      </c>
      <c r="K31" s="4" t="str">
        <f>IFERROR(LEFT(T_LEAVE[[#This Row],[EMPLOYEE NAME]],LEN(T_LEAVE[[#This Row],[EMPLOYEE NAME]])-3),"")</f>
        <v>JUANILLO, ROELYN DELA PIZA</v>
      </c>
      <c r="L31" s="48">
        <f>IFERROR(DATEVALUE(TEXT(RIGHT(T_LEAVE[[#This Row],[LEAVE DATE]],LEN(T_LEAVE[[#This Row],[LEAVE DATE]])-6),"[$-en-US]d-mmm-yyyy;@")),"")</f>
        <v>43683</v>
      </c>
      <c r="M31" s="4" t="str">
        <f>IFERROR(TRIM(T_LEAVE[[#This Row],[TYPE]]),"")</f>
        <v>SICK LEAVE</v>
      </c>
      <c r="N31" s="69" t="str">
        <f>IFERROR(VLOOKUP(T_LEAVE[[#This Row],[LEAVE TYPE]],T_LEAVETYPE[#All],2,0),"")</f>
        <v>SL</v>
      </c>
    </row>
    <row r="32" spans="2:14" x14ac:dyDescent="0.25">
      <c r="B32" s="93">
        <v>43686</v>
      </c>
      <c r="C32" s="48" t="s">
        <v>778</v>
      </c>
      <c r="D32" s="48" t="s">
        <v>777</v>
      </c>
      <c r="E32" s="4" t="s">
        <v>89</v>
      </c>
      <c r="F32" s="49">
        <v>1</v>
      </c>
      <c r="G32" s="4" t="s">
        <v>544</v>
      </c>
      <c r="I32" s="4" t="s">
        <v>149</v>
      </c>
      <c r="K32" s="4" t="str">
        <f>IFERROR(LEFT(T_LEAVE[[#This Row],[EMPLOYEE NAME]],LEN(T_LEAVE[[#This Row],[EMPLOYEE NAME]])-3),"")</f>
        <v>MACALALAD, ANAMARIE</v>
      </c>
      <c r="L32" s="48">
        <f>IFERROR(DATEVALUE(TEXT(RIGHT(T_LEAVE[[#This Row],[LEAVE DATE]],LEN(T_LEAVE[[#This Row],[LEAVE DATE]])-6),"[$-en-US]d-mmm-yyyy;@")),"")</f>
        <v>43676</v>
      </c>
      <c r="M32" s="4" t="str">
        <f>IFERROR(TRIM(T_LEAVE[[#This Row],[TYPE]]),"")</f>
        <v>SICK LEAVE</v>
      </c>
      <c r="N32" s="69" t="str">
        <f>IFERROR(VLOOKUP(T_LEAVE[[#This Row],[LEAVE TYPE]],T_LEAVETYPE[#All],2,0),"")</f>
        <v>SL</v>
      </c>
    </row>
    <row r="33" spans="2:14" x14ac:dyDescent="0.25">
      <c r="B33" s="93">
        <v>43686</v>
      </c>
      <c r="C33" s="48" t="s">
        <v>207</v>
      </c>
      <c r="D33" s="48" t="s">
        <v>989</v>
      </c>
      <c r="E33" s="4" t="s">
        <v>88</v>
      </c>
      <c r="F33" s="49">
        <v>1</v>
      </c>
      <c r="G33" s="4" t="s">
        <v>555</v>
      </c>
      <c r="I33" s="4" t="s">
        <v>149</v>
      </c>
      <c r="K33" s="4" t="str">
        <f>IFERROR(LEFT(T_LEAVE[[#This Row],[EMPLOYEE NAME]],LEN(T_LEAVE[[#This Row],[EMPLOYEE NAME]])-3),"")</f>
        <v>TABUNAN, LIZEL</v>
      </c>
      <c r="L33" s="48">
        <f>IFERROR(DATEVALUE(TEXT(RIGHT(T_LEAVE[[#This Row],[LEAVE DATE]],LEN(T_LEAVE[[#This Row],[LEAVE DATE]])-6),"[$-en-US]d-mmm-yyyy;@")),"")</f>
        <v>43690</v>
      </c>
      <c r="M33" s="4" t="str">
        <f>IFERROR(TRIM(T_LEAVE[[#This Row],[TYPE]]),"")</f>
        <v>VACATION LEAVE</v>
      </c>
      <c r="N33" s="69" t="str">
        <f>IFERROR(VLOOKUP(T_LEAVE[[#This Row],[LEAVE TYPE]],T_LEAVETYPE[#All],2,0),"")</f>
        <v>VL</v>
      </c>
    </row>
    <row r="34" spans="2:14" x14ac:dyDescent="0.25">
      <c r="B34" s="93">
        <v>43691</v>
      </c>
      <c r="C34" s="48" t="s">
        <v>146</v>
      </c>
      <c r="D34" s="48" t="s">
        <v>147</v>
      </c>
      <c r="E34" s="4" t="s">
        <v>88</v>
      </c>
      <c r="F34" s="49">
        <v>1</v>
      </c>
      <c r="G34" s="4" t="s">
        <v>148</v>
      </c>
      <c r="I34" s="4" t="s">
        <v>149</v>
      </c>
      <c r="K34" s="4" t="str">
        <f>IFERROR(LEFT(T_LEAVE[[#This Row],[EMPLOYEE NAME]],LEN(T_LEAVE[[#This Row],[EMPLOYEE NAME]])-3),"")</f>
        <v>ACOSTA, JOSEPH VAUGHN</v>
      </c>
      <c r="L34" s="48">
        <f>IFERROR(DATEVALUE(TEXT(RIGHT(T_LEAVE[[#This Row],[LEAVE DATE]],LEN(T_LEAVE[[#This Row],[LEAVE DATE]])-6),"[$-en-US]d-mmm-yyyy;@")),"")</f>
        <v>43701</v>
      </c>
      <c r="M34" s="4" t="str">
        <f>IFERROR(TRIM(T_LEAVE[[#This Row],[TYPE]]),"")</f>
        <v>VACATION LEAVE</v>
      </c>
      <c r="N34" s="4" t="str">
        <f>IFERROR(VLOOKUP(T_LEAVE[[#This Row],[LEAVE TYPE]],T_LEAVETYPE[#All],2,0),"")</f>
        <v>VL</v>
      </c>
    </row>
    <row r="35" spans="2:14" x14ac:dyDescent="0.25">
      <c r="B35" s="93">
        <v>43691</v>
      </c>
      <c r="C35" s="48" t="s">
        <v>150</v>
      </c>
      <c r="D35" s="48" t="s">
        <v>147</v>
      </c>
      <c r="E35" s="4" t="s">
        <v>88</v>
      </c>
      <c r="F35" s="49">
        <v>1</v>
      </c>
      <c r="G35" s="4" t="s">
        <v>148</v>
      </c>
      <c r="I35" s="4" t="s">
        <v>149</v>
      </c>
      <c r="K35" s="4" t="str">
        <f>IFERROR(LEFT(T_LEAVE[[#This Row],[EMPLOYEE NAME]],LEN(T_LEAVE[[#This Row],[EMPLOYEE NAME]])-3),"")</f>
        <v>ACOSTA, JOSEPH VAUGHN</v>
      </c>
      <c r="L35" s="48">
        <f>IFERROR(DATEVALUE(TEXT(RIGHT(T_LEAVE[[#This Row],[LEAVE DATE]],LEN(T_LEAVE[[#This Row],[LEAVE DATE]])-6),"[$-en-US]d-mmm-yyyy;@")),"")</f>
        <v>43702</v>
      </c>
      <c r="M35" s="4" t="str">
        <f>IFERROR(TRIM(T_LEAVE[[#This Row],[TYPE]]),"")</f>
        <v>VACATION LEAVE</v>
      </c>
      <c r="N35" s="4" t="str">
        <f>IFERROR(VLOOKUP(T_LEAVE[[#This Row],[LEAVE TYPE]],T_LEAVETYPE[#All],2,0),"")</f>
        <v>VL</v>
      </c>
    </row>
    <row r="36" spans="2:14" x14ac:dyDescent="0.25">
      <c r="B36" s="93">
        <v>43691</v>
      </c>
      <c r="C36" s="48" t="s">
        <v>420</v>
      </c>
      <c r="D36" s="48" t="s">
        <v>421</v>
      </c>
      <c r="E36" s="4" t="s">
        <v>88</v>
      </c>
      <c r="F36" s="49">
        <v>1</v>
      </c>
      <c r="G36" s="4" t="s">
        <v>422</v>
      </c>
      <c r="I36" s="4" t="s">
        <v>149</v>
      </c>
      <c r="K36" s="4" t="str">
        <f>IFERROR(LEFT(T_LEAVE[[#This Row],[EMPLOYEE NAME]],LEN(T_LEAVE[[#This Row],[EMPLOYEE NAME]])-3),"")</f>
        <v>DE LEON, JEFFREY</v>
      </c>
      <c r="L36" s="48">
        <f>IFERROR(DATEVALUE(TEXT(RIGHT(T_LEAVE[[#This Row],[LEAVE DATE]],LEN(T_LEAVE[[#This Row],[LEAVE DATE]])-6),"[$-en-US]d-mmm-yyyy;@")),"")</f>
        <v>43697</v>
      </c>
      <c r="M36" s="4" t="str">
        <f>IFERROR(TRIM(T_LEAVE[[#This Row],[TYPE]]),"")</f>
        <v>VACATION LEAVE</v>
      </c>
      <c r="N36" s="69" t="str">
        <f>IFERROR(VLOOKUP(T_LEAVE[[#This Row],[LEAVE TYPE]],T_LEAVETYPE[#All],2,0),"")</f>
        <v>VL</v>
      </c>
    </row>
    <row r="37" spans="2:14" x14ac:dyDescent="0.25">
      <c r="B37" s="93">
        <v>43691</v>
      </c>
      <c r="C37" s="48" t="s">
        <v>423</v>
      </c>
      <c r="D37" s="48" t="s">
        <v>421</v>
      </c>
      <c r="E37" s="4" t="s">
        <v>88</v>
      </c>
      <c r="F37" s="49">
        <v>1</v>
      </c>
      <c r="G37" s="4" t="s">
        <v>422</v>
      </c>
      <c r="I37" s="4" t="s">
        <v>149</v>
      </c>
      <c r="K37" s="4" t="str">
        <f>IFERROR(LEFT(T_LEAVE[[#This Row],[EMPLOYEE NAME]],LEN(T_LEAVE[[#This Row],[EMPLOYEE NAME]])-3),"")</f>
        <v>DE LEON, JEFFREY</v>
      </c>
      <c r="L37" s="48">
        <f>IFERROR(DATEVALUE(TEXT(RIGHT(T_LEAVE[[#This Row],[LEAVE DATE]],LEN(T_LEAVE[[#This Row],[LEAVE DATE]])-6),"[$-en-US]d-mmm-yyyy;@")),"")</f>
        <v>43698</v>
      </c>
      <c r="M37" s="4" t="str">
        <f>IFERROR(TRIM(T_LEAVE[[#This Row],[TYPE]]),"")</f>
        <v>VACATION LEAVE</v>
      </c>
      <c r="N37" s="69" t="str">
        <f>IFERROR(VLOOKUP(T_LEAVE[[#This Row],[LEAVE TYPE]],T_LEAVETYPE[#All],2,0),"")</f>
        <v>VL</v>
      </c>
    </row>
    <row r="38" spans="2:14" x14ac:dyDescent="0.25">
      <c r="B38" s="93">
        <v>43691</v>
      </c>
      <c r="C38" s="48" t="s">
        <v>146</v>
      </c>
      <c r="D38" s="48" t="s">
        <v>421</v>
      </c>
      <c r="E38" s="4" t="s">
        <v>88</v>
      </c>
      <c r="F38" s="49">
        <v>1</v>
      </c>
      <c r="G38" s="4" t="s">
        <v>422</v>
      </c>
      <c r="I38" s="4" t="s">
        <v>149</v>
      </c>
      <c r="K38" s="4" t="str">
        <f>IFERROR(LEFT(T_LEAVE[[#This Row],[EMPLOYEE NAME]],LEN(T_LEAVE[[#This Row],[EMPLOYEE NAME]])-3),"")</f>
        <v>DE LEON, JEFFREY</v>
      </c>
      <c r="L38" s="48">
        <f>IFERROR(DATEVALUE(TEXT(RIGHT(T_LEAVE[[#This Row],[LEAVE DATE]],LEN(T_LEAVE[[#This Row],[LEAVE DATE]])-6),"[$-en-US]d-mmm-yyyy;@")),"")</f>
        <v>43701</v>
      </c>
      <c r="M38" s="4" t="str">
        <f>IFERROR(TRIM(T_LEAVE[[#This Row],[TYPE]]),"")</f>
        <v>VACATION LEAVE</v>
      </c>
      <c r="N38" s="69" t="str">
        <f>IFERROR(VLOOKUP(T_LEAVE[[#This Row],[LEAVE TYPE]],T_LEAVETYPE[#All],2,0),"")</f>
        <v>VL</v>
      </c>
    </row>
    <row r="39" spans="2:14" x14ac:dyDescent="0.25">
      <c r="B39" s="93">
        <v>43691</v>
      </c>
      <c r="C39" s="48" t="s">
        <v>150</v>
      </c>
      <c r="D39" s="48" t="s">
        <v>421</v>
      </c>
      <c r="E39" s="4" t="s">
        <v>88</v>
      </c>
      <c r="F39" s="49">
        <v>1</v>
      </c>
      <c r="G39" s="4" t="s">
        <v>422</v>
      </c>
      <c r="I39" s="4" t="s">
        <v>149</v>
      </c>
      <c r="K39" s="4" t="str">
        <f>IFERROR(LEFT(T_LEAVE[[#This Row],[EMPLOYEE NAME]],LEN(T_LEAVE[[#This Row],[EMPLOYEE NAME]])-3),"")</f>
        <v>DE LEON, JEFFREY</v>
      </c>
      <c r="L39" s="48">
        <f>IFERROR(DATEVALUE(TEXT(RIGHT(T_LEAVE[[#This Row],[LEAVE DATE]],LEN(T_LEAVE[[#This Row],[LEAVE DATE]])-6),"[$-en-US]d-mmm-yyyy;@")),"")</f>
        <v>43702</v>
      </c>
      <c r="M39" s="4" t="str">
        <f>IFERROR(TRIM(T_LEAVE[[#This Row],[TYPE]]),"")</f>
        <v>VACATION LEAVE</v>
      </c>
      <c r="N39" s="69" t="str">
        <f>IFERROR(VLOOKUP(T_LEAVE[[#This Row],[LEAVE TYPE]],T_LEAVETYPE[#All],2,0),"")</f>
        <v>VL</v>
      </c>
    </row>
    <row r="40" spans="2:14" x14ac:dyDescent="0.25">
      <c r="B40" s="93">
        <v>43691</v>
      </c>
      <c r="C40" s="48" t="s">
        <v>424</v>
      </c>
      <c r="D40" s="48" t="s">
        <v>421</v>
      </c>
      <c r="E40" s="4" t="s">
        <v>88</v>
      </c>
      <c r="F40" s="49">
        <v>1</v>
      </c>
      <c r="G40" s="4" t="s">
        <v>422</v>
      </c>
      <c r="I40" s="4" t="s">
        <v>149</v>
      </c>
      <c r="K40" s="4" t="str">
        <f>IFERROR(LEFT(T_LEAVE[[#This Row],[EMPLOYEE NAME]],LEN(T_LEAVE[[#This Row],[EMPLOYEE NAME]])-3),"")</f>
        <v>DE LEON, JEFFREY</v>
      </c>
      <c r="L40" s="48">
        <f>IFERROR(DATEVALUE(TEXT(RIGHT(T_LEAVE[[#This Row],[LEAVE DATE]],LEN(T_LEAVE[[#This Row],[LEAVE DATE]])-6),"[$-en-US]d-mmm-yyyy;@")),"")</f>
        <v>43703</v>
      </c>
      <c r="M40" s="4" t="str">
        <f>IFERROR(TRIM(T_LEAVE[[#This Row],[TYPE]]),"")</f>
        <v>VACATION LEAVE</v>
      </c>
      <c r="N40" s="69" t="str">
        <f>IFERROR(VLOOKUP(T_LEAVE[[#This Row],[LEAVE TYPE]],T_LEAVETYPE[#All],2,0),"")</f>
        <v>VL</v>
      </c>
    </row>
    <row r="41" spans="2:14" x14ac:dyDescent="0.25">
      <c r="B41" s="93">
        <v>43691</v>
      </c>
      <c r="C41" s="48" t="s">
        <v>482</v>
      </c>
      <c r="D41" s="48" t="s">
        <v>480</v>
      </c>
      <c r="E41" s="4" t="s">
        <v>88</v>
      </c>
      <c r="F41" s="49">
        <v>1</v>
      </c>
      <c r="G41" s="4" t="s">
        <v>483</v>
      </c>
      <c r="I41" s="4" t="s">
        <v>149</v>
      </c>
      <c r="K41" s="4" t="str">
        <f>IFERROR(LEFT(T_LEAVE[[#This Row],[EMPLOYEE NAME]],LEN(T_LEAVE[[#This Row],[EMPLOYEE NAME]])-3),"")</f>
        <v>DELA CRUZ, R-JOHN</v>
      </c>
      <c r="L41" s="48">
        <f>IFERROR(DATEVALUE(TEXT(RIGHT(T_LEAVE[[#This Row],[LEAVE DATE]],LEN(T_LEAVE[[#This Row],[LEAVE DATE]])-6),"[$-en-US]d-mmm-yyyy;@")),"")</f>
        <v>43696</v>
      </c>
      <c r="M41" s="4" t="str">
        <f>IFERROR(TRIM(T_LEAVE[[#This Row],[TYPE]]),"")</f>
        <v>VACATION LEAVE</v>
      </c>
      <c r="N41" s="69" t="str">
        <f>IFERROR(VLOOKUP(T_LEAVE[[#This Row],[LEAVE TYPE]],T_LEAVETYPE[#All],2,0),"")</f>
        <v>VL</v>
      </c>
    </row>
    <row r="42" spans="2:14" x14ac:dyDescent="0.25">
      <c r="B42" s="93">
        <v>43691</v>
      </c>
      <c r="C42" s="48" t="s">
        <v>420</v>
      </c>
      <c r="D42" s="48" t="s">
        <v>480</v>
      </c>
      <c r="E42" s="4" t="s">
        <v>88</v>
      </c>
      <c r="F42" s="49">
        <v>1</v>
      </c>
      <c r="G42" s="4" t="s">
        <v>483</v>
      </c>
      <c r="I42" s="4" t="s">
        <v>149</v>
      </c>
      <c r="K42" s="4" t="str">
        <f>IFERROR(LEFT(T_LEAVE[[#This Row],[EMPLOYEE NAME]],LEN(T_LEAVE[[#This Row],[EMPLOYEE NAME]])-3),"")</f>
        <v>DELA CRUZ, R-JOHN</v>
      </c>
      <c r="L42" s="48">
        <f>IFERROR(DATEVALUE(TEXT(RIGHT(T_LEAVE[[#This Row],[LEAVE DATE]],LEN(T_LEAVE[[#This Row],[LEAVE DATE]])-6),"[$-en-US]d-mmm-yyyy;@")),"")</f>
        <v>43697</v>
      </c>
      <c r="M42" s="4" t="str">
        <f>IFERROR(TRIM(T_LEAVE[[#This Row],[TYPE]]),"")</f>
        <v>VACATION LEAVE</v>
      </c>
      <c r="N42" s="69" t="str">
        <f>IFERROR(VLOOKUP(T_LEAVE[[#This Row],[LEAVE TYPE]],T_LEAVETYPE[#All],2,0),"")</f>
        <v>VL</v>
      </c>
    </row>
    <row r="43" spans="2:14" x14ac:dyDescent="0.25">
      <c r="B43" s="93">
        <v>43691</v>
      </c>
      <c r="C43" s="48" t="s">
        <v>213</v>
      </c>
      <c r="D43" s="48" t="s">
        <v>517</v>
      </c>
      <c r="E43" s="4" t="s">
        <v>88</v>
      </c>
      <c r="F43" s="49">
        <v>1</v>
      </c>
      <c r="G43" s="4" t="s">
        <v>518</v>
      </c>
      <c r="I43" s="4" t="s">
        <v>149</v>
      </c>
      <c r="K43" s="4" t="str">
        <f>IFERROR(LEFT(T_LEAVE[[#This Row],[EMPLOYEE NAME]],LEN(T_LEAVE[[#This Row],[EMPLOYEE NAME]])-3),"")</f>
        <v>FESTEJO, ABIEL CAMBYSES</v>
      </c>
      <c r="L43" s="48">
        <f>IFERROR(DATEVALUE(TEXT(RIGHT(T_LEAVE[[#This Row],[LEAVE DATE]],LEN(T_LEAVE[[#This Row],[LEAVE DATE]])-6),"[$-en-US]d-mmm-yyyy;@")),"")</f>
        <v>43718</v>
      </c>
      <c r="M43" s="4" t="str">
        <f>IFERROR(TRIM(T_LEAVE[[#This Row],[TYPE]]),"")</f>
        <v>VACATION LEAVE</v>
      </c>
      <c r="N43" s="69" t="str">
        <f>IFERROR(VLOOKUP(T_LEAVE[[#This Row],[LEAVE TYPE]],T_LEAVETYPE[#All],2,0),"")</f>
        <v>VL</v>
      </c>
    </row>
    <row r="44" spans="2:14" x14ac:dyDescent="0.25">
      <c r="B44" s="93">
        <v>43691</v>
      </c>
      <c r="C44" s="48" t="s">
        <v>519</v>
      </c>
      <c r="D44" s="48" t="s">
        <v>517</v>
      </c>
      <c r="E44" s="4" t="s">
        <v>88</v>
      </c>
      <c r="F44" s="49">
        <v>1</v>
      </c>
      <c r="G44" s="4" t="s">
        <v>518</v>
      </c>
      <c r="I44" s="4" t="s">
        <v>149</v>
      </c>
      <c r="K44" s="4" t="str">
        <f>IFERROR(LEFT(T_LEAVE[[#This Row],[EMPLOYEE NAME]],LEN(T_LEAVE[[#This Row],[EMPLOYEE NAME]])-3),"")</f>
        <v>FESTEJO, ABIEL CAMBYSES</v>
      </c>
      <c r="L44" s="48">
        <f>IFERROR(DATEVALUE(TEXT(RIGHT(T_LEAVE[[#This Row],[LEAVE DATE]],LEN(T_LEAVE[[#This Row],[LEAVE DATE]])-6),"[$-en-US]d-mmm-yyyy;@")),"")</f>
        <v>43719</v>
      </c>
      <c r="M44" s="4" t="str">
        <f>IFERROR(TRIM(T_LEAVE[[#This Row],[TYPE]]),"")</f>
        <v>VACATION LEAVE</v>
      </c>
      <c r="N44" s="69" t="str">
        <f>IFERROR(VLOOKUP(T_LEAVE[[#This Row],[LEAVE TYPE]],T_LEAVETYPE[#All],2,0),"")</f>
        <v>VL</v>
      </c>
    </row>
    <row r="45" spans="2:14" x14ac:dyDescent="0.25">
      <c r="B45" s="93">
        <v>43691</v>
      </c>
      <c r="C45" s="48" t="s">
        <v>151</v>
      </c>
      <c r="D45" s="48" t="s">
        <v>541</v>
      </c>
      <c r="E45" s="4" t="s">
        <v>88</v>
      </c>
      <c r="F45" s="49">
        <v>1</v>
      </c>
      <c r="G45" s="4" t="s">
        <v>542</v>
      </c>
      <c r="I45" s="4" t="s">
        <v>149</v>
      </c>
      <c r="K45" s="4" t="str">
        <f>IFERROR(LEFT(T_LEAVE[[#This Row],[EMPLOYEE NAME]],LEN(T_LEAVE[[#This Row],[EMPLOYEE NAME]])-3),"")</f>
        <v>GARCINES, SHENALD</v>
      </c>
      <c r="L45" s="48">
        <f>IFERROR(DATEVALUE(TEXT(RIGHT(T_LEAVE[[#This Row],[LEAVE DATE]],LEN(T_LEAVE[[#This Row],[LEAVE DATE]])-6),"[$-en-US]d-mmm-yyyy;@")),"")</f>
        <v>43729</v>
      </c>
      <c r="M45" s="4" t="str">
        <f>IFERROR(TRIM(T_LEAVE[[#This Row],[TYPE]]),"")</f>
        <v>VACATION LEAVE</v>
      </c>
      <c r="N45" s="69" t="str">
        <f>IFERROR(VLOOKUP(T_LEAVE[[#This Row],[LEAVE TYPE]],T_LEAVETYPE[#All],2,0),"")</f>
        <v>VL</v>
      </c>
    </row>
    <row r="46" spans="2:14" x14ac:dyDescent="0.25">
      <c r="B46" s="93">
        <v>43691</v>
      </c>
      <c r="C46" s="48" t="s">
        <v>153</v>
      </c>
      <c r="D46" s="48" t="s">
        <v>541</v>
      </c>
      <c r="E46" s="4" t="s">
        <v>88</v>
      </c>
      <c r="F46" s="49">
        <v>1</v>
      </c>
      <c r="G46" s="4" t="s">
        <v>542</v>
      </c>
      <c r="I46" s="4" t="s">
        <v>149</v>
      </c>
      <c r="K46" s="4" t="str">
        <f>IFERROR(LEFT(T_LEAVE[[#This Row],[EMPLOYEE NAME]],LEN(T_LEAVE[[#This Row],[EMPLOYEE NAME]])-3),"")</f>
        <v>GARCINES, SHENALD</v>
      </c>
      <c r="L46" s="48">
        <f>IFERROR(DATEVALUE(TEXT(RIGHT(T_LEAVE[[#This Row],[LEAVE DATE]],LEN(T_LEAVE[[#This Row],[LEAVE DATE]])-6),"[$-en-US]d-mmm-yyyy;@")),"")</f>
        <v>43730</v>
      </c>
      <c r="M46" s="4" t="str">
        <f>IFERROR(TRIM(T_LEAVE[[#This Row],[TYPE]]),"")</f>
        <v>VACATION LEAVE</v>
      </c>
      <c r="N46" s="69" t="str">
        <f>IFERROR(VLOOKUP(T_LEAVE[[#This Row],[LEAVE TYPE]],T_LEAVETYPE[#All],2,0),"")</f>
        <v>VL</v>
      </c>
    </row>
    <row r="47" spans="2:14" x14ac:dyDescent="0.25">
      <c r="B47" s="93">
        <v>43691</v>
      </c>
      <c r="C47" s="48" t="s">
        <v>154</v>
      </c>
      <c r="D47" s="48" t="s">
        <v>541</v>
      </c>
      <c r="E47" s="4" t="s">
        <v>88</v>
      </c>
      <c r="F47" s="49">
        <v>1</v>
      </c>
      <c r="G47" s="4" t="s">
        <v>542</v>
      </c>
      <c r="I47" s="4" t="s">
        <v>149</v>
      </c>
      <c r="K47" s="4" t="str">
        <f>IFERROR(LEFT(T_LEAVE[[#This Row],[EMPLOYEE NAME]],LEN(T_LEAVE[[#This Row],[EMPLOYEE NAME]])-3),"")</f>
        <v>GARCINES, SHENALD</v>
      </c>
      <c r="L47" s="48">
        <f>IFERROR(DATEVALUE(TEXT(RIGHT(T_LEAVE[[#This Row],[LEAVE DATE]],LEN(T_LEAVE[[#This Row],[LEAVE DATE]])-6),"[$-en-US]d-mmm-yyyy;@")),"")</f>
        <v>43731</v>
      </c>
      <c r="M47" s="4" t="str">
        <f>IFERROR(TRIM(T_LEAVE[[#This Row],[TYPE]]),"")</f>
        <v>VACATION LEAVE</v>
      </c>
      <c r="N47" s="69" t="str">
        <f>IFERROR(VLOOKUP(T_LEAVE[[#This Row],[LEAVE TYPE]],T_LEAVETYPE[#All],2,0),"")</f>
        <v>VL</v>
      </c>
    </row>
    <row r="48" spans="2:14" x14ac:dyDescent="0.25">
      <c r="B48" s="93">
        <v>43691</v>
      </c>
      <c r="C48" s="48" t="s">
        <v>385</v>
      </c>
      <c r="D48" s="48" t="s">
        <v>558</v>
      </c>
      <c r="E48" s="4" t="s">
        <v>88</v>
      </c>
      <c r="F48" s="49">
        <v>1</v>
      </c>
      <c r="G48" s="4" t="s">
        <v>559</v>
      </c>
      <c r="I48" s="4" t="s">
        <v>149</v>
      </c>
      <c r="K48" s="4" t="str">
        <f>IFERROR(LEFT(T_LEAVE[[#This Row],[EMPLOYEE NAME]],LEN(T_LEAVE[[#This Row],[EMPLOYEE NAME]])-3),"")</f>
        <v>GONZALES, MA-ANNE</v>
      </c>
      <c r="L48" s="48">
        <f>IFERROR(DATEVALUE(TEXT(RIGHT(T_LEAVE[[#This Row],[LEAVE DATE]],LEN(T_LEAVE[[#This Row],[LEAVE DATE]])-6),"[$-en-US]d-mmm-yyyy;@")),"")</f>
        <v>43694</v>
      </c>
      <c r="M48" s="4" t="str">
        <f>IFERROR(TRIM(T_LEAVE[[#This Row],[TYPE]]),"")</f>
        <v>VACATION LEAVE</v>
      </c>
      <c r="N48" s="69" t="str">
        <f>IFERROR(VLOOKUP(T_LEAVE[[#This Row],[LEAVE TYPE]],T_LEAVETYPE[#All],2,0),"")</f>
        <v>VL</v>
      </c>
    </row>
    <row r="49" spans="2:14" x14ac:dyDescent="0.25">
      <c r="B49" s="93">
        <v>43691</v>
      </c>
      <c r="C49" s="48" t="s">
        <v>211</v>
      </c>
      <c r="D49" s="48" t="s">
        <v>629</v>
      </c>
      <c r="E49" s="4" t="s">
        <v>88</v>
      </c>
      <c r="F49" s="49">
        <v>1</v>
      </c>
      <c r="G49" s="4" t="s">
        <v>630</v>
      </c>
      <c r="I49" s="4" t="s">
        <v>149</v>
      </c>
      <c r="K49" s="4" t="str">
        <f>IFERROR(LEFT(T_LEAVE[[#This Row],[EMPLOYEE NAME]],LEN(T_LEAVE[[#This Row],[EMPLOYEE NAME]])-3),"")</f>
        <v>JAIME, JACYLYN</v>
      </c>
      <c r="L49" s="48">
        <f>IFERROR(DATEVALUE(TEXT(RIGHT(T_LEAVE[[#This Row],[LEAVE DATE]],LEN(T_LEAVE[[#This Row],[LEAVE DATE]])-6),"[$-en-US]d-mmm-yyyy;@")),"")</f>
        <v>43692</v>
      </c>
      <c r="M49" s="4" t="str">
        <f>IFERROR(TRIM(T_LEAVE[[#This Row],[TYPE]]),"")</f>
        <v>VACATION LEAVE</v>
      </c>
      <c r="N49" s="69" t="str">
        <f>IFERROR(VLOOKUP(T_LEAVE[[#This Row],[LEAVE TYPE]],T_LEAVETYPE[#All],2,0),"")</f>
        <v>VL</v>
      </c>
    </row>
    <row r="50" spans="2:14" x14ac:dyDescent="0.25">
      <c r="B50" s="93">
        <v>43691</v>
      </c>
      <c r="C50" s="48" t="s">
        <v>255</v>
      </c>
      <c r="D50" s="48" t="s">
        <v>847</v>
      </c>
      <c r="E50" s="4" t="s">
        <v>88</v>
      </c>
      <c r="F50" s="49">
        <v>1</v>
      </c>
      <c r="G50" s="4" t="s">
        <v>848</v>
      </c>
      <c r="I50" s="4" t="s">
        <v>149</v>
      </c>
      <c r="K50" s="4" t="str">
        <f>IFERROR(LEFT(T_LEAVE[[#This Row],[EMPLOYEE NAME]],LEN(T_LEAVE[[#This Row],[EMPLOYEE NAME]])-3),"")</f>
        <v>MATIGNAS, JAYDEE</v>
      </c>
      <c r="L50" s="48">
        <f>IFERROR(DATEVALUE(TEXT(RIGHT(T_LEAVE[[#This Row],[LEAVE DATE]],LEN(T_LEAVE[[#This Row],[LEAVE DATE]])-6),"[$-en-US]d-mmm-yyyy;@")),"")</f>
        <v>43704</v>
      </c>
      <c r="M50" s="4" t="str">
        <f>IFERROR(TRIM(T_LEAVE[[#This Row],[TYPE]]),"")</f>
        <v>VACATION LEAVE</v>
      </c>
      <c r="N50" s="69" t="str">
        <f>IFERROR(VLOOKUP(T_LEAVE[[#This Row],[LEAVE TYPE]],T_LEAVETYPE[#All],2,0),"")</f>
        <v>VL</v>
      </c>
    </row>
    <row r="51" spans="2:14" x14ac:dyDescent="0.25">
      <c r="B51" s="93">
        <v>43691</v>
      </c>
      <c r="C51" s="48" t="s">
        <v>849</v>
      </c>
      <c r="D51" s="48" t="s">
        <v>847</v>
      </c>
      <c r="E51" s="4" t="s">
        <v>88</v>
      </c>
      <c r="F51" s="49">
        <v>1</v>
      </c>
      <c r="G51" s="4" t="s">
        <v>848</v>
      </c>
      <c r="I51" s="4" t="s">
        <v>149</v>
      </c>
      <c r="K51" s="4" t="str">
        <f>IFERROR(LEFT(T_LEAVE[[#This Row],[EMPLOYEE NAME]],LEN(T_LEAVE[[#This Row],[EMPLOYEE NAME]])-3),"")</f>
        <v>MATIGNAS, JAYDEE</v>
      </c>
      <c r="L51" s="48">
        <f>IFERROR(DATEVALUE(TEXT(RIGHT(T_LEAVE[[#This Row],[LEAVE DATE]],LEN(T_LEAVE[[#This Row],[LEAVE DATE]])-6),"[$-en-US]d-mmm-yyyy;@")),"")</f>
        <v>43705</v>
      </c>
      <c r="M51" s="4" t="str">
        <f>IFERROR(TRIM(T_LEAVE[[#This Row],[TYPE]]),"")</f>
        <v>VACATION LEAVE</v>
      </c>
      <c r="N51" s="69" t="str">
        <f>IFERROR(VLOOKUP(T_LEAVE[[#This Row],[LEAVE TYPE]],T_LEAVETYPE[#All],2,0),"")</f>
        <v>VL</v>
      </c>
    </row>
    <row r="52" spans="2:14" x14ac:dyDescent="0.25">
      <c r="B52" s="93">
        <v>43691</v>
      </c>
      <c r="C52" s="48" t="s">
        <v>420</v>
      </c>
      <c r="D52" s="48" t="s">
        <v>950</v>
      </c>
      <c r="E52" s="4" t="s">
        <v>88</v>
      </c>
      <c r="F52" s="49">
        <v>1</v>
      </c>
      <c r="G52" s="4" t="s">
        <v>951</v>
      </c>
      <c r="I52" s="4" t="s">
        <v>149</v>
      </c>
      <c r="K52" s="4" t="str">
        <f>IFERROR(LEFT(T_LEAVE[[#This Row],[EMPLOYEE NAME]],LEN(T_LEAVE[[#This Row],[EMPLOYEE NAME]])-3),"")</f>
        <v>SANTOS, JERICK</v>
      </c>
      <c r="L52" s="48">
        <f>IFERROR(DATEVALUE(TEXT(RIGHT(T_LEAVE[[#This Row],[LEAVE DATE]],LEN(T_LEAVE[[#This Row],[LEAVE DATE]])-6),"[$-en-US]d-mmm-yyyy;@")),"")</f>
        <v>43697</v>
      </c>
      <c r="M52" s="4" t="str">
        <f>IFERROR(TRIM(T_LEAVE[[#This Row],[TYPE]]),"")</f>
        <v>VACATION LEAVE</v>
      </c>
      <c r="N52" s="69" t="str">
        <f>IFERROR(VLOOKUP(T_LEAVE[[#This Row],[LEAVE TYPE]],T_LEAVETYPE[#All],2,0),"")</f>
        <v>VL</v>
      </c>
    </row>
    <row r="53" spans="2:14" x14ac:dyDescent="0.25">
      <c r="B53" s="93">
        <v>43691</v>
      </c>
      <c r="C53" s="48" t="s">
        <v>560</v>
      </c>
      <c r="D53" s="48" t="s">
        <v>1004</v>
      </c>
      <c r="E53" s="4" t="s">
        <v>88</v>
      </c>
      <c r="F53" s="49">
        <v>1</v>
      </c>
      <c r="G53" s="4" t="s">
        <v>543</v>
      </c>
      <c r="I53" s="4" t="s">
        <v>149</v>
      </c>
      <c r="K53" s="4" t="str">
        <f>IFERROR(LEFT(T_LEAVE[[#This Row],[EMPLOYEE NAME]],LEN(T_LEAVE[[#This Row],[EMPLOYEE NAME]])-3),"")</f>
        <v>VALENCIA, WINDSOR ROBERT</v>
      </c>
      <c r="L53" s="48">
        <f>IFERROR(DATEVALUE(TEXT(RIGHT(T_LEAVE[[#This Row],[LEAVE DATE]],LEN(T_LEAVE[[#This Row],[LEAVE DATE]])-6),"[$-en-US]d-mmm-yyyy;@")),"")</f>
        <v>43695</v>
      </c>
      <c r="M53" s="4" t="str">
        <f>IFERROR(TRIM(T_LEAVE[[#This Row],[TYPE]]),"")</f>
        <v>VACATION LEAVE</v>
      </c>
      <c r="N53" s="69" t="str">
        <f>IFERROR(VLOOKUP(T_LEAVE[[#This Row],[LEAVE TYPE]],T_LEAVETYPE[#All],2,0),"")</f>
        <v>VL</v>
      </c>
    </row>
    <row r="54" spans="2:14" x14ac:dyDescent="0.25">
      <c r="B54" s="93">
        <v>43692</v>
      </c>
      <c r="C54" s="48" t="s">
        <v>255</v>
      </c>
      <c r="D54" s="48" t="s">
        <v>256</v>
      </c>
      <c r="E54" s="4" t="s">
        <v>88</v>
      </c>
      <c r="F54" s="49">
        <v>1</v>
      </c>
      <c r="G54" s="4" t="s">
        <v>257</v>
      </c>
      <c r="I54" s="4" t="s">
        <v>149</v>
      </c>
      <c r="K54" s="4" t="str">
        <f>IFERROR(LEFT(T_LEAVE[[#This Row],[EMPLOYEE NAME]],LEN(T_LEAVE[[#This Row],[EMPLOYEE NAME]])-3),"")</f>
        <v>BALICAS, IRISH ANN</v>
      </c>
      <c r="L54" s="48">
        <f>IFERROR(DATEVALUE(TEXT(RIGHT(T_LEAVE[[#This Row],[LEAVE DATE]],LEN(T_LEAVE[[#This Row],[LEAVE DATE]])-6),"[$-en-US]d-mmm-yyyy;@")),"")</f>
        <v>43704</v>
      </c>
      <c r="M54" s="4" t="str">
        <f>IFERROR(TRIM(T_LEAVE[[#This Row],[TYPE]]),"")</f>
        <v>VACATION LEAVE</v>
      </c>
      <c r="N54" s="69" t="str">
        <f>IFERROR(VLOOKUP(T_LEAVE[[#This Row],[LEAVE TYPE]],T_LEAVETYPE[#All],2,0),"")</f>
        <v>VL</v>
      </c>
    </row>
    <row r="55" spans="2:14" x14ac:dyDescent="0.25">
      <c r="B55" s="93">
        <v>43692</v>
      </c>
      <c r="C55" s="48" t="s">
        <v>258</v>
      </c>
      <c r="D55" s="48" t="s">
        <v>256</v>
      </c>
      <c r="E55" s="4" t="s">
        <v>88</v>
      </c>
      <c r="F55" s="49">
        <v>1</v>
      </c>
      <c r="G55" s="4" t="s">
        <v>257</v>
      </c>
      <c r="I55" s="4" t="s">
        <v>149</v>
      </c>
      <c r="K55" s="4" t="str">
        <f>IFERROR(LEFT(T_LEAVE[[#This Row],[EMPLOYEE NAME]],LEN(T_LEAVE[[#This Row],[EMPLOYEE NAME]])-3),"")</f>
        <v>BALICAS, IRISH ANN</v>
      </c>
      <c r="L55" s="48">
        <f>IFERROR(DATEVALUE(TEXT(RIGHT(T_LEAVE[[#This Row],[LEAVE DATE]],LEN(T_LEAVE[[#This Row],[LEAVE DATE]])-6),"[$-en-US]d-mmm-yyyy;@")),"")</f>
        <v>43724</v>
      </c>
      <c r="M55" s="4" t="str">
        <f>IFERROR(TRIM(T_LEAVE[[#This Row],[TYPE]]),"")</f>
        <v>VACATION LEAVE</v>
      </c>
      <c r="N55" s="69" t="str">
        <f>IFERROR(VLOOKUP(T_LEAVE[[#This Row],[LEAVE TYPE]],T_LEAVETYPE[#All],2,0),"")</f>
        <v>VL</v>
      </c>
    </row>
    <row r="56" spans="2:14" x14ac:dyDescent="0.25">
      <c r="B56" s="93">
        <v>43692</v>
      </c>
      <c r="C56" s="48" t="s">
        <v>259</v>
      </c>
      <c r="D56" s="48" t="s">
        <v>256</v>
      </c>
      <c r="E56" s="4" t="s">
        <v>88</v>
      </c>
      <c r="F56" s="49">
        <v>1</v>
      </c>
      <c r="G56" s="4" t="s">
        <v>257</v>
      </c>
      <c r="I56" s="4" t="s">
        <v>149</v>
      </c>
      <c r="K56" s="4" t="str">
        <f>IFERROR(LEFT(T_LEAVE[[#This Row],[EMPLOYEE NAME]],LEN(T_LEAVE[[#This Row],[EMPLOYEE NAME]])-3),"")</f>
        <v>BALICAS, IRISH ANN</v>
      </c>
      <c r="L56" s="48">
        <f>IFERROR(DATEVALUE(TEXT(RIGHT(T_LEAVE[[#This Row],[LEAVE DATE]],LEN(T_LEAVE[[#This Row],[LEAVE DATE]])-6),"[$-en-US]d-mmm-yyyy;@")),"")</f>
        <v>43725</v>
      </c>
      <c r="M56" s="4" t="str">
        <f>IFERROR(TRIM(T_LEAVE[[#This Row],[TYPE]]),"")</f>
        <v>VACATION LEAVE</v>
      </c>
      <c r="N56" s="69" t="str">
        <f>IFERROR(VLOOKUP(T_LEAVE[[#This Row],[LEAVE TYPE]],T_LEAVETYPE[#All],2,0),"")</f>
        <v>VL</v>
      </c>
    </row>
    <row r="57" spans="2:14" x14ac:dyDescent="0.25">
      <c r="B57" s="93">
        <v>43692</v>
      </c>
      <c r="C57" s="48" t="s">
        <v>260</v>
      </c>
      <c r="D57" s="48" t="s">
        <v>256</v>
      </c>
      <c r="E57" s="4" t="s">
        <v>88</v>
      </c>
      <c r="F57" s="49">
        <v>1</v>
      </c>
      <c r="G57" s="4" t="s">
        <v>257</v>
      </c>
      <c r="I57" s="4" t="s">
        <v>149</v>
      </c>
      <c r="K57" s="4" t="str">
        <f>IFERROR(LEFT(T_LEAVE[[#This Row],[EMPLOYEE NAME]],LEN(T_LEAVE[[#This Row],[EMPLOYEE NAME]])-3),"")</f>
        <v>BALICAS, IRISH ANN</v>
      </c>
      <c r="L57" s="48">
        <f>IFERROR(DATEVALUE(TEXT(RIGHT(T_LEAVE[[#This Row],[LEAVE DATE]],LEN(T_LEAVE[[#This Row],[LEAVE DATE]])-6),"[$-en-US]d-mmm-yyyy;@")),"")</f>
        <v>43726</v>
      </c>
      <c r="M57" s="4" t="str">
        <f>IFERROR(TRIM(T_LEAVE[[#This Row],[TYPE]]),"")</f>
        <v>VACATION LEAVE</v>
      </c>
      <c r="N57" s="69" t="str">
        <f>IFERROR(VLOOKUP(T_LEAVE[[#This Row],[LEAVE TYPE]],T_LEAVETYPE[#All],2,0),"")</f>
        <v>VL</v>
      </c>
    </row>
    <row r="58" spans="2:14" x14ac:dyDescent="0.25">
      <c r="B58" s="93">
        <v>43692</v>
      </c>
      <c r="C58" s="48" t="s">
        <v>212</v>
      </c>
      <c r="D58" s="48" t="s">
        <v>1124</v>
      </c>
      <c r="E58" s="4" t="s">
        <v>88</v>
      </c>
      <c r="F58" s="49">
        <v>1</v>
      </c>
      <c r="G58" s="4" t="s">
        <v>1126</v>
      </c>
      <c r="I58" s="4" t="s">
        <v>149</v>
      </c>
      <c r="K58" s="4" t="str">
        <f>IFERROR(LEFT(T_LEAVE[[#This Row],[EMPLOYEE NAME]],LEN(T_LEAVE[[#This Row],[EMPLOYEE NAME]])-3),"")</f>
        <v>VINO, KARLA LOU</v>
      </c>
      <c r="L58" s="48">
        <f>IFERROR(DATEVALUE(TEXT(RIGHT(T_LEAVE[[#This Row],[LEAVE DATE]],LEN(T_LEAVE[[#This Row],[LEAVE DATE]])-6),"[$-en-US]d-mmm-yyyy;@")),"")</f>
        <v>43693</v>
      </c>
      <c r="M58" s="4" t="str">
        <f>IFERROR(TRIM(T_LEAVE[[#This Row],[TYPE]]),"")</f>
        <v>VACATION LEAVE</v>
      </c>
      <c r="N58" s="69" t="str">
        <f>IFERROR(VLOOKUP(T_LEAVE[[#This Row],[LEAVE TYPE]],T_LEAVETYPE[#All],2,0),"")</f>
        <v>VL</v>
      </c>
    </row>
    <row r="59" spans="2:14" x14ac:dyDescent="0.25">
      <c r="B59" s="93">
        <v>43693</v>
      </c>
      <c r="C59" s="48" t="s">
        <v>385</v>
      </c>
      <c r="D59" s="48" t="s">
        <v>629</v>
      </c>
      <c r="E59" s="4" t="s">
        <v>88</v>
      </c>
      <c r="F59" s="49">
        <v>1</v>
      </c>
      <c r="G59" s="4" t="s">
        <v>631</v>
      </c>
      <c r="I59" s="4" t="s">
        <v>149</v>
      </c>
      <c r="K59" s="4" t="str">
        <f>IFERROR(LEFT(T_LEAVE[[#This Row],[EMPLOYEE NAME]],LEN(T_LEAVE[[#This Row],[EMPLOYEE NAME]])-3),"")</f>
        <v>JAIME, JACYLYN</v>
      </c>
      <c r="L59" s="48">
        <f>IFERROR(DATEVALUE(TEXT(RIGHT(T_LEAVE[[#This Row],[LEAVE DATE]],LEN(T_LEAVE[[#This Row],[LEAVE DATE]])-6),"[$-en-US]d-mmm-yyyy;@")),"")</f>
        <v>43694</v>
      </c>
      <c r="M59" s="4" t="str">
        <f>IFERROR(TRIM(T_LEAVE[[#This Row],[TYPE]]),"")</f>
        <v>VACATION LEAVE</v>
      </c>
      <c r="N59" s="69" t="str">
        <f>IFERROR(VLOOKUP(T_LEAVE[[#This Row],[LEAVE TYPE]],T_LEAVETYPE[#All],2,0),"")</f>
        <v>VL</v>
      </c>
    </row>
    <row r="60" spans="2:14" x14ac:dyDescent="0.25">
      <c r="B60" s="93">
        <v>43697</v>
      </c>
      <c r="C60" s="48" t="s">
        <v>207</v>
      </c>
      <c r="D60" s="48" t="s">
        <v>208</v>
      </c>
      <c r="E60" s="4" t="s">
        <v>89</v>
      </c>
      <c r="F60" s="49">
        <v>1</v>
      </c>
      <c r="G60" s="4" t="s">
        <v>209</v>
      </c>
      <c r="I60" s="4" t="s">
        <v>149</v>
      </c>
      <c r="K60" s="4" t="str">
        <f>IFERROR(LEFT(T_LEAVE[[#This Row],[EMPLOYEE NAME]],LEN(T_LEAVE[[#This Row],[EMPLOYEE NAME]])-3),"")</f>
        <v>AQUINO, RODEL</v>
      </c>
      <c r="L60" s="48">
        <f>IFERROR(DATEVALUE(TEXT(RIGHT(T_LEAVE[[#This Row],[LEAVE DATE]],LEN(T_LEAVE[[#This Row],[LEAVE DATE]])-6),"[$-en-US]d-mmm-yyyy;@")),"")</f>
        <v>43690</v>
      </c>
      <c r="M60" s="4" t="str">
        <f>IFERROR(TRIM(T_LEAVE[[#This Row],[TYPE]]),"")</f>
        <v>SICK LEAVE</v>
      </c>
      <c r="N60" s="4" t="str">
        <f>IFERROR(VLOOKUP(T_LEAVE[[#This Row],[LEAVE TYPE]],T_LEAVETYPE[#All],2,0),"")</f>
        <v>SL</v>
      </c>
    </row>
    <row r="61" spans="2:14" x14ac:dyDescent="0.25">
      <c r="B61" s="93">
        <v>43697</v>
      </c>
      <c r="C61" s="48" t="s">
        <v>210</v>
      </c>
      <c r="D61" s="48" t="s">
        <v>208</v>
      </c>
      <c r="E61" s="4" t="s">
        <v>89</v>
      </c>
      <c r="F61" s="49">
        <v>1</v>
      </c>
      <c r="G61" s="4" t="s">
        <v>209</v>
      </c>
      <c r="I61" s="4" t="s">
        <v>149</v>
      </c>
      <c r="K61" s="4" t="str">
        <f>IFERROR(LEFT(T_LEAVE[[#This Row],[EMPLOYEE NAME]],LEN(T_LEAVE[[#This Row],[EMPLOYEE NAME]])-3),"")</f>
        <v>AQUINO, RODEL</v>
      </c>
      <c r="L61" s="48">
        <f>IFERROR(DATEVALUE(TEXT(RIGHT(T_LEAVE[[#This Row],[LEAVE DATE]],LEN(T_LEAVE[[#This Row],[LEAVE DATE]])-6),"[$-en-US]d-mmm-yyyy;@")),"")</f>
        <v>43691</v>
      </c>
      <c r="M61" s="4" t="str">
        <f>IFERROR(TRIM(T_LEAVE[[#This Row],[TYPE]]),"")</f>
        <v>SICK LEAVE</v>
      </c>
      <c r="N61" s="4" t="str">
        <f>IFERROR(VLOOKUP(T_LEAVE[[#This Row],[LEAVE TYPE]],T_LEAVETYPE[#All],2,0),"")</f>
        <v>SL</v>
      </c>
    </row>
    <row r="62" spans="2:14" x14ac:dyDescent="0.25">
      <c r="B62" s="93">
        <v>43697</v>
      </c>
      <c r="C62" s="48" t="s">
        <v>211</v>
      </c>
      <c r="D62" s="48" t="s">
        <v>208</v>
      </c>
      <c r="E62" s="4" t="s">
        <v>89</v>
      </c>
      <c r="F62" s="49">
        <v>1</v>
      </c>
      <c r="G62" s="4" t="s">
        <v>209</v>
      </c>
      <c r="I62" s="4" t="s">
        <v>149</v>
      </c>
      <c r="K62" s="4" t="str">
        <f>IFERROR(LEFT(T_LEAVE[[#This Row],[EMPLOYEE NAME]],LEN(T_LEAVE[[#This Row],[EMPLOYEE NAME]])-3),"")</f>
        <v>AQUINO, RODEL</v>
      </c>
      <c r="L62" s="48">
        <f>IFERROR(DATEVALUE(TEXT(RIGHT(T_LEAVE[[#This Row],[LEAVE DATE]],LEN(T_LEAVE[[#This Row],[LEAVE DATE]])-6),"[$-en-US]d-mmm-yyyy;@")),"")</f>
        <v>43692</v>
      </c>
      <c r="M62" s="4" t="str">
        <f>IFERROR(TRIM(T_LEAVE[[#This Row],[TYPE]]),"")</f>
        <v>SICK LEAVE</v>
      </c>
      <c r="N62" s="4" t="str">
        <f>IFERROR(VLOOKUP(T_LEAVE[[#This Row],[LEAVE TYPE]],T_LEAVETYPE[#All],2,0),"")</f>
        <v>SL</v>
      </c>
    </row>
    <row r="63" spans="2:14" x14ac:dyDescent="0.25">
      <c r="B63" s="93">
        <v>43697</v>
      </c>
      <c r="C63" s="48" t="s">
        <v>212</v>
      </c>
      <c r="D63" s="48" t="s">
        <v>208</v>
      </c>
      <c r="E63" s="4" t="s">
        <v>89</v>
      </c>
      <c r="F63" s="49">
        <v>1</v>
      </c>
      <c r="G63" s="4" t="s">
        <v>209</v>
      </c>
      <c r="I63" s="4" t="s">
        <v>149</v>
      </c>
      <c r="K63" s="4" t="str">
        <f>IFERROR(LEFT(T_LEAVE[[#This Row],[EMPLOYEE NAME]],LEN(T_LEAVE[[#This Row],[EMPLOYEE NAME]])-3),"")</f>
        <v>AQUINO, RODEL</v>
      </c>
      <c r="L63" s="48">
        <f>IFERROR(DATEVALUE(TEXT(RIGHT(T_LEAVE[[#This Row],[LEAVE DATE]],LEN(T_LEAVE[[#This Row],[LEAVE DATE]])-6),"[$-en-US]d-mmm-yyyy;@")),"")</f>
        <v>43693</v>
      </c>
      <c r="M63" s="4" t="str">
        <f>IFERROR(TRIM(T_LEAVE[[#This Row],[TYPE]]),"")</f>
        <v>SICK LEAVE</v>
      </c>
      <c r="N63" s="4" t="str">
        <f>IFERROR(VLOOKUP(T_LEAVE[[#This Row],[LEAVE TYPE]],T_LEAVETYPE[#All],2,0),"")</f>
        <v>SL</v>
      </c>
    </row>
    <row r="64" spans="2:14" x14ac:dyDescent="0.25">
      <c r="B64" s="93">
        <v>43697</v>
      </c>
      <c r="C64" s="48" t="s">
        <v>601</v>
      </c>
      <c r="D64" s="48" t="s">
        <v>602</v>
      </c>
      <c r="E64" s="4" t="s">
        <v>88</v>
      </c>
      <c r="F64" s="49">
        <v>1</v>
      </c>
      <c r="G64" s="4" t="s">
        <v>603</v>
      </c>
      <c r="I64" s="4" t="s">
        <v>149</v>
      </c>
      <c r="K64" s="4" t="str">
        <f>IFERROR(LEFT(T_LEAVE[[#This Row],[EMPLOYEE NAME]],LEN(T_LEAVE[[#This Row],[EMPLOYEE NAME]])-3),"")</f>
        <v>HIPOLITO, JOYCE ANN KENETH</v>
      </c>
      <c r="L64" s="48">
        <f>IFERROR(DATEVALUE(TEXT(RIGHT(T_LEAVE[[#This Row],[LEAVE DATE]],LEN(T_LEAVE[[#This Row],[LEAVE DATE]])-6),"[$-en-US]d-mmm-yyyy;@")),"")</f>
        <v>43714</v>
      </c>
      <c r="M64" s="4" t="str">
        <f>IFERROR(TRIM(T_LEAVE[[#This Row],[TYPE]]),"")</f>
        <v>VACATION LEAVE</v>
      </c>
      <c r="N64" s="69" t="str">
        <f>IFERROR(VLOOKUP(T_LEAVE[[#This Row],[LEAVE TYPE]],T_LEAVETYPE[#All],2,0),"")</f>
        <v>VL</v>
      </c>
    </row>
    <row r="65" spans="2:14" x14ac:dyDescent="0.25">
      <c r="B65" s="93">
        <v>43697</v>
      </c>
      <c r="C65" s="48" t="s">
        <v>212</v>
      </c>
      <c r="D65" s="48" t="s">
        <v>777</v>
      </c>
      <c r="E65" s="4" t="s">
        <v>89</v>
      </c>
      <c r="F65" s="49">
        <v>1</v>
      </c>
      <c r="G65" s="4" t="s">
        <v>779</v>
      </c>
      <c r="I65" s="4" t="s">
        <v>149</v>
      </c>
      <c r="K65" s="4" t="str">
        <f>IFERROR(LEFT(T_LEAVE[[#This Row],[EMPLOYEE NAME]],LEN(T_LEAVE[[#This Row],[EMPLOYEE NAME]])-3),"")</f>
        <v>MACALALAD, ANAMARIE</v>
      </c>
      <c r="L65" s="48">
        <f>IFERROR(DATEVALUE(TEXT(RIGHT(T_LEAVE[[#This Row],[LEAVE DATE]],LEN(T_LEAVE[[#This Row],[LEAVE DATE]])-6),"[$-en-US]d-mmm-yyyy;@")),"")</f>
        <v>43693</v>
      </c>
      <c r="M65" s="4" t="str">
        <f>IFERROR(TRIM(T_LEAVE[[#This Row],[TYPE]]),"")</f>
        <v>SICK LEAVE</v>
      </c>
      <c r="N65" s="69" t="str">
        <f>IFERROR(VLOOKUP(T_LEAVE[[#This Row],[LEAVE TYPE]],T_LEAVETYPE[#All],2,0),"")</f>
        <v>SL</v>
      </c>
    </row>
    <row r="66" spans="2:14" x14ac:dyDescent="0.25">
      <c r="B66" s="93">
        <v>43697</v>
      </c>
      <c r="C66" s="48" t="s">
        <v>212</v>
      </c>
      <c r="D66" s="48" t="s">
        <v>989</v>
      </c>
      <c r="E66" s="4" t="s">
        <v>89</v>
      </c>
      <c r="F66" s="49">
        <v>1</v>
      </c>
      <c r="G66" s="4" t="s">
        <v>205</v>
      </c>
      <c r="I66" s="4" t="s">
        <v>149</v>
      </c>
      <c r="K66" s="4" t="str">
        <f>IFERROR(LEFT(T_LEAVE[[#This Row],[EMPLOYEE NAME]],LEN(T_LEAVE[[#This Row],[EMPLOYEE NAME]])-3),"")</f>
        <v>TABUNAN, LIZEL</v>
      </c>
      <c r="L66" s="48">
        <f>IFERROR(DATEVALUE(TEXT(RIGHT(T_LEAVE[[#This Row],[LEAVE DATE]],LEN(T_LEAVE[[#This Row],[LEAVE DATE]])-6),"[$-en-US]d-mmm-yyyy;@")),"")</f>
        <v>43693</v>
      </c>
      <c r="M66" s="4" t="str">
        <f>IFERROR(TRIM(T_LEAVE[[#This Row],[TYPE]]),"")</f>
        <v>SICK LEAVE</v>
      </c>
      <c r="N66" s="69" t="str">
        <f>IFERROR(VLOOKUP(T_LEAVE[[#This Row],[LEAVE TYPE]],T_LEAVETYPE[#All],2,0),"")</f>
        <v>SL</v>
      </c>
    </row>
    <row r="67" spans="2:14" x14ac:dyDescent="0.25">
      <c r="B67" s="93">
        <v>43698</v>
      </c>
      <c r="C67" s="48" t="s">
        <v>560</v>
      </c>
      <c r="D67" s="48" t="s">
        <v>558</v>
      </c>
      <c r="E67" s="4" t="s">
        <v>89</v>
      </c>
      <c r="F67" s="49">
        <v>1</v>
      </c>
      <c r="G67" s="4" t="s">
        <v>561</v>
      </c>
      <c r="I67" s="4" t="s">
        <v>149</v>
      </c>
      <c r="K67" s="4" t="str">
        <f>IFERROR(LEFT(T_LEAVE[[#This Row],[EMPLOYEE NAME]],LEN(T_LEAVE[[#This Row],[EMPLOYEE NAME]])-3),"")</f>
        <v>GONZALES, MA-ANNE</v>
      </c>
      <c r="L67" s="48">
        <f>IFERROR(DATEVALUE(TEXT(RIGHT(T_LEAVE[[#This Row],[LEAVE DATE]],LEN(T_LEAVE[[#This Row],[LEAVE DATE]])-6),"[$-en-US]d-mmm-yyyy;@")),"")</f>
        <v>43695</v>
      </c>
      <c r="M67" s="4" t="str">
        <f>IFERROR(TRIM(T_LEAVE[[#This Row],[TYPE]]),"")</f>
        <v>SICK LEAVE</v>
      </c>
      <c r="N67" s="69" t="str">
        <f>IFERROR(VLOOKUP(T_LEAVE[[#This Row],[LEAVE TYPE]],T_LEAVETYPE[#All],2,0),"")</f>
        <v>SL</v>
      </c>
    </row>
    <row r="68" spans="2:14" x14ac:dyDescent="0.25">
      <c r="B68" s="93">
        <v>43698</v>
      </c>
      <c r="C68" s="48" t="s">
        <v>632</v>
      </c>
      <c r="D68" s="48" t="s">
        <v>629</v>
      </c>
      <c r="E68" s="4" t="s">
        <v>88</v>
      </c>
      <c r="F68" s="49">
        <v>1</v>
      </c>
      <c r="G68" s="4" t="s">
        <v>633</v>
      </c>
      <c r="I68" s="4" t="s">
        <v>149</v>
      </c>
      <c r="K68" s="4" t="str">
        <f>IFERROR(LEFT(T_LEAVE[[#This Row],[EMPLOYEE NAME]],LEN(T_LEAVE[[#This Row],[EMPLOYEE NAME]])-3),"")</f>
        <v>JAIME, JACYLYN</v>
      </c>
      <c r="L68" s="48">
        <f>IFERROR(DATEVALUE(TEXT(RIGHT(T_LEAVE[[#This Row],[LEAVE DATE]],LEN(T_LEAVE[[#This Row],[LEAVE DATE]])-6),"[$-en-US]d-mmm-yyyy;@")),"")</f>
        <v>43700</v>
      </c>
      <c r="M68" s="4" t="str">
        <f>IFERROR(TRIM(T_LEAVE[[#This Row],[TYPE]]),"")</f>
        <v>VACATION LEAVE</v>
      </c>
      <c r="N68" s="69" t="str">
        <f>IFERROR(VLOOKUP(T_LEAVE[[#This Row],[LEAVE TYPE]],T_LEAVETYPE[#All],2,0),"")</f>
        <v>VL</v>
      </c>
    </row>
    <row r="69" spans="2:14" x14ac:dyDescent="0.25">
      <c r="B69" s="93">
        <v>43698</v>
      </c>
      <c r="C69" s="48" t="s">
        <v>146</v>
      </c>
      <c r="D69" s="48" t="s">
        <v>629</v>
      </c>
      <c r="E69" s="4" t="s">
        <v>88</v>
      </c>
      <c r="F69" s="49">
        <v>1</v>
      </c>
      <c r="G69" s="4" t="s">
        <v>633</v>
      </c>
      <c r="I69" s="4" t="s">
        <v>149</v>
      </c>
      <c r="K69" s="4" t="str">
        <f>IFERROR(LEFT(T_LEAVE[[#This Row],[EMPLOYEE NAME]],LEN(T_LEAVE[[#This Row],[EMPLOYEE NAME]])-3),"")</f>
        <v>JAIME, JACYLYN</v>
      </c>
      <c r="L69" s="48">
        <f>IFERROR(DATEVALUE(TEXT(RIGHT(T_LEAVE[[#This Row],[LEAVE DATE]],LEN(T_LEAVE[[#This Row],[LEAVE DATE]])-6),"[$-en-US]d-mmm-yyyy;@")),"")</f>
        <v>43701</v>
      </c>
      <c r="M69" s="4" t="str">
        <f>IFERROR(TRIM(T_LEAVE[[#This Row],[TYPE]]),"")</f>
        <v>VACATION LEAVE</v>
      </c>
      <c r="N69" s="69" t="str">
        <f>IFERROR(VLOOKUP(T_LEAVE[[#This Row],[LEAVE TYPE]],T_LEAVETYPE[#All],2,0),"")</f>
        <v>VL</v>
      </c>
    </row>
    <row r="70" spans="2:14" x14ac:dyDescent="0.25">
      <c r="B70" s="93">
        <v>43698</v>
      </c>
      <c r="C70" s="48" t="s">
        <v>632</v>
      </c>
      <c r="D70" s="48" t="s">
        <v>777</v>
      </c>
      <c r="E70" s="4" t="s">
        <v>88</v>
      </c>
      <c r="F70" s="49">
        <v>1</v>
      </c>
      <c r="G70" s="4" t="s">
        <v>780</v>
      </c>
      <c r="I70" s="4" t="s">
        <v>149</v>
      </c>
      <c r="K70" s="4" t="str">
        <f>IFERROR(LEFT(T_LEAVE[[#This Row],[EMPLOYEE NAME]],LEN(T_LEAVE[[#This Row],[EMPLOYEE NAME]])-3),"")</f>
        <v>MACALALAD, ANAMARIE</v>
      </c>
      <c r="L70" s="48">
        <f>IFERROR(DATEVALUE(TEXT(RIGHT(T_LEAVE[[#This Row],[LEAVE DATE]],LEN(T_LEAVE[[#This Row],[LEAVE DATE]])-6),"[$-en-US]d-mmm-yyyy;@")),"")</f>
        <v>43700</v>
      </c>
      <c r="M70" s="4" t="str">
        <f>IFERROR(TRIM(T_LEAVE[[#This Row],[TYPE]]),"")</f>
        <v>VACATION LEAVE</v>
      </c>
      <c r="N70" s="69" t="str">
        <f>IFERROR(VLOOKUP(T_LEAVE[[#This Row],[LEAVE TYPE]],T_LEAVETYPE[#All],2,0),"")</f>
        <v>VL</v>
      </c>
    </row>
    <row r="71" spans="2:14" x14ac:dyDescent="0.25">
      <c r="B71" s="93">
        <v>43705</v>
      </c>
      <c r="C71" s="48" t="s">
        <v>255</v>
      </c>
      <c r="D71" s="48" t="s">
        <v>666</v>
      </c>
      <c r="E71" s="4" t="s">
        <v>89</v>
      </c>
      <c r="F71" s="49">
        <v>1</v>
      </c>
      <c r="G71" s="4" t="s">
        <v>667</v>
      </c>
      <c r="I71" s="4" t="s">
        <v>149</v>
      </c>
      <c r="K71" s="4" t="str">
        <f>IFERROR(LEFT(T_LEAVE[[#This Row],[EMPLOYEE NAME]],LEN(T_LEAVE[[#This Row],[EMPLOYEE NAME]])-3),"")</f>
        <v>LARIZA, MELANIE DELA CRUZ</v>
      </c>
      <c r="L71" s="48">
        <f>IFERROR(DATEVALUE(TEXT(RIGHT(T_LEAVE[[#This Row],[LEAVE DATE]],LEN(T_LEAVE[[#This Row],[LEAVE DATE]])-6),"[$-en-US]d-mmm-yyyy;@")),"")</f>
        <v>43704</v>
      </c>
      <c r="M71" s="4" t="str">
        <f>IFERROR(TRIM(T_LEAVE[[#This Row],[TYPE]]),"")</f>
        <v>SICK LEAVE</v>
      </c>
      <c r="N71" s="69" t="str">
        <f>IFERROR(VLOOKUP(T_LEAVE[[#This Row],[LEAVE TYPE]],T_LEAVETYPE[#All],2,0),"")</f>
        <v>SL</v>
      </c>
    </row>
    <row r="72" spans="2:14" x14ac:dyDescent="0.25">
      <c r="B72" s="93">
        <v>43705</v>
      </c>
      <c r="C72" s="48" t="s">
        <v>668</v>
      </c>
      <c r="D72" s="48" t="s">
        <v>1033</v>
      </c>
      <c r="E72" s="4" t="s">
        <v>88</v>
      </c>
      <c r="F72" s="49">
        <v>1</v>
      </c>
      <c r="G72" s="4" t="s">
        <v>90</v>
      </c>
      <c r="I72" s="4" t="s">
        <v>149</v>
      </c>
      <c r="K72" s="4" t="str">
        <f>IFERROR(LEFT(T_LEAVE[[#This Row],[EMPLOYEE NAME]],LEN(T_LEAVE[[#This Row],[EMPLOYEE NAME]])-3),"")</f>
        <v>VALLADARES, ALLEN</v>
      </c>
      <c r="L72" s="48">
        <f>IFERROR(DATEVALUE(TEXT(RIGHT(T_LEAVE[[#This Row],[LEAVE DATE]],LEN(T_LEAVE[[#This Row],[LEAVE DATE]])-6),"[$-en-US]d-mmm-yyyy;@")),"")</f>
        <v>43721</v>
      </c>
      <c r="M72" s="4" t="str">
        <f>IFERROR(TRIM(T_LEAVE[[#This Row],[TYPE]]),"")</f>
        <v>VACATION LEAVE</v>
      </c>
      <c r="N72" s="69" t="str">
        <f>IFERROR(VLOOKUP(T_LEAVE[[#This Row],[LEAVE TYPE]],T_LEAVETYPE[#All],2,0),"")</f>
        <v>VL</v>
      </c>
    </row>
    <row r="73" spans="2:14" x14ac:dyDescent="0.25">
      <c r="B73" s="93">
        <v>43706</v>
      </c>
      <c r="C73" s="48" t="s">
        <v>668</v>
      </c>
      <c r="D73" s="48" t="s">
        <v>899</v>
      </c>
      <c r="E73" s="4" t="s">
        <v>88</v>
      </c>
      <c r="F73" s="49">
        <v>1</v>
      </c>
      <c r="G73" s="4" t="s">
        <v>900</v>
      </c>
      <c r="I73" s="4" t="s">
        <v>149</v>
      </c>
      <c r="K73" s="4" t="str">
        <f>IFERROR(LEFT(T_LEAVE[[#This Row],[EMPLOYEE NAME]],LEN(T_LEAVE[[#This Row],[EMPLOYEE NAME]])-3),"")</f>
        <v>PATULOT, MARIROSE</v>
      </c>
      <c r="L73" s="48">
        <f>IFERROR(DATEVALUE(TEXT(RIGHT(T_LEAVE[[#This Row],[LEAVE DATE]],LEN(T_LEAVE[[#This Row],[LEAVE DATE]])-6),"[$-en-US]d-mmm-yyyy;@")),"")</f>
        <v>43721</v>
      </c>
      <c r="M73" s="4" t="str">
        <f>IFERROR(TRIM(T_LEAVE[[#This Row],[TYPE]]),"")</f>
        <v>VACATION LEAVE</v>
      </c>
      <c r="N73" s="69" t="str">
        <f>IFERROR(VLOOKUP(T_LEAVE[[#This Row],[LEAVE TYPE]],T_LEAVETYPE[#All],2,0),"")</f>
        <v>VL</v>
      </c>
    </row>
    <row r="74" spans="2:14" x14ac:dyDescent="0.25">
      <c r="B74" s="93">
        <v>43706</v>
      </c>
      <c r="C74" s="48" t="s">
        <v>952</v>
      </c>
      <c r="D74" s="48" t="s">
        <v>950</v>
      </c>
      <c r="E74" s="4" t="s">
        <v>88</v>
      </c>
      <c r="F74" s="49">
        <v>1</v>
      </c>
      <c r="G74" s="4" t="s">
        <v>953</v>
      </c>
      <c r="I74" s="4" t="s">
        <v>149</v>
      </c>
      <c r="K74" s="4" t="str">
        <f>IFERROR(LEFT(T_LEAVE[[#This Row],[EMPLOYEE NAME]],LEN(T_LEAVE[[#This Row],[EMPLOYEE NAME]])-3),"")</f>
        <v>SANTOS, JERICK</v>
      </c>
      <c r="L74" s="48">
        <f>IFERROR(DATEVALUE(TEXT(RIGHT(T_LEAVE[[#This Row],[LEAVE DATE]],LEN(T_LEAVE[[#This Row],[LEAVE DATE]])-6),"[$-en-US]d-mmm-yyyy;@")),"")</f>
        <v>43727</v>
      </c>
      <c r="M74" s="4" t="str">
        <f>IFERROR(TRIM(T_LEAVE[[#This Row],[TYPE]]),"")</f>
        <v>VACATION LEAVE</v>
      </c>
      <c r="N74" s="69" t="str">
        <f>IFERROR(VLOOKUP(T_LEAVE[[#This Row],[LEAVE TYPE]],T_LEAVETYPE[#All],2,0),"")</f>
        <v>VL</v>
      </c>
    </row>
    <row r="75" spans="2:14" x14ac:dyDescent="0.25">
      <c r="B75" s="93">
        <v>43706</v>
      </c>
      <c r="C75" s="48" t="s">
        <v>954</v>
      </c>
      <c r="D75" s="48" t="s">
        <v>950</v>
      </c>
      <c r="E75" s="4" t="s">
        <v>88</v>
      </c>
      <c r="F75" s="49">
        <v>1</v>
      </c>
      <c r="G75" s="4" t="s">
        <v>953</v>
      </c>
      <c r="I75" s="4" t="s">
        <v>149</v>
      </c>
      <c r="K75" s="4" t="str">
        <f>IFERROR(LEFT(T_LEAVE[[#This Row],[EMPLOYEE NAME]],LEN(T_LEAVE[[#This Row],[EMPLOYEE NAME]])-3),"")</f>
        <v>SANTOS, JERICK</v>
      </c>
      <c r="L75" s="48">
        <f>IFERROR(DATEVALUE(TEXT(RIGHT(T_LEAVE[[#This Row],[LEAVE DATE]],LEN(T_LEAVE[[#This Row],[LEAVE DATE]])-6),"[$-en-US]d-mmm-yyyy;@")),"")</f>
        <v>43728</v>
      </c>
      <c r="M75" s="4" t="str">
        <f>IFERROR(TRIM(T_LEAVE[[#This Row],[TYPE]]),"")</f>
        <v>VACATION LEAVE</v>
      </c>
      <c r="N75" s="69" t="str">
        <f>IFERROR(VLOOKUP(T_LEAVE[[#This Row],[LEAVE TYPE]],T_LEAVETYPE[#All],2,0),"")</f>
        <v>VL</v>
      </c>
    </row>
    <row r="76" spans="2:14" x14ac:dyDescent="0.25">
      <c r="B76" s="93">
        <v>43706</v>
      </c>
      <c r="C76" s="48" t="s">
        <v>258</v>
      </c>
      <c r="D76" s="48" t="s">
        <v>1033</v>
      </c>
      <c r="E76" s="4" t="s">
        <v>88</v>
      </c>
      <c r="F76" s="49">
        <v>1</v>
      </c>
      <c r="G76" s="4" t="s">
        <v>90</v>
      </c>
      <c r="I76" s="4" t="s">
        <v>149</v>
      </c>
      <c r="K76" s="4" t="str">
        <f>IFERROR(LEFT(T_LEAVE[[#This Row],[EMPLOYEE NAME]],LEN(T_LEAVE[[#This Row],[EMPLOYEE NAME]])-3),"")</f>
        <v>VALLADARES, ALLEN</v>
      </c>
      <c r="L76" s="48">
        <f>IFERROR(DATEVALUE(TEXT(RIGHT(T_LEAVE[[#This Row],[LEAVE DATE]],LEN(T_LEAVE[[#This Row],[LEAVE DATE]])-6),"[$-en-US]d-mmm-yyyy;@")),"")</f>
        <v>43724</v>
      </c>
      <c r="M76" s="4" t="str">
        <f>IFERROR(TRIM(T_LEAVE[[#This Row],[TYPE]]),"")</f>
        <v>VACATION LEAVE</v>
      </c>
      <c r="N76" s="69" t="str">
        <f>IFERROR(VLOOKUP(T_LEAVE[[#This Row],[LEAVE TYPE]],T_LEAVETYPE[#All],2,0),"")</f>
        <v>VL</v>
      </c>
    </row>
    <row r="77" spans="2:14" x14ac:dyDescent="0.25">
      <c r="B77" s="93">
        <v>43706</v>
      </c>
      <c r="C77" s="48" t="s">
        <v>826</v>
      </c>
      <c r="D77" s="48" t="s">
        <v>1124</v>
      </c>
      <c r="E77" s="4" t="s">
        <v>88</v>
      </c>
      <c r="F77" s="49">
        <v>1</v>
      </c>
      <c r="G77" s="4" t="s">
        <v>1127</v>
      </c>
      <c r="I77" s="4" t="s">
        <v>149</v>
      </c>
      <c r="K77" s="4" t="str">
        <f>IFERROR(LEFT(T_LEAVE[[#This Row],[EMPLOYEE NAME]],LEN(T_LEAVE[[#This Row],[EMPLOYEE NAME]])-3),"")</f>
        <v>VINO, KARLA LOU</v>
      </c>
      <c r="L77" s="48">
        <f>IFERROR(DATEVALUE(TEXT(RIGHT(T_LEAVE[[#This Row],[LEAVE DATE]],LEN(T_LEAVE[[#This Row],[LEAVE DATE]])-6),"[$-en-US]d-mmm-yyyy;@")),"")</f>
        <v>43708</v>
      </c>
      <c r="M77" s="4" t="str">
        <f>IFERROR(TRIM(T_LEAVE[[#This Row],[TYPE]]),"")</f>
        <v>VACATION LEAVE</v>
      </c>
      <c r="N77" s="69" t="str">
        <f>IFERROR(VLOOKUP(T_LEAVE[[#This Row],[LEAVE TYPE]],T_LEAVETYPE[#All],2,0),"")</f>
        <v>VL</v>
      </c>
    </row>
    <row r="78" spans="2:14" x14ac:dyDescent="0.25">
      <c r="B78" s="93">
        <v>43708</v>
      </c>
      <c r="C78" s="48" t="s">
        <v>154</v>
      </c>
      <c r="D78" s="48" t="s">
        <v>147</v>
      </c>
      <c r="E78" s="4" t="s">
        <v>88</v>
      </c>
      <c r="F78" s="49">
        <v>1</v>
      </c>
      <c r="G78" s="4" t="s">
        <v>152</v>
      </c>
      <c r="I78" s="4" t="s">
        <v>149</v>
      </c>
      <c r="K78" s="4" t="str">
        <f>IFERROR(LEFT(T_LEAVE[[#This Row],[EMPLOYEE NAME]],LEN(T_LEAVE[[#This Row],[EMPLOYEE NAME]])-3),"")</f>
        <v>ACOSTA, JOSEPH VAUGHN</v>
      </c>
      <c r="L78" s="48">
        <f>IFERROR(DATEVALUE(TEXT(RIGHT(T_LEAVE[[#This Row],[LEAVE DATE]],LEN(T_LEAVE[[#This Row],[LEAVE DATE]])-6),"[$-en-US]d-mmm-yyyy;@")),"")</f>
        <v>43731</v>
      </c>
      <c r="M78" s="4" t="str">
        <f>IFERROR(TRIM(T_LEAVE[[#This Row],[TYPE]]),"")</f>
        <v>VACATION LEAVE</v>
      </c>
      <c r="N78" s="4" t="str">
        <f>IFERROR(VLOOKUP(T_LEAVE[[#This Row],[LEAVE TYPE]],T_LEAVETYPE[#All],2,0),"")</f>
        <v>VL</v>
      </c>
    </row>
    <row r="79" spans="2:14" x14ac:dyDescent="0.25">
      <c r="B79" s="93">
        <v>43708</v>
      </c>
      <c r="C79" s="48" t="s">
        <v>826</v>
      </c>
      <c r="D79" s="48" t="s">
        <v>827</v>
      </c>
      <c r="E79" s="4" t="s">
        <v>88</v>
      </c>
      <c r="F79" s="49">
        <v>1</v>
      </c>
      <c r="G79" s="4" t="s">
        <v>828</v>
      </c>
      <c r="I79" s="4" t="s">
        <v>149</v>
      </c>
      <c r="K79" s="4" t="str">
        <f>IFERROR(LEFT(T_LEAVE[[#This Row],[EMPLOYEE NAME]],LEN(T_LEAVE[[#This Row],[EMPLOYEE NAME]])-3),"")</f>
        <v>MANGOBA, MICHAEL</v>
      </c>
      <c r="L79" s="48">
        <f>IFERROR(DATEVALUE(TEXT(RIGHT(T_LEAVE[[#This Row],[LEAVE DATE]],LEN(T_LEAVE[[#This Row],[LEAVE DATE]])-6),"[$-en-US]d-mmm-yyyy;@")),"")</f>
        <v>43708</v>
      </c>
      <c r="M79" s="4" t="str">
        <f>IFERROR(TRIM(T_LEAVE[[#This Row],[TYPE]]),"")</f>
        <v>VACATION LEAVE</v>
      </c>
      <c r="N79" s="69" t="str">
        <f>IFERROR(VLOOKUP(T_LEAVE[[#This Row],[LEAVE TYPE]],T_LEAVETYPE[#All],2,0),"")</f>
        <v>VL</v>
      </c>
    </row>
    <row r="80" spans="2:14" x14ac:dyDescent="0.25">
      <c r="B80" s="93">
        <v>43711</v>
      </c>
      <c r="C80" s="48" t="s">
        <v>901</v>
      </c>
      <c r="D80" s="48" t="s">
        <v>899</v>
      </c>
      <c r="E80" s="4" t="s">
        <v>88</v>
      </c>
      <c r="F80" s="49">
        <v>1</v>
      </c>
      <c r="G80" s="4" t="s">
        <v>900</v>
      </c>
      <c r="I80" s="4" t="s">
        <v>149</v>
      </c>
      <c r="K80" s="4" t="str">
        <f>IFERROR(LEFT(T_LEAVE[[#This Row],[EMPLOYEE NAME]],LEN(T_LEAVE[[#This Row],[EMPLOYEE NAME]])-3),"")</f>
        <v>PATULOT, MARIROSE</v>
      </c>
      <c r="L80" s="48">
        <f>IFERROR(DATEVALUE(TEXT(RIGHT(T_LEAVE[[#This Row],[LEAVE DATE]],LEN(T_LEAVE[[#This Row],[LEAVE DATE]])-6),"[$-en-US]d-mmm-yyyy;@")),"")</f>
        <v>43734</v>
      </c>
      <c r="M80" s="4" t="str">
        <f>IFERROR(TRIM(T_LEAVE[[#This Row],[TYPE]]),"")</f>
        <v>VACATION LEAVE</v>
      </c>
      <c r="N80" s="69" t="str">
        <f>IFERROR(VLOOKUP(T_LEAVE[[#This Row],[LEAVE TYPE]],T_LEAVETYPE[#All],2,0),"")</f>
        <v>VL</v>
      </c>
    </row>
    <row r="81" spans="2:14" x14ac:dyDescent="0.25">
      <c r="B81" s="93">
        <v>43711</v>
      </c>
      <c r="C81" s="48" t="s">
        <v>902</v>
      </c>
      <c r="D81" s="48" t="s">
        <v>899</v>
      </c>
      <c r="E81" s="4" t="s">
        <v>88</v>
      </c>
      <c r="F81" s="49">
        <v>1</v>
      </c>
      <c r="G81" s="4" t="s">
        <v>900</v>
      </c>
      <c r="I81" s="4" t="s">
        <v>149</v>
      </c>
      <c r="K81" s="4" t="str">
        <f>IFERROR(LEFT(T_LEAVE[[#This Row],[EMPLOYEE NAME]],LEN(T_LEAVE[[#This Row],[EMPLOYEE NAME]])-3),"")</f>
        <v>PATULOT, MARIROSE</v>
      </c>
      <c r="L81" s="48">
        <f>IFERROR(DATEVALUE(TEXT(RIGHT(T_LEAVE[[#This Row],[LEAVE DATE]],LEN(T_LEAVE[[#This Row],[LEAVE DATE]])-6),"[$-en-US]d-mmm-yyyy;@")),"")</f>
        <v>43735</v>
      </c>
      <c r="M81" s="4" t="str">
        <f>IFERROR(TRIM(T_LEAVE[[#This Row],[TYPE]]),"")</f>
        <v>VACATION LEAVE</v>
      </c>
      <c r="N81" s="69" t="str">
        <f>IFERROR(VLOOKUP(T_LEAVE[[#This Row],[LEAVE TYPE]],T_LEAVETYPE[#All],2,0),"")</f>
        <v>VL</v>
      </c>
    </row>
    <row r="82" spans="2:14" x14ac:dyDescent="0.25">
      <c r="B82" s="93">
        <v>43711</v>
      </c>
      <c r="C82" s="48" t="s">
        <v>582</v>
      </c>
      <c r="D82" s="48" t="s">
        <v>899</v>
      </c>
      <c r="E82" s="4" t="s">
        <v>88</v>
      </c>
      <c r="F82" s="49">
        <v>1</v>
      </c>
      <c r="G82" s="4" t="s">
        <v>900</v>
      </c>
      <c r="I82" s="4" t="s">
        <v>149</v>
      </c>
      <c r="K82" s="4" t="str">
        <f>IFERROR(LEFT(T_LEAVE[[#This Row],[EMPLOYEE NAME]],LEN(T_LEAVE[[#This Row],[EMPLOYEE NAME]])-3),"")</f>
        <v>PATULOT, MARIROSE</v>
      </c>
      <c r="L82" s="48">
        <f>IFERROR(DATEVALUE(TEXT(RIGHT(T_LEAVE[[#This Row],[LEAVE DATE]],LEN(T_LEAVE[[#This Row],[LEAVE DATE]])-6),"[$-en-US]d-mmm-yyyy;@")),"")</f>
        <v>43738</v>
      </c>
      <c r="M82" s="4" t="str">
        <f>IFERROR(TRIM(T_LEAVE[[#This Row],[TYPE]]),"")</f>
        <v>VACATION LEAVE</v>
      </c>
      <c r="N82" s="69" t="str">
        <f>IFERROR(VLOOKUP(T_LEAVE[[#This Row],[LEAVE TYPE]],T_LEAVETYPE[#All],2,0),"")</f>
        <v>VL</v>
      </c>
    </row>
    <row r="83" spans="2:14" x14ac:dyDescent="0.25">
      <c r="B83" s="93">
        <v>43711</v>
      </c>
      <c r="C83" s="48" t="s">
        <v>756</v>
      </c>
      <c r="D83" s="48" t="s">
        <v>1033</v>
      </c>
      <c r="E83" s="4" t="s">
        <v>88</v>
      </c>
      <c r="F83" s="49">
        <v>1</v>
      </c>
      <c r="G83" s="4" t="s">
        <v>1035</v>
      </c>
      <c r="I83" s="4" t="s">
        <v>149</v>
      </c>
      <c r="K83" s="4" t="str">
        <f>IFERROR(LEFT(T_LEAVE[[#This Row],[EMPLOYEE NAME]],LEN(T_LEAVE[[#This Row],[EMPLOYEE NAME]])-3),"")</f>
        <v>VALLADARES, ALLEN</v>
      </c>
      <c r="L83" s="48">
        <f>IFERROR(DATEVALUE(TEXT(RIGHT(T_LEAVE[[#This Row],[LEAVE DATE]],LEN(T_LEAVE[[#This Row],[LEAVE DATE]])-6),"[$-en-US]d-mmm-yyyy;@")),"")</f>
        <v>43741</v>
      </c>
      <c r="M83" s="4" t="str">
        <f>IFERROR(TRIM(T_LEAVE[[#This Row],[TYPE]]),"")</f>
        <v>VACATION LEAVE</v>
      </c>
      <c r="N83" s="69" t="str">
        <f>IFERROR(VLOOKUP(T_LEAVE[[#This Row],[LEAVE TYPE]],T_LEAVETYPE[#All],2,0),"")</f>
        <v>VL</v>
      </c>
    </row>
    <row r="84" spans="2:14" x14ac:dyDescent="0.25">
      <c r="B84" s="93">
        <v>43712</v>
      </c>
      <c r="C84" s="48" t="s">
        <v>151</v>
      </c>
      <c r="D84" s="48" t="s">
        <v>147</v>
      </c>
      <c r="E84" s="4" t="s">
        <v>88</v>
      </c>
      <c r="F84" s="49">
        <v>1</v>
      </c>
      <c r="G84" s="4" t="s">
        <v>152</v>
      </c>
      <c r="I84" s="4" t="s">
        <v>149</v>
      </c>
      <c r="K84" s="4" t="str">
        <f>IFERROR(LEFT(T_LEAVE[[#This Row],[EMPLOYEE NAME]],LEN(T_LEAVE[[#This Row],[EMPLOYEE NAME]])-3),"")</f>
        <v>ACOSTA, JOSEPH VAUGHN</v>
      </c>
      <c r="L84" s="48">
        <f>IFERROR(DATEVALUE(TEXT(RIGHT(T_LEAVE[[#This Row],[LEAVE DATE]],LEN(T_LEAVE[[#This Row],[LEAVE DATE]])-6),"[$-en-US]d-mmm-yyyy;@")),"")</f>
        <v>43729</v>
      </c>
      <c r="M84" s="4" t="str">
        <f>IFERROR(TRIM(T_LEAVE[[#This Row],[TYPE]]),"")</f>
        <v>VACATION LEAVE</v>
      </c>
      <c r="N84" s="4" t="str">
        <f>IFERROR(VLOOKUP(T_LEAVE[[#This Row],[LEAVE TYPE]],T_LEAVETYPE[#All],2,0),"")</f>
        <v>VL</v>
      </c>
    </row>
    <row r="85" spans="2:14" x14ac:dyDescent="0.25">
      <c r="B85" s="93">
        <v>43712</v>
      </c>
      <c r="C85" s="48" t="s">
        <v>153</v>
      </c>
      <c r="D85" s="48" t="s">
        <v>147</v>
      </c>
      <c r="E85" s="4" t="s">
        <v>88</v>
      </c>
      <c r="F85" s="49">
        <v>1</v>
      </c>
      <c r="G85" s="4" t="s">
        <v>152</v>
      </c>
      <c r="I85" s="4" t="s">
        <v>149</v>
      </c>
      <c r="K85" s="4" t="str">
        <f>IFERROR(LEFT(T_LEAVE[[#This Row],[EMPLOYEE NAME]],LEN(T_LEAVE[[#This Row],[EMPLOYEE NAME]])-3),"")</f>
        <v>ACOSTA, JOSEPH VAUGHN</v>
      </c>
      <c r="L85" s="48">
        <f>IFERROR(DATEVALUE(TEXT(RIGHT(T_LEAVE[[#This Row],[LEAVE DATE]],LEN(T_LEAVE[[#This Row],[LEAVE DATE]])-6),"[$-en-US]d-mmm-yyyy;@")),"")</f>
        <v>43730</v>
      </c>
      <c r="M85" s="4" t="str">
        <f>IFERROR(TRIM(T_LEAVE[[#This Row],[TYPE]]),"")</f>
        <v>VACATION LEAVE</v>
      </c>
      <c r="N85" s="4" t="str">
        <f>IFERROR(VLOOKUP(T_LEAVE[[#This Row],[LEAVE TYPE]],T_LEAVETYPE[#All],2,0),"")</f>
        <v>VL</v>
      </c>
    </row>
    <row r="86" spans="2:14" x14ac:dyDescent="0.25">
      <c r="B86" s="93">
        <v>43712</v>
      </c>
      <c r="C86" s="48" t="s">
        <v>387</v>
      </c>
      <c r="D86" s="48" t="s">
        <v>382</v>
      </c>
      <c r="E86" s="4" t="s">
        <v>89</v>
      </c>
      <c r="F86" s="49">
        <v>1</v>
      </c>
      <c r="G86" s="4" t="s">
        <v>388</v>
      </c>
      <c r="I86" s="4" t="s">
        <v>149</v>
      </c>
      <c r="K86" s="4" t="str">
        <f>IFERROR(LEFT(T_LEAVE[[#This Row],[EMPLOYEE NAME]],LEN(T_LEAVE[[#This Row],[EMPLOYEE NAME]])-3),"")</f>
        <v>CONSTANTINO, IAN ARCHIMEDES</v>
      </c>
      <c r="L86" s="48">
        <f>IFERROR(DATEVALUE(TEXT(RIGHT(T_LEAVE[[#This Row],[LEAVE DATE]],LEN(T_LEAVE[[#This Row],[LEAVE DATE]])-6),"[$-en-US]d-mmm-yyyy;@")),"")</f>
        <v>43711</v>
      </c>
      <c r="M86" s="4" t="str">
        <f>IFERROR(TRIM(T_LEAVE[[#This Row],[TYPE]]),"")</f>
        <v>SICK LEAVE</v>
      </c>
      <c r="N86" s="69" t="str">
        <f>IFERROR(VLOOKUP(T_LEAVE[[#This Row],[LEAVE TYPE]],T_LEAVETYPE[#All],2,0),"")</f>
        <v>SL</v>
      </c>
    </row>
    <row r="87" spans="2:14" x14ac:dyDescent="0.25">
      <c r="B87" s="93">
        <v>43717</v>
      </c>
      <c r="C87" s="48" t="s">
        <v>213</v>
      </c>
      <c r="D87" s="48" t="s">
        <v>208</v>
      </c>
      <c r="E87" s="4" t="s">
        <v>88</v>
      </c>
      <c r="F87" s="49">
        <v>1</v>
      </c>
      <c r="G87" s="4" t="s">
        <v>214</v>
      </c>
      <c r="I87" s="4" t="s">
        <v>149</v>
      </c>
      <c r="K87" s="4" t="str">
        <f>IFERROR(LEFT(T_LEAVE[[#This Row],[EMPLOYEE NAME]],LEN(T_LEAVE[[#This Row],[EMPLOYEE NAME]])-3),"")</f>
        <v>AQUINO, RODEL</v>
      </c>
      <c r="L87" s="48">
        <f>IFERROR(DATEVALUE(TEXT(RIGHT(T_LEAVE[[#This Row],[LEAVE DATE]],LEN(T_LEAVE[[#This Row],[LEAVE DATE]])-6),"[$-en-US]d-mmm-yyyy;@")),"")</f>
        <v>43718</v>
      </c>
      <c r="M87" s="4" t="str">
        <f>IFERROR(TRIM(T_LEAVE[[#This Row],[TYPE]]),"")</f>
        <v>VACATION LEAVE</v>
      </c>
      <c r="N87" s="4" t="str">
        <f>IFERROR(VLOOKUP(T_LEAVE[[#This Row],[LEAVE TYPE]],T_LEAVETYPE[#All],2,0),"")</f>
        <v>VL</v>
      </c>
    </row>
    <row r="88" spans="2:14" x14ac:dyDescent="0.25">
      <c r="B88" s="93">
        <v>43717</v>
      </c>
      <c r="C88" s="48" t="s">
        <v>215</v>
      </c>
      <c r="D88" s="48" t="s">
        <v>208</v>
      </c>
      <c r="E88" s="4" t="s">
        <v>88</v>
      </c>
      <c r="F88" s="49">
        <v>1</v>
      </c>
      <c r="G88" s="4" t="s">
        <v>214</v>
      </c>
      <c r="I88" s="4" t="s">
        <v>149</v>
      </c>
      <c r="K88" s="4" t="str">
        <f>IFERROR(LEFT(T_LEAVE[[#This Row],[EMPLOYEE NAME]],LEN(T_LEAVE[[#This Row],[EMPLOYEE NAME]])-3),"")</f>
        <v>AQUINO, RODEL</v>
      </c>
      <c r="L88" s="48">
        <f>IFERROR(DATEVALUE(TEXT(RIGHT(T_LEAVE[[#This Row],[LEAVE DATE]],LEN(T_LEAVE[[#This Row],[LEAVE DATE]])-6),"[$-en-US]d-mmm-yyyy;@")),"")</f>
        <v>43722</v>
      </c>
      <c r="M88" s="4" t="str">
        <f>IFERROR(TRIM(T_LEAVE[[#This Row],[TYPE]]),"")</f>
        <v>VACATION LEAVE</v>
      </c>
      <c r="N88" s="4" t="str">
        <f>IFERROR(VLOOKUP(T_LEAVE[[#This Row],[LEAVE TYPE]],T_LEAVETYPE[#All],2,0),"")</f>
        <v>VL</v>
      </c>
    </row>
    <row r="89" spans="2:14" x14ac:dyDescent="0.25">
      <c r="B89" s="93">
        <v>43717</v>
      </c>
      <c r="C89" s="48" t="s">
        <v>216</v>
      </c>
      <c r="D89" s="48" t="s">
        <v>208</v>
      </c>
      <c r="E89" s="4" t="s">
        <v>88</v>
      </c>
      <c r="F89" s="49">
        <v>1</v>
      </c>
      <c r="G89" s="4" t="s">
        <v>214</v>
      </c>
      <c r="I89" s="4" t="s">
        <v>149</v>
      </c>
      <c r="K89" s="4" t="str">
        <f>IFERROR(LEFT(T_LEAVE[[#This Row],[EMPLOYEE NAME]],LEN(T_LEAVE[[#This Row],[EMPLOYEE NAME]])-3),"")</f>
        <v>AQUINO, RODEL</v>
      </c>
      <c r="L89" s="48">
        <f>IFERROR(DATEVALUE(TEXT(RIGHT(T_LEAVE[[#This Row],[LEAVE DATE]],LEN(T_LEAVE[[#This Row],[LEAVE DATE]])-6),"[$-en-US]d-mmm-yyyy;@")),"")</f>
        <v>43723</v>
      </c>
      <c r="M89" s="4" t="str">
        <f>IFERROR(TRIM(T_LEAVE[[#This Row],[TYPE]]),"")</f>
        <v>VACATION LEAVE</v>
      </c>
      <c r="N89" s="4" t="str">
        <f>IFERROR(VLOOKUP(T_LEAVE[[#This Row],[LEAVE TYPE]],T_LEAVETYPE[#All],2,0),"")</f>
        <v>VL</v>
      </c>
    </row>
    <row r="90" spans="2:14" x14ac:dyDescent="0.25">
      <c r="B90" s="93">
        <v>43717</v>
      </c>
      <c r="C90" s="48" t="s">
        <v>580</v>
      </c>
      <c r="D90" s="48" t="s">
        <v>579</v>
      </c>
      <c r="E90" s="4" t="s">
        <v>88</v>
      </c>
      <c r="F90" s="49">
        <v>1</v>
      </c>
      <c r="G90" s="4" t="s">
        <v>581</v>
      </c>
      <c r="I90" s="4" t="s">
        <v>149</v>
      </c>
      <c r="K90" s="4" t="str">
        <f>IFERROR(LEFT(T_LEAVE[[#This Row],[EMPLOYEE NAME]],LEN(T_LEAVE[[#This Row],[EMPLOYEE NAME]])-3),"")</f>
        <v>GORDORA, AIREEN GRACE</v>
      </c>
      <c r="L90" s="48">
        <f>IFERROR(DATEVALUE(TEXT(RIGHT(T_LEAVE[[#This Row],[LEAVE DATE]],LEN(T_LEAVE[[#This Row],[LEAVE DATE]])-6),"[$-en-US]d-mmm-yyyy;@")),"")</f>
        <v>43737</v>
      </c>
      <c r="M90" s="4" t="str">
        <f>IFERROR(TRIM(T_LEAVE[[#This Row],[TYPE]]),"")</f>
        <v>VACATION LEAVE</v>
      </c>
      <c r="N90" s="69" t="str">
        <f>IFERROR(VLOOKUP(T_LEAVE[[#This Row],[LEAVE TYPE]],T_LEAVETYPE[#All],2,0),"")</f>
        <v>VL</v>
      </c>
    </row>
    <row r="91" spans="2:14" x14ac:dyDescent="0.25">
      <c r="B91" s="93">
        <v>43717</v>
      </c>
      <c r="C91" s="48" t="s">
        <v>582</v>
      </c>
      <c r="D91" s="48" t="s">
        <v>579</v>
      </c>
      <c r="E91" s="4" t="s">
        <v>88</v>
      </c>
      <c r="F91" s="49">
        <v>1</v>
      </c>
      <c r="G91" s="4" t="s">
        <v>583</v>
      </c>
      <c r="I91" s="4" t="s">
        <v>149</v>
      </c>
      <c r="K91" s="4" t="str">
        <f>IFERROR(LEFT(T_LEAVE[[#This Row],[EMPLOYEE NAME]],LEN(T_LEAVE[[#This Row],[EMPLOYEE NAME]])-3),"")</f>
        <v>GORDORA, AIREEN GRACE</v>
      </c>
      <c r="L91" s="48">
        <f>IFERROR(DATEVALUE(TEXT(RIGHT(T_LEAVE[[#This Row],[LEAVE DATE]],LEN(T_LEAVE[[#This Row],[LEAVE DATE]])-6),"[$-en-US]d-mmm-yyyy;@")),"")</f>
        <v>43738</v>
      </c>
      <c r="M91" s="4" t="str">
        <f>IFERROR(TRIM(T_LEAVE[[#This Row],[TYPE]]),"")</f>
        <v>VACATION LEAVE</v>
      </c>
      <c r="N91" s="69" t="str">
        <f>IFERROR(VLOOKUP(T_LEAVE[[#This Row],[LEAVE TYPE]],T_LEAVETYPE[#All],2,0),"")</f>
        <v>VL</v>
      </c>
    </row>
    <row r="92" spans="2:14" x14ac:dyDescent="0.25">
      <c r="B92" s="93">
        <v>43717</v>
      </c>
      <c r="C92" s="48" t="s">
        <v>668</v>
      </c>
      <c r="D92" s="48" t="s">
        <v>777</v>
      </c>
      <c r="E92" s="4" t="s">
        <v>88</v>
      </c>
      <c r="F92" s="49">
        <v>1</v>
      </c>
      <c r="G92" s="4" t="s">
        <v>233</v>
      </c>
      <c r="I92" s="4" t="s">
        <v>149</v>
      </c>
      <c r="K92" s="4" t="str">
        <f>IFERROR(LEFT(T_LEAVE[[#This Row],[EMPLOYEE NAME]],LEN(T_LEAVE[[#This Row],[EMPLOYEE NAME]])-3),"")</f>
        <v>MACALALAD, ANAMARIE</v>
      </c>
      <c r="L92" s="48">
        <f>IFERROR(DATEVALUE(TEXT(RIGHT(T_LEAVE[[#This Row],[LEAVE DATE]],LEN(T_LEAVE[[#This Row],[LEAVE DATE]])-6),"[$-en-US]d-mmm-yyyy;@")),"")</f>
        <v>43721</v>
      </c>
      <c r="M92" s="4" t="str">
        <f>IFERROR(TRIM(T_LEAVE[[#This Row],[TYPE]]),"")</f>
        <v>VACATION LEAVE</v>
      </c>
      <c r="N92" s="69" t="str">
        <f>IFERROR(VLOOKUP(T_LEAVE[[#This Row],[LEAVE TYPE]],T_LEAVETYPE[#All],2,0),"")</f>
        <v>VL</v>
      </c>
    </row>
    <row r="93" spans="2:14" x14ac:dyDescent="0.25">
      <c r="B93" s="93">
        <v>43718</v>
      </c>
      <c r="C93" s="48" t="s">
        <v>1128</v>
      </c>
      <c r="D93" s="48" t="s">
        <v>1124</v>
      </c>
      <c r="E93" s="4" t="s">
        <v>88</v>
      </c>
      <c r="F93" s="49">
        <v>1</v>
      </c>
      <c r="G93" s="4" t="s">
        <v>1129</v>
      </c>
      <c r="I93" s="4" t="s">
        <v>149</v>
      </c>
      <c r="K93" s="4" t="str">
        <f>IFERROR(LEFT(T_LEAVE[[#This Row],[EMPLOYEE NAME]],LEN(T_LEAVE[[#This Row],[EMPLOYEE NAME]])-3),"")</f>
        <v>VINO, KARLA LOU</v>
      </c>
      <c r="L93" s="48">
        <f>IFERROR(DATEVALUE(TEXT(RIGHT(T_LEAVE[[#This Row],[LEAVE DATE]],LEN(T_LEAVE[[#This Row],[LEAVE DATE]])-6),"[$-en-US]d-mmm-yyyy;@")),"")</f>
        <v>43713</v>
      </c>
      <c r="M93" s="4" t="str">
        <f>IFERROR(TRIM(T_LEAVE[[#This Row],[TYPE]]),"")</f>
        <v>VACATION LEAVE</v>
      </c>
      <c r="N93" s="69" t="str">
        <f>IFERROR(VLOOKUP(T_LEAVE[[#This Row],[LEAVE TYPE]],T_LEAVETYPE[#All],2,0),"")</f>
        <v>VL</v>
      </c>
    </row>
    <row r="94" spans="2:14" x14ac:dyDescent="0.25">
      <c r="B94" s="93">
        <v>43718</v>
      </c>
      <c r="C94" s="48" t="s">
        <v>601</v>
      </c>
      <c r="D94" s="48" t="s">
        <v>1124</v>
      </c>
      <c r="E94" s="4" t="s">
        <v>88</v>
      </c>
      <c r="F94" s="49">
        <v>1</v>
      </c>
      <c r="G94" s="4" t="s">
        <v>1129</v>
      </c>
      <c r="I94" s="4" t="s">
        <v>149</v>
      </c>
      <c r="K94" s="4" t="str">
        <f>IFERROR(LEFT(T_LEAVE[[#This Row],[EMPLOYEE NAME]],LEN(T_LEAVE[[#This Row],[EMPLOYEE NAME]])-3),"")</f>
        <v>VINO, KARLA LOU</v>
      </c>
      <c r="L94" s="48">
        <f>IFERROR(DATEVALUE(TEXT(RIGHT(T_LEAVE[[#This Row],[LEAVE DATE]],LEN(T_LEAVE[[#This Row],[LEAVE DATE]])-6),"[$-en-US]d-mmm-yyyy;@")),"")</f>
        <v>43714</v>
      </c>
      <c r="M94" s="4" t="str">
        <f>IFERROR(TRIM(T_LEAVE[[#This Row],[TYPE]]),"")</f>
        <v>VACATION LEAVE</v>
      </c>
      <c r="N94" s="69" t="str">
        <f>IFERROR(VLOOKUP(T_LEAVE[[#This Row],[LEAVE TYPE]],T_LEAVETYPE[#All],2,0),"")</f>
        <v>VL</v>
      </c>
    </row>
    <row r="95" spans="2:14" x14ac:dyDescent="0.25">
      <c r="B95" s="93">
        <v>43719</v>
      </c>
      <c r="C95" s="48" t="s">
        <v>153</v>
      </c>
      <c r="D95" s="48" t="s">
        <v>691</v>
      </c>
      <c r="E95" s="4" t="s">
        <v>88</v>
      </c>
      <c r="F95" s="49">
        <v>1</v>
      </c>
      <c r="G95" s="4" t="s">
        <v>694</v>
      </c>
      <c r="I95" s="4" t="s">
        <v>149</v>
      </c>
      <c r="K95" s="4" t="str">
        <f>IFERROR(LEFT(T_LEAVE[[#This Row],[EMPLOYEE NAME]],LEN(T_LEAVE[[#This Row],[EMPLOYEE NAME]])-3),"")</f>
        <v>LATUGA, PHOEBE</v>
      </c>
      <c r="L95" s="48">
        <f>IFERROR(DATEVALUE(TEXT(RIGHT(T_LEAVE[[#This Row],[LEAVE DATE]],LEN(T_LEAVE[[#This Row],[LEAVE DATE]])-6),"[$-en-US]d-mmm-yyyy;@")),"")</f>
        <v>43730</v>
      </c>
      <c r="M95" s="4" t="str">
        <f>IFERROR(TRIM(T_LEAVE[[#This Row],[TYPE]]),"")</f>
        <v>VACATION LEAVE</v>
      </c>
      <c r="N95" s="69" t="str">
        <f>IFERROR(VLOOKUP(T_LEAVE[[#This Row],[LEAVE TYPE]],T_LEAVETYPE[#All],2,0),"")</f>
        <v>VL</v>
      </c>
    </row>
    <row r="96" spans="2:14" x14ac:dyDescent="0.25">
      <c r="B96" s="93">
        <v>43719</v>
      </c>
      <c r="C96" s="48" t="s">
        <v>695</v>
      </c>
      <c r="D96" s="48" t="s">
        <v>691</v>
      </c>
      <c r="E96" s="4" t="s">
        <v>88</v>
      </c>
      <c r="F96" s="49">
        <v>1</v>
      </c>
      <c r="G96" s="4" t="s">
        <v>696</v>
      </c>
      <c r="I96" s="4" t="s">
        <v>149</v>
      </c>
      <c r="K96" s="4" t="str">
        <f>IFERROR(LEFT(T_LEAVE[[#This Row],[EMPLOYEE NAME]],LEN(T_LEAVE[[#This Row],[EMPLOYEE NAME]])-3),"")</f>
        <v>LATUGA, PHOEBE</v>
      </c>
      <c r="L96" s="48">
        <f>IFERROR(DATEVALUE(TEXT(RIGHT(T_LEAVE[[#This Row],[LEAVE DATE]],LEN(T_LEAVE[[#This Row],[LEAVE DATE]])-6),"[$-en-US]d-mmm-yyyy;@")),"")</f>
        <v>43732</v>
      </c>
      <c r="M96" s="4" t="str">
        <f>IFERROR(TRIM(T_LEAVE[[#This Row],[TYPE]]),"")</f>
        <v>VACATION LEAVE</v>
      </c>
      <c r="N96" s="69" t="str">
        <f>IFERROR(VLOOKUP(T_LEAVE[[#This Row],[LEAVE TYPE]],T_LEAVETYPE[#All],2,0),"")</f>
        <v>VL</v>
      </c>
    </row>
    <row r="97" spans="2:14" x14ac:dyDescent="0.25">
      <c r="B97" s="93">
        <v>43719</v>
      </c>
      <c r="C97" s="48" t="s">
        <v>901</v>
      </c>
      <c r="D97" s="48" t="s">
        <v>1033</v>
      </c>
      <c r="E97" s="4" t="s">
        <v>88</v>
      </c>
      <c r="F97" s="49">
        <v>1</v>
      </c>
      <c r="G97" s="4" t="s">
        <v>1035</v>
      </c>
      <c r="I97" s="4" t="s">
        <v>149</v>
      </c>
      <c r="K97" s="4" t="str">
        <f>IFERROR(LEFT(T_LEAVE[[#This Row],[EMPLOYEE NAME]],LEN(T_LEAVE[[#This Row],[EMPLOYEE NAME]])-3),"")</f>
        <v>VALLADARES, ALLEN</v>
      </c>
      <c r="L97" s="48">
        <f>IFERROR(DATEVALUE(TEXT(RIGHT(T_LEAVE[[#This Row],[LEAVE DATE]],LEN(T_LEAVE[[#This Row],[LEAVE DATE]])-6),"[$-en-US]d-mmm-yyyy;@")),"")</f>
        <v>43734</v>
      </c>
      <c r="M97" s="4" t="str">
        <f>IFERROR(TRIM(T_LEAVE[[#This Row],[TYPE]]),"")</f>
        <v>VACATION LEAVE</v>
      </c>
      <c r="N97" s="69" t="str">
        <f>IFERROR(VLOOKUP(T_LEAVE[[#This Row],[LEAVE TYPE]],T_LEAVETYPE[#All],2,0),"")</f>
        <v>VL</v>
      </c>
    </row>
    <row r="98" spans="2:14" x14ac:dyDescent="0.25">
      <c r="B98" s="93">
        <v>43719</v>
      </c>
      <c r="C98" s="48" t="s">
        <v>902</v>
      </c>
      <c r="D98" s="48" t="s">
        <v>1033</v>
      </c>
      <c r="E98" s="4" t="s">
        <v>88</v>
      </c>
      <c r="F98" s="49">
        <v>1</v>
      </c>
      <c r="G98" s="4" t="s">
        <v>1035</v>
      </c>
      <c r="I98" s="4" t="s">
        <v>149</v>
      </c>
      <c r="K98" s="4" t="str">
        <f>IFERROR(LEFT(T_LEAVE[[#This Row],[EMPLOYEE NAME]],LEN(T_LEAVE[[#This Row],[EMPLOYEE NAME]])-3),"")</f>
        <v>VALLADARES, ALLEN</v>
      </c>
      <c r="L98" s="48">
        <f>IFERROR(DATEVALUE(TEXT(RIGHT(T_LEAVE[[#This Row],[LEAVE DATE]],LEN(T_LEAVE[[#This Row],[LEAVE DATE]])-6),"[$-en-US]d-mmm-yyyy;@")),"")</f>
        <v>43735</v>
      </c>
      <c r="M98" s="4" t="str">
        <f>IFERROR(TRIM(T_LEAVE[[#This Row],[TYPE]]),"")</f>
        <v>VACATION LEAVE</v>
      </c>
      <c r="N98" s="69" t="str">
        <f>IFERROR(VLOOKUP(T_LEAVE[[#This Row],[LEAVE TYPE]],T_LEAVETYPE[#All],2,0),"")</f>
        <v>VL</v>
      </c>
    </row>
    <row r="99" spans="2:14" x14ac:dyDescent="0.25">
      <c r="B99" s="93">
        <v>43719</v>
      </c>
      <c r="C99" s="48" t="s">
        <v>582</v>
      </c>
      <c r="D99" s="48" t="s">
        <v>1033</v>
      </c>
      <c r="E99" s="4" t="s">
        <v>88</v>
      </c>
      <c r="F99" s="49">
        <v>1</v>
      </c>
      <c r="G99" s="4" t="s">
        <v>1035</v>
      </c>
      <c r="I99" s="4" t="s">
        <v>149</v>
      </c>
      <c r="K99" s="4" t="str">
        <f>IFERROR(LEFT(T_LEAVE[[#This Row],[EMPLOYEE NAME]],LEN(T_LEAVE[[#This Row],[EMPLOYEE NAME]])-3),"")</f>
        <v>VALLADARES, ALLEN</v>
      </c>
      <c r="L99" s="48">
        <f>IFERROR(DATEVALUE(TEXT(RIGHT(T_LEAVE[[#This Row],[LEAVE DATE]],LEN(T_LEAVE[[#This Row],[LEAVE DATE]])-6),"[$-en-US]d-mmm-yyyy;@")),"")</f>
        <v>43738</v>
      </c>
      <c r="M99" s="4" t="str">
        <f>IFERROR(TRIM(T_LEAVE[[#This Row],[TYPE]]),"")</f>
        <v>VACATION LEAVE</v>
      </c>
      <c r="N99" s="69" t="str">
        <f>IFERROR(VLOOKUP(T_LEAVE[[#This Row],[LEAVE TYPE]],T_LEAVETYPE[#All],2,0),"")</f>
        <v>VL</v>
      </c>
    </row>
    <row r="100" spans="2:14" x14ac:dyDescent="0.25">
      <c r="B100" s="93">
        <v>43719</v>
      </c>
      <c r="C100" s="48" t="s">
        <v>604</v>
      </c>
      <c r="D100" s="48" t="s">
        <v>1033</v>
      </c>
      <c r="E100" s="4" t="s">
        <v>88</v>
      </c>
      <c r="F100" s="49">
        <v>1</v>
      </c>
      <c r="G100" s="4" t="s">
        <v>1035</v>
      </c>
      <c r="I100" s="4" t="s">
        <v>149</v>
      </c>
      <c r="K100" s="4" t="str">
        <f>IFERROR(LEFT(T_LEAVE[[#This Row],[EMPLOYEE NAME]],LEN(T_LEAVE[[#This Row],[EMPLOYEE NAME]])-3),"")</f>
        <v>VALLADARES, ALLEN</v>
      </c>
      <c r="L100" s="48">
        <f>IFERROR(DATEVALUE(TEXT(RIGHT(T_LEAVE[[#This Row],[LEAVE DATE]],LEN(T_LEAVE[[#This Row],[LEAVE DATE]])-6),"[$-en-US]d-mmm-yyyy;@")),"")</f>
        <v>43739</v>
      </c>
      <c r="M100" s="4" t="str">
        <f>IFERROR(TRIM(T_LEAVE[[#This Row],[TYPE]]),"")</f>
        <v>VACATION LEAVE</v>
      </c>
      <c r="N100" s="69" t="str">
        <f>IFERROR(VLOOKUP(T_LEAVE[[#This Row],[LEAVE TYPE]],T_LEAVETYPE[#All],2,0),"")</f>
        <v>VL</v>
      </c>
    </row>
    <row r="101" spans="2:14" x14ac:dyDescent="0.25">
      <c r="B101" s="93">
        <v>43719</v>
      </c>
      <c r="C101" s="48" t="s">
        <v>755</v>
      </c>
      <c r="D101" s="48" t="s">
        <v>1033</v>
      </c>
      <c r="E101" s="4" t="s">
        <v>88</v>
      </c>
      <c r="F101" s="49">
        <v>1</v>
      </c>
      <c r="G101" s="4" t="s">
        <v>1035</v>
      </c>
      <c r="I101" s="4" t="s">
        <v>149</v>
      </c>
      <c r="K101" s="4" t="str">
        <f>IFERROR(LEFT(T_LEAVE[[#This Row],[EMPLOYEE NAME]],LEN(T_LEAVE[[#This Row],[EMPLOYEE NAME]])-3),"")</f>
        <v>VALLADARES, ALLEN</v>
      </c>
      <c r="L101" s="48">
        <f>IFERROR(DATEVALUE(TEXT(RIGHT(T_LEAVE[[#This Row],[LEAVE DATE]],LEN(T_LEAVE[[#This Row],[LEAVE DATE]])-6),"[$-en-US]d-mmm-yyyy;@")),"")</f>
        <v>43740</v>
      </c>
      <c r="M101" s="4" t="str">
        <f>IFERROR(TRIM(T_LEAVE[[#This Row],[TYPE]]),"")</f>
        <v>VACATION LEAVE</v>
      </c>
      <c r="N101" s="69" t="str">
        <f>IFERROR(VLOOKUP(T_LEAVE[[#This Row],[LEAVE TYPE]],T_LEAVETYPE[#All],2,0),"")</f>
        <v>VL</v>
      </c>
    </row>
    <row r="102" spans="2:14" x14ac:dyDescent="0.25">
      <c r="B102" s="93">
        <v>43721</v>
      </c>
      <c r="C102" s="48" t="s">
        <v>519</v>
      </c>
      <c r="D102" s="48" t="s">
        <v>629</v>
      </c>
      <c r="E102" s="4" t="s">
        <v>89</v>
      </c>
      <c r="F102" s="49">
        <v>1</v>
      </c>
      <c r="G102" s="4" t="s">
        <v>634</v>
      </c>
      <c r="I102" s="4" t="s">
        <v>149</v>
      </c>
      <c r="K102" s="4" t="str">
        <f>IFERROR(LEFT(T_LEAVE[[#This Row],[EMPLOYEE NAME]],LEN(T_LEAVE[[#This Row],[EMPLOYEE NAME]])-3),"")</f>
        <v>JAIME, JACYLYN</v>
      </c>
      <c r="L102" s="48">
        <f>IFERROR(DATEVALUE(TEXT(RIGHT(T_LEAVE[[#This Row],[LEAVE DATE]],LEN(T_LEAVE[[#This Row],[LEAVE DATE]])-6),"[$-en-US]d-mmm-yyyy;@")),"")</f>
        <v>43719</v>
      </c>
      <c r="M102" s="4" t="str">
        <f>IFERROR(TRIM(T_LEAVE[[#This Row],[TYPE]]),"")</f>
        <v>SICK LEAVE</v>
      </c>
      <c r="N102" s="69" t="str">
        <f>IFERROR(VLOOKUP(T_LEAVE[[#This Row],[LEAVE TYPE]],T_LEAVETYPE[#All],2,0),"")</f>
        <v>SL</v>
      </c>
    </row>
    <row r="103" spans="2:14" x14ac:dyDescent="0.25">
      <c r="B103" s="93">
        <v>43724</v>
      </c>
      <c r="C103" s="48" t="s">
        <v>155</v>
      </c>
      <c r="D103" s="48" t="s">
        <v>147</v>
      </c>
      <c r="E103" s="4" t="s">
        <v>88</v>
      </c>
      <c r="F103" s="49">
        <v>1</v>
      </c>
      <c r="G103" s="4" t="s">
        <v>156</v>
      </c>
      <c r="I103" s="4" t="s">
        <v>149</v>
      </c>
      <c r="K103" s="4" t="str">
        <f>IFERROR(LEFT(T_LEAVE[[#This Row],[EMPLOYEE NAME]],LEN(T_LEAVE[[#This Row],[EMPLOYEE NAME]])-3),"")</f>
        <v>ACOSTA, JOSEPH VAUGHN</v>
      </c>
      <c r="L103" s="48">
        <f>IFERROR(DATEVALUE(TEXT(RIGHT(T_LEAVE[[#This Row],[LEAVE DATE]],LEN(T_LEAVE[[#This Row],[LEAVE DATE]])-6),"[$-en-US]d-mmm-yyyy;@")),"")</f>
        <v>43757</v>
      </c>
      <c r="M103" s="4" t="str">
        <f>IFERROR(TRIM(T_LEAVE[[#This Row],[TYPE]]),"")</f>
        <v>VACATION LEAVE</v>
      </c>
      <c r="N103" s="4" t="str">
        <f>IFERROR(VLOOKUP(T_LEAVE[[#This Row],[LEAVE TYPE]],T_LEAVETYPE[#All],2,0),"")</f>
        <v>VL</v>
      </c>
    </row>
    <row r="104" spans="2:14" x14ac:dyDescent="0.25">
      <c r="B104" s="93">
        <v>43724</v>
      </c>
      <c r="C104" s="48" t="s">
        <v>157</v>
      </c>
      <c r="D104" s="48" t="s">
        <v>147</v>
      </c>
      <c r="E104" s="4" t="s">
        <v>88</v>
      </c>
      <c r="F104" s="49">
        <v>1</v>
      </c>
      <c r="G104" s="4" t="s">
        <v>156</v>
      </c>
      <c r="I104" s="4" t="s">
        <v>149</v>
      </c>
      <c r="K104" s="4" t="str">
        <f>IFERROR(LEFT(T_LEAVE[[#This Row],[EMPLOYEE NAME]],LEN(T_LEAVE[[#This Row],[EMPLOYEE NAME]])-3),"")</f>
        <v>ACOSTA, JOSEPH VAUGHN</v>
      </c>
      <c r="L104" s="48">
        <f>IFERROR(DATEVALUE(TEXT(RIGHT(T_LEAVE[[#This Row],[LEAVE DATE]],LEN(T_LEAVE[[#This Row],[LEAVE DATE]])-6),"[$-en-US]d-mmm-yyyy;@")),"")</f>
        <v>43758</v>
      </c>
      <c r="M104" s="4" t="str">
        <f>IFERROR(TRIM(T_LEAVE[[#This Row],[TYPE]]),"")</f>
        <v>VACATION LEAVE</v>
      </c>
      <c r="N104" s="4" t="str">
        <f>IFERROR(VLOOKUP(T_LEAVE[[#This Row],[LEAVE TYPE]],T_LEAVETYPE[#All],2,0),"")</f>
        <v>VL</v>
      </c>
    </row>
    <row r="105" spans="2:14" x14ac:dyDescent="0.25">
      <c r="B105" s="93">
        <v>43724</v>
      </c>
      <c r="C105" s="48" t="s">
        <v>158</v>
      </c>
      <c r="D105" s="48" t="s">
        <v>147</v>
      </c>
      <c r="E105" s="4" t="s">
        <v>88</v>
      </c>
      <c r="F105" s="49">
        <v>1</v>
      </c>
      <c r="G105" s="4" t="s">
        <v>156</v>
      </c>
      <c r="I105" s="4" t="s">
        <v>149</v>
      </c>
      <c r="K105" s="4" t="str">
        <f>IFERROR(LEFT(T_LEAVE[[#This Row],[EMPLOYEE NAME]],LEN(T_LEAVE[[#This Row],[EMPLOYEE NAME]])-3),"")</f>
        <v>ACOSTA, JOSEPH VAUGHN</v>
      </c>
      <c r="L105" s="48">
        <f>IFERROR(DATEVALUE(TEXT(RIGHT(T_LEAVE[[#This Row],[LEAVE DATE]],LEN(T_LEAVE[[#This Row],[LEAVE DATE]])-6),"[$-en-US]d-mmm-yyyy;@")),"")</f>
        <v>43759</v>
      </c>
      <c r="M105" s="4" t="str">
        <f>IFERROR(TRIM(T_LEAVE[[#This Row],[TYPE]]),"")</f>
        <v>VACATION LEAVE</v>
      </c>
      <c r="N105" s="4" t="str">
        <f>IFERROR(VLOOKUP(T_LEAVE[[#This Row],[LEAVE TYPE]],T_LEAVETYPE[#All],2,0),"")</f>
        <v>VL</v>
      </c>
    </row>
    <row r="106" spans="2:14" x14ac:dyDescent="0.25">
      <c r="B106" s="93">
        <v>43724</v>
      </c>
      <c r="C106" s="48" t="s">
        <v>668</v>
      </c>
      <c r="D106" s="48" t="s">
        <v>666</v>
      </c>
      <c r="E106" s="4" t="s">
        <v>89</v>
      </c>
      <c r="F106" s="49">
        <v>1</v>
      </c>
      <c r="G106" s="4" t="s">
        <v>669</v>
      </c>
      <c r="H106" s="4" t="s">
        <v>165</v>
      </c>
      <c r="I106" s="4" t="s">
        <v>149</v>
      </c>
      <c r="K106" s="4" t="str">
        <f>IFERROR(LEFT(T_LEAVE[[#This Row],[EMPLOYEE NAME]],LEN(T_LEAVE[[#This Row],[EMPLOYEE NAME]])-3),"")</f>
        <v>LARIZA, MELANIE DELA CRUZ</v>
      </c>
      <c r="L106" s="48">
        <f>IFERROR(DATEVALUE(TEXT(RIGHT(T_LEAVE[[#This Row],[LEAVE DATE]],LEN(T_LEAVE[[#This Row],[LEAVE DATE]])-6),"[$-en-US]d-mmm-yyyy;@")),"")</f>
        <v>43721</v>
      </c>
      <c r="M106" s="4" t="str">
        <f>IFERROR(TRIM(T_LEAVE[[#This Row],[TYPE]]),"")</f>
        <v>SICK LEAVE</v>
      </c>
      <c r="N106" s="69" t="str">
        <f>IFERROR(VLOOKUP(T_LEAVE[[#This Row],[LEAVE TYPE]],T_LEAVETYPE[#All],2,0),"")</f>
        <v>SL</v>
      </c>
    </row>
    <row r="107" spans="2:14" x14ac:dyDescent="0.25">
      <c r="B107" s="93">
        <v>43726</v>
      </c>
      <c r="C107" s="48" t="s">
        <v>604</v>
      </c>
      <c r="D107" s="48" t="s">
        <v>753</v>
      </c>
      <c r="E107" s="4" t="s">
        <v>88</v>
      </c>
      <c r="F107" s="49">
        <v>1</v>
      </c>
      <c r="G107" s="4" t="s">
        <v>754</v>
      </c>
      <c r="I107" s="4" t="s">
        <v>149</v>
      </c>
      <c r="K107" s="4" t="str">
        <f>IFERROR(LEFT(T_LEAVE[[#This Row],[EMPLOYEE NAME]],LEN(T_LEAVE[[#This Row],[EMPLOYEE NAME]])-3),"")</f>
        <v>LEGASPI, ARABELLE</v>
      </c>
      <c r="L107" s="48">
        <f>IFERROR(DATEVALUE(TEXT(RIGHT(T_LEAVE[[#This Row],[LEAVE DATE]],LEN(T_LEAVE[[#This Row],[LEAVE DATE]])-6),"[$-en-US]d-mmm-yyyy;@")),"")</f>
        <v>43739</v>
      </c>
      <c r="M107" s="4" t="str">
        <f>IFERROR(TRIM(T_LEAVE[[#This Row],[TYPE]]),"")</f>
        <v>VACATION LEAVE</v>
      </c>
      <c r="N107" s="69" t="str">
        <f>IFERROR(VLOOKUP(T_LEAVE[[#This Row],[LEAVE TYPE]],T_LEAVETYPE[#All],2,0),"")</f>
        <v>VL</v>
      </c>
    </row>
    <row r="108" spans="2:14" x14ac:dyDescent="0.25">
      <c r="B108" s="93">
        <v>43726</v>
      </c>
      <c r="C108" s="48" t="s">
        <v>755</v>
      </c>
      <c r="D108" s="48" t="s">
        <v>753</v>
      </c>
      <c r="E108" s="4" t="s">
        <v>88</v>
      </c>
      <c r="F108" s="49">
        <v>1</v>
      </c>
      <c r="G108" s="4" t="s">
        <v>754</v>
      </c>
      <c r="I108" s="4" t="s">
        <v>149</v>
      </c>
      <c r="K108" s="4" t="str">
        <f>IFERROR(LEFT(T_LEAVE[[#This Row],[EMPLOYEE NAME]],LEN(T_LEAVE[[#This Row],[EMPLOYEE NAME]])-3),"")</f>
        <v>LEGASPI, ARABELLE</v>
      </c>
      <c r="L108" s="48">
        <f>IFERROR(DATEVALUE(TEXT(RIGHT(T_LEAVE[[#This Row],[LEAVE DATE]],LEN(T_LEAVE[[#This Row],[LEAVE DATE]])-6),"[$-en-US]d-mmm-yyyy;@")),"")</f>
        <v>43740</v>
      </c>
      <c r="M108" s="4" t="str">
        <f>IFERROR(TRIM(T_LEAVE[[#This Row],[TYPE]]),"")</f>
        <v>VACATION LEAVE</v>
      </c>
      <c r="N108" s="69" t="str">
        <f>IFERROR(VLOOKUP(T_LEAVE[[#This Row],[LEAVE TYPE]],T_LEAVETYPE[#All],2,0),"")</f>
        <v>VL</v>
      </c>
    </row>
    <row r="109" spans="2:14" x14ac:dyDescent="0.25">
      <c r="B109" s="93">
        <v>43726</v>
      </c>
      <c r="C109" s="48" t="s">
        <v>756</v>
      </c>
      <c r="D109" s="48" t="s">
        <v>753</v>
      </c>
      <c r="E109" s="4" t="s">
        <v>88</v>
      </c>
      <c r="F109" s="49">
        <v>1</v>
      </c>
      <c r="G109" s="4" t="s">
        <v>754</v>
      </c>
      <c r="I109" s="4" t="s">
        <v>149</v>
      </c>
      <c r="K109" s="4" t="str">
        <f>IFERROR(LEFT(T_LEAVE[[#This Row],[EMPLOYEE NAME]],LEN(T_LEAVE[[#This Row],[EMPLOYEE NAME]])-3),"")</f>
        <v>LEGASPI, ARABELLE</v>
      </c>
      <c r="L109" s="48">
        <f>IFERROR(DATEVALUE(TEXT(RIGHT(T_LEAVE[[#This Row],[LEAVE DATE]],LEN(T_LEAVE[[#This Row],[LEAVE DATE]])-6),"[$-en-US]d-mmm-yyyy;@")),"")</f>
        <v>43741</v>
      </c>
      <c r="M109" s="4" t="str">
        <f>IFERROR(TRIM(T_LEAVE[[#This Row],[TYPE]]),"")</f>
        <v>VACATION LEAVE</v>
      </c>
      <c r="N109" s="69" t="str">
        <f>IFERROR(VLOOKUP(T_LEAVE[[#This Row],[LEAVE TYPE]],T_LEAVETYPE[#All],2,0),"")</f>
        <v>VL</v>
      </c>
    </row>
    <row r="110" spans="2:14" x14ac:dyDescent="0.25">
      <c r="B110" s="93">
        <v>43728</v>
      </c>
      <c r="C110" s="48" t="s">
        <v>364</v>
      </c>
      <c r="D110" s="48" t="s">
        <v>365</v>
      </c>
      <c r="E110" s="4" t="s">
        <v>88</v>
      </c>
      <c r="F110" s="49">
        <v>1</v>
      </c>
      <c r="G110" s="4" t="s">
        <v>366</v>
      </c>
      <c r="I110" s="4" t="s">
        <v>149</v>
      </c>
      <c r="K110" s="4" t="str">
        <f>IFERROR(LEFT(T_LEAVE[[#This Row],[EMPLOYEE NAME]],LEN(T_LEAVE[[#This Row],[EMPLOYEE NAME]])-3),"")</f>
        <v>CASAS JR., BERNARDO</v>
      </c>
      <c r="L110" s="48">
        <f>IFERROR(DATEVALUE(TEXT(RIGHT(T_LEAVE[[#This Row],[LEAVE DATE]],LEN(T_LEAVE[[#This Row],[LEAVE DATE]])-6),"[$-en-US]d-mmm-yyyy;@")),"")</f>
        <v>43749</v>
      </c>
      <c r="M110" s="4" t="str">
        <f>IFERROR(TRIM(T_LEAVE[[#This Row],[TYPE]]),"")</f>
        <v>VACATION LEAVE</v>
      </c>
      <c r="N110" s="69" t="str">
        <f>IFERROR(VLOOKUP(T_LEAVE[[#This Row],[LEAVE TYPE]],T_LEAVETYPE[#All],2,0),"")</f>
        <v>VL</v>
      </c>
    </row>
    <row r="111" spans="2:14" x14ac:dyDescent="0.25">
      <c r="B111" s="93">
        <v>43728</v>
      </c>
      <c r="C111" s="48" t="s">
        <v>364</v>
      </c>
      <c r="D111" s="48" t="s">
        <v>382</v>
      </c>
      <c r="E111" s="4" t="s">
        <v>88</v>
      </c>
      <c r="F111" s="49">
        <v>1</v>
      </c>
      <c r="G111" s="4" t="s">
        <v>389</v>
      </c>
      <c r="I111" s="4" t="s">
        <v>149</v>
      </c>
      <c r="K111" s="4" t="str">
        <f>IFERROR(LEFT(T_LEAVE[[#This Row],[EMPLOYEE NAME]],LEN(T_LEAVE[[#This Row],[EMPLOYEE NAME]])-3),"")</f>
        <v>CONSTANTINO, IAN ARCHIMEDES</v>
      </c>
      <c r="L111" s="48">
        <f>IFERROR(DATEVALUE(TEXT(RIGHT(T_LEAVE[[#This Row],[LEAVE DATE]],LEN(T_LEAVE[[#This Row],[LEAVE DATE]])-6),"[$-en-US]d-mmm-yyyy;@")),"")</f>
        <v>43749</v>
      </c>
      <c r="M111" s="4" t="str">
        <f>IFERROR(TRIM(T_LEAVE[[#This Row],[TYPE]]),"")</f>
        <v>VACATION LEAVE</v>
      </c>
      <c r="N111" s="69" t="str">
        <f>IFERROR(VLOOKUP(T_LEAVE[[#This Row],[LEAVE TYPE]],T_LEAVETYPE[#All],2,0),"")</f>
        <v>VL</v>
      </c>
    </row>
    <row r="112" spans="2:14" x14ac:dyDescent="0.25">
      <c r="B112" s="93">
        <v>43728</v>
      </c>
      <c r="C112" s="48" t="s">
        <v>364</v>
      </c>
      <c r="D112" s="48" t="s">
        <v>496</v>
      </c>
      <c r="E112" s="4" t="s">
        <v>88</v>
      </c>
      <c r="F112" s="49">
        <v>1</v>
      </c>
      <c r="G112" s="4" t="s">
        <v>503</v>
      </c>
      <c r="I112" s="4" t="s">
        <v>149</v>
      </c>
      <c r="K112" s="4" t="str">
        <f>IFERROR(LEFT(T_LEAVE[[#This Row],[EMPLOYEE NAME]],LEN(T_LEAVE[[#This Row],[EMPLOYEE NAME]])-3),"")</f>
        <v>FACTO, SHANICE</v>
      </c>
      <c r="L112" s="48">
        <f>IFERROR(DATEVALUE(TEXT(RIGHT(T_LEAVE[[#This Row],[LEAVE DATE]],LEN(T_LEAVE[[#This Row],[LEAVE DATE]])-6),"[$-en-US]d-mmm-yyyy;@")),"")</f>
        <v>43749</v>
      </c>
      <c r="M112" s="4" t="str">
        <f>IFERROR(TRIM(T_LEAVE[[#This Row],[TYPE]]),"")</f>
        <v>VACATION LEAVE</v>
      </c>
      <c r="N112" s="69" t="str">
        <f>IFERROR(VLOOKUP(T_LEAVE[[#This Row],[LEAVE TYPE]],T_LEAVETYPE[#All],2,0),"")</f>
        <v>VL</v>
      </c>
    </row>
    <row r="113" spans="2:14" x14ac:dyDescent="0.25">
      <c r="B113" s="93">
        <v>43728</v>
      </c>
      <c r="C113" s="48" t="s">
        <v>903</v>
      </c>
      <c r="D113" s="48" t="s">
        <v>899</v>
      </c>
      <c r="E113" s="4" t="s">
        <v>88</v>
      </c>
      <c r="F113" s="49">
        <v>1</v>
      </c>
      <c r="G113" s="4" t="s">
        <v>904</v>
      </c>
      <c r="I113" s="4" t="s">
        <v>149</v>
      </c>
      <c r="K113" s="4" t="str">
        <f>IFERROR(LEFT(T_LEAVE[[#This Row],[EMPLOYEE NAME]],LEN(T_LEAVE[[#This Row],[EMPLOYEE NAME]])-3),"")</f>
        <v>PATULOT, MARIROSE</v>
      </c>
      <c r="L113" s="48">
        <f>IFERROR(DATEVALUE(TEXT(RIGHT(T_LEAVE[[#This Row],[LEAVE DATE]],LEN(T_LEAVE[[#This Row],[LEAVE DATE]])-6),"[$-en-US]d-mmm-yyyy;@")),"")</f>
        <v>43756</v>
      </c>
      <c r="M113" s="4" t="str">
        <f>IFERROR(TRIM(T_LEAVE[[#This Row],[TYPE]]),"")</f>
        <v>VACATION LEAVE</v>
      </c>
      <c r="N113" s="69" t="str">
        <f>IFERROR(VLOOKUP(T_LEAVE[[#This Row],[LEAVE TYPE]],T_LEAVETYPE[#All],2,0),"")</f>
        <v>VL</v>
      </c>
    </row>
    <row r="114" spans="2:14" x14ac:dyDescent="0.25">
      <c r="B114" s="93">
        <v>43734</v>
      </c>
      <c r="C114" s="48" t="s">
        <v>990</v>
      </c>
      <c r="D114" s="48" t="s">
        <v>989</v>
      </c>
      <c r="E114" s="4" t="s">
        <v>89</v>
      </c>
      <c r="F114" s="49">
        <v>1</v>
      </c>
      <c r="G114" s="4" t="s">
        <v>793</v>
      </c>
      <c r="I114" s="4" t="s">
        <v>149</v>
      </c>
      <c r="K114" s="4" t="str">
        <f>IFERROR(LEFT(T_LEAVE[[#This Row],[EMPLOYEE NAME]],LEN(T_LEAVE[[#This Row],[EMPLOYEE NAME]])-3),"")</f>
        <v>TABUNAN, LIZEL</v>
      </c>
      <c r="L114" s="48">
        <f>IFERROR(DATEVALUE(TEXT(RIGHT(T_LEAVE[[#This Row],[LEAVE DATE]],LEN(T_LEAVE[[#This Row],[LEAVE DATE]])-6),"[$-en-US]d-mmm-yyyy;@")),"")</f>
        <v>43733</v>
      </c>
      <c r="M114" s="4" t="str">
        <f>IFERROR(TRIM(T_LEAVE[[#This Row],[TYPE]]),"")</f>
        <v>SICK LEAVE</v>
      </c>
      <c r="N114" s="69" t="str">
        <f>IFERROR(VLOOKUP(T_LEAVE[[#This Row],[LEAVE TYPE]],T_LEAVETYPE[#All],2,0),"")</f>
        <v>SL</v>
      </c>
    </row>
    <row r="115" spans="2:14" x14ac:dyDescent="0.25">
      <c r="B115" s="93">
        <v>43738</v>
      </c>
      <c r="C115" s="48" t="s">
        <v>901</v>
      </c>
      <c r="D115" s="48" t="s">
        <v>1004</v>
      </c>
      <c r="E115" s="4" t="s">
        <v>89</v>
      </c>
      <c r="F115" s="49">
        <v>1</v>
      </c>
      <c r="G115" s="4" t="s">
        <v>1006</v>
      </c>
      <c r="H115" s="4" t="s">
        <v>165</v>
      </c>
      <c r="I115" s="4" t="s">
        <v>149</v>
      </c>
      <c r="K115" s="4" t="str">
        <f>IFERROR(LEFT(T_LEAVE[[#This Row],[EMPLOYEE NAME]],LEN(T_LEAVE[[#This Row],[EMPLOYEE NAME]])-3),"")</f>
        <v>VALENCIA, WINDSOR ROBERT</v>
      </c>
      <c r="L115" s="48">
        <f>IFERROR(DATEVALUE(TEXT(RIGHT(T_LEAVE[[#This Row],[LEAVE DATE]],LEN(T_LEAVE[[#This Row],[LEAVE DATE]])-6),"[$-en-US]d-mmm-yyyy;@")),"")</f>
        <v>43734</v>
      </c>
      <c r="M115" s="4" t="str">
        <f>IFERROR(TRIM(T_LEAVE[[#This Row],[TYPE]]),"")</f>
        <v>SICK LEAVE</v>
      </c>
      <c r="N115" s="69" t="str">
        <f>IFERROR(VLOOKUP(T_LEAVE[[#This Row],[LEAVE TYPE]],T_LEAVETYPE[#All],2,0),"")</f>
        <v>SL</v>
      </c>
    </row>
    <row r="116" spans="2:14" x14ac:dyDescent="0.25">
      <c r="B116" s="93">
        <v>43739</v>
      </c>
      <c r="C116" s="48" t="s">
        <v>562</v>
      </c>
      <c r="D116" s="48" t="s">
        <v>558</v>
      </c>
      <c r="E116" s="4" t="s">
        <v>88</v>
      </c>
      <c r="F116" s="49">
        <v>1</v>
      </c>
      <c r="G116" s="4" t="s">
        <v>563</v>
      </c>
      <c r="I116" s="4" t="s">
        <v>149</v>
      </c>
      <c r="K116" s="4" t="str">
        <f>IFERROR(LEFT(T_LEAVE[[#This Row],[EMPLOYEE NAME]],LEN(T_LEAVE[[#This Row],[EMPLOYEE NAME]])-3),"")</f>
        <v>GONZALES, MA-ANNE</v>
      </c>
      <c r="L116" s="48">
        <f>IFERROR(DATEVALUE(TEXT(RIGHT(T_LEAVE[[#This Row],[LEAVE DATE]],LEN(T_LEAVE[[#This Row],[LEAVE DATE]])-6),"[$-en-US]d-mmm-yyyy;@")),"")</f>
        <v>43747</v>
      </c>
      <c r="M116" s="4" t="str">
        <f>IFERROR(TRIM(T_LEAVE[[#This Row],[TYPE]]),"")</f>
        <v>VACATION LEAVE</v>
      </c>
      <c r="N116" s="69" t="str">
        <f>IFERROR(VLOOKUP(T_LEAVE[[#This Row],[LEAVE TYPE]],T_LEAVETYPE[#All],2,0),"")</f>
        <v>VL</v>
      </c>
    </row>
    <row r="117" spans="2:14" x14ac:dyDescent="0.25">
      <c r="B117" s="93">
        <v>43741</v>
      </c>
      <c r="C117" s="48" t="s">
        <v>604</v>
      </c>
      <c r="D117" s="48" t="s">
        <v>602</v>
      </c>
      <c r="E117" s="4" t="s">
        <v>89</v>
      </c>
      <c r="F117" s="49">
        <v>1</v>
      </c>
      <c r="G117" s="4" t="s">
        <v>89</v>
      </c>
      <c r="I117" s="4" t="s">
        <v>149</v>
      </c>
      <c r="K117" s="4" t="str">
        <f>IFERROR(LEFT(T_LEAVE[[#This Row],[EMPLOYEE NAME]],LEN(T_LEAVE[[#This Row],[EMPLOYEE NAME]])-3),"")</f>
        <v>HIPOLITO, JOYCE ANN KENETH</v>
      </c>
      <c r="L117" s="48">
        <f>IFERROR(DATEVALUE(TEXT(RIGHT(T_LEAVE[[#This Row],[LEAVE DATE]],LEN(T_LEAVE[[#This Row],[LEAVE DATE]])-6),"[$-en-US]d-mmm-yyyy;@")),"")</f>
        <v>43739</v>
      </c>
      <c r="M117" s="4" t="str">
        <f>IFERROR(TRIM(T_LEAVE[[#This Row],[TYPE]]),"")</f>
        <v>SICK LEAVE</v>
      </c>
      <c r="N117" s="69" t="str">
        <f>IFERROR(VLOOKUP(T_LEAVE[[#This Row],[LEAVE TYPE]],T_LEAVETYPE[#All],2,0),"")</f>
        <v>SL</v>
      </c>
    </row>
    <row r="118" spans="2:14" x14ac:dyDescent="0.25">
      <c r="B118" s="93">
        <v>43748</v>
      </c>
      <c r="C118" s="48" t="s">
        <v>562</v>
      </c>
      <c r="D118" s="48" t="s">
        <v>923</v>
      </c>
      <c r="E118" s="4" t="s">
        <v>89</v>
      </c>
      <c r="F118" s="49">
        <v>1</v>
      </c>
      <c r="G118" s="4" t="s">
        <v>784</v>
      </c>
      <c r="I118" s="4" t="s">
        <v>149</v>
      </c>
      <c r="K118" s="4" t="str">
        <f>IFERROR(LEFT(T_LEAVE[[#This Row],[EMPLOYEE NAME]],LEN(T_LEAVE[[#This Row],[EMPLOYEE NAME]])-3),"")</f>
        <v>REOTIREZ, REYMONG</v>
      </c>
      <c r="L118" s="48">
        <f>IFERROR(DATEVALUE(TEXT(RIGHT(T_LEAVE[[#This Row],[LEAVE DATE]],LEN(T_LEAVE[[#This Row],[LEAVE DATE]])-6),"[$-en-US]d-mmm-yyyy;@")),"")</f>
        <v>43747</v>
      </c>
      <c r="M118" s="4" t="str">
        <f>IFERROR(TRIM(T_LEAVE[[#This Row],[TYPE]]),"")</f>
        <v>SICK LEAVE</v>
      </c>
      <c r="N118" s="69" t="str">
        <f>IFERROR(VLOOKUP(T_LEAVE[[#This Row],[LEAVE TYPE]],T_LEAVETYPE[#All],2,0),"")</f>
        <v>SL</v>
      </c>
    </row>
    <row r="119" spans="2:14" x14ac:dyDescent="0.25">
      <c r="B119" s="93">
        <v>43753</v>
      </c>
      <c r="C119" s="48" t="s">
        <v>759</v>
      </c>
      <c r="D119" s="48" t="s">
        <v>923</v>
      </c>
      <c r="E119" s="4" t="s">
        <v>88</v>
      </c>
      <c r="F119" s="49">
        <v>1</v>
      </c>
      <c r="G119" s="4" t="s">
        <v>924</v>
      </c>
      <c r="I119" s="4" t="s">
        <v>149</v>
      </c>
      <c r="K119" s="4" t="str">
        <f>IFERROR(LEFT(T_LEAVE[[#This Row],[EMPLOYEE NAME]],LEN(T_LEAVE[[#This Row],[EMPLOYEE NAME]])-3),"")</f>
        <v>REOTIREZ, REYMONG</v>
      </c>
      <c r="L119" s="48">
        <f>IFERROR(DATEVALUE(TEXT(RIGHT(T_LEAVE[[#This Row],[LEAVE DATE]],LEN(T_LEAVE[[#This Row],[LEAVE DATE]])-6),"[$-en-US]d-mmm-yyyy;@")),"")</f>
        <v>43755</v>
      </c>
      <c r="M119" s="4" t="str">
        <f>IFERROR(TRIM(T_LEAVE[[#This Row],[TYPE]]),"")</f>
        <v>VACATION LEAVE</v>
      </c>
      <c r="N119" s="69" t="str">
        <f>IFERROR(VLOOKUP(T_LEAVE[[#This Row],[LEAVE TYPE]],T_LEAVETYPE[#All],2,0),"")</f>
        <v>VL</v>
      </c>
    </row>
    <row r="120" spans="2:14" x14ac:dyDescent="0.25">
      <c r="B120" s="93">
        <v>43755</v>
      </c>
      <c r="C120" s="48" t="s">
        <v>758</v>
      </c>
      <c r="D120" s="48" t="s">
        <v>1142</v>
      </c>
      <c r="E120" s="4" t="s">
        <v>89</v>
      </c>
      <c r="F120" s="49">
        <v>1</v>
      </c>
      <c r="G120" s="4" t="s">
        <v>1143</v>
      </c>
      <c r="I120" s="4" t="s">
        <v>149</v>
      </c>
      <c r="K120" s="4" t="str">
        <f>IFERROR(LEFT(T_LEAVE[[#This Row],[EMPLOYEE NAME]],LEN(T_LEAVE[[#This Row],[EMPLOYEE NAME]])-3),"")</f>
        <v>WENCESLAO, JOHN GLENN</v>
      </c>
      <c r="L120" s="48">
        <f>IFERROR(DATEVALUE(TEXT(RIGHT(T_LEAVE[[#This Row],[LEAVE DATE]],LEN(T_LEAVE[[#This Row],[LEAVE DATE]])-6),"[$-en-US]d-mmm-yyyy;@")),"")</f>
        <v>43754</v>
      </c>
      <c r="M120" s="4" t="str">
        <f>IFERROR(TRIM(T_LEAVE[[#This Row],[TYPE]]),"")</f>
        <v>SICK LEAVE</v>
      </c>
      <c r="N120" s="69" t="str">
        <f>IFERROR(VLOOKUP(T_LEAVE[[#This Row],[LEAVE TYPE]],T_LEAVETYPE[#All],2,0),"")</f>
        <v>SL</v>
      </c>
    </row>
    <row r="121" spans="2:14" x14ac:dyDescent="0.25">
      <c r="B121" s="93">
        <v>43757</v>
      </c>
      <c r="C121" s="48" t="s">
        <v>390</v>
      </c>
      <c r="D121" s="48" t="s">
        <v>753</v>
      </c>
      <c r="E121" s="4" t="s">
        <v>89</v>
      </c>
      <c r="F121" s="49">
        <v>1</v>
      </c>
      <c r="G121" s="4" t="s">
        <v>757</v>
      </c>
      <c r="I121" s="4" t="s">
        <v>149</v>
      </c>
      <c r="K121" s="4" t="str">
        <f>IFERROR(LEFT(T_LEAVE[[#This Row],[EMPLOYEE NAME]],LEN(T_LEAVE[[#This Row],[EMPLOYEE NAME]])-3),"")</f>
        <v>LEGASPI, ARABELLE</v>
      </c>
      <c r="L121" s="48">
        <f>IFERROR(DATEVALUE(TEXT(RIGHT(T_LEAVE[[#This Row],[LEAVE DATE]],LEN(T_LEAVE[[#This Row],[LEAVE DATE]])-6),"[$-en-US]d-mmm-yyyy;@")),"")</f>
        <v>43753</v>
      </c>
      <c r="M121" s="4" t="str">
        <f>IFERROR(TRIM(T_LEAVE[[#This Row],[TYPE]]),"")</f>
        <v>SICK LEAVE</v>
      </c>
      <c r="N121" s="69" t="str">
        <f>IFERROR(VLOOKUP(T_LEAVE[[#This Row],[LEAVE TYPE]],T_LEAVETYPE[#All],2,0),"")</f>
        <v>SL</v>
      </c>
    </row>
    <row r="122" spans="2:14" x14ac:dyDescent="0.25">
      <c r="B122" s="93">
        <v>43757</v>
      </c>
      <c r="C122" s="48" t="s">
        <v>758</v>
      </c>
      <c r="D122" s="48" t="s">
        <v>753</v>
      </c>
      <c r="E122" s="4" t="s">
        <v>89</v>
      </c>
      <c r="F122" s="49">
        <v>1</v>
      </c>
      <c r="G122" s="4" t="s">
        <v>757</v>
      </c>
      <c r="I122" s="4" t="s">
        <v>149</v>
      </c>
      <c r="K122" s="4" t="str">
        <f>IFERROR(LEFT(T_LEAVE[[#This Row],[EMPLOYEE NAME]],LEN(T_LEAVE[[#This Row],[EMPLOYEE NAME]])-3),"")</f>
        <v>LEGASPI, ARABELLE</v>
      </c>
      <c r="L122" s="48">
        <f>IFERROR(DATEVALUE(TEXT(RIGHT(T_LEAVE[[#This Row],[LEAVE DATE]],LEN(T_LEAVE[[#This Row],[LEAVE DATE]])-6),"[$-en-US]d-mmm-yyyy;@")),"")</f>
        <v>43754</v>
      </c>
      <c r="M122" s="4" t="str">
        <f>IFERROR(TRIM(T_LEAVE[[#This Row],[TYPE]]),"")</f>
        <v>SICK LEAVE</v>
      </c>
      <c r="N122" s="69" t="str">
        <f>IFERROR(VLOOKUP(T_LEAVE[[#This Row],[LEAVE TYPE]],T_LEAVETYPE[#All],2,0),"")</f>
        <v>SL</v>
      </c>
    </row>
    <row r="123" spans="2:14" x14ac:dyDescent="0.25">
      <c r="B123" s="93">
        <v>43757</v>
      </c>
      <c r="C123" s="48" t="s">
        <v>759</v>
      </c>
      <c r="D123" s="48" t="s">
        <v>753</v>
      </c>
      <c r="E123" s="4" t="s">
        <v>89</v>
      </c>
      <c r="F123" s="49">
        <v>1</v>
      </c>
      <c r="G123" s="4" t="s">
        <v>757</v>
      </c>
      <c r="I123" s="4" t="s">
        <v>149</v>
      </c>
      <c r="K123" s="4" t="str">
        <f>IFERROR(LEFT(T_LEAVE[[#This Row],[EMPLOYEE NAME]],LEN(T_LEAVE[[#This Row],[EMPLOYEE NAME]])-3),"")</f>
        <v>LEGASPI, ARABELLE</v>
      </c>
      <c r="L123" s="48">
        <f>IFERROR(DATEVALUE(TEXT(RIGHT(T_LEAVE[[#This Row],[LEAVE DATE]],LEN(T_LEAVE[[#This Row],[LEAVE DATE]])-6),"[$-en-US]d-mmm-yyyy;@")),"")</f>
        <v>43755</v>
      </c>
      <c r="M123" s="4" t="str">
        <f>IFERROR(TRIM(T_LEAVE[[#This Row],[TYPE]]),"")</f>
        <v>SICK LEAVE</v>
      </c>
      <c r="N123" s="69" t="str">
        <f>IFERROR(VLOOKUP(T_LEAVE[[#This Row],[LEAVE TYPE]],T_LEAVETYPE[#All],2,0),"")</f>
        <v>SL</v>
      </c>
    </row>
    <row r="124" spans="2:14" x14ac:dyDescent="0.25">
      <c r="B124" s="93">
        <v>43758</v>
      </c>
      <c r="C124" s="48" t="s">
        <v>155</v>
      </c>
      <c r="D124" s="48" t="s">
        <v>1033</v>
      </c>
      <c r="E124" s="4" t="s">
        <v>89</v>
      </c>
      <c r="F124" s="49">
        <v>1</v>
      </c>
      <c r="G124" s="4" t="s">
        <v>1036</v>
      </c>
      <c r="I124" s="4" t="s">
        <v>149</v>
      </c>
      <c r="K124" s="4" t="str">
        <f>IFERROR(LEFT(T_LEAVE[[#This Row],[EMPLOYEE NAME]],LEN(T_LEAVE[[#This Row],[EMPLOYEE NAME]])-3),"")</f>
        <v>VALLADARES, ALLEN</v>
      </c>
      <c r="L124" s="48">
        <f>IFERROR(DATEVALUE(TEXT(RIGHT(T_LEAVE[[#This Row],[LEAVE DATE]],LEN(T_LEAVE[[#This Row],[LEAVE DATE]])-6),"[$-en-US]d-mmm-yyyy;@")),"")</f>
        <v>43757</v>
      </c>
      <c r="M124" s="4" t="str">
        <f>IFERROR(TRIM(T_LEAVE[[#This Row],[TYPE]]),"")</f>
        <v>SICK LEAVE</v>
      </c>
      <c r="N124" s="69" t="str">
        <f>IFERROR(VLOOKUP(T_LEAVE[[#This Row],[LEAVE TYPE]],T_LEAVETYPE[#All],2,0),"")</f>
        <v>SL</v>
      </c>
    </row>
    <row r="125" spans="2:14" x14ac:dyDescent="0.25">
      <c r="B125" s="93">
        <v>43760</v>
      </c>
      <c r="C125" s="48" t="s">
        <v>390</v>
      </c>
      <c r="D125" s="48" t="s">
        <v>382</v>
      </c>
      <c r="E125" s="4" t="s">
        <v>89</v>
      </c>
      <c r="F125" s="49">
        <v>1</v>
      </c>
      <c r="G125" s="4" t="s">
        <v>391</v>
      </c>
      <c r="I125" s="4" t="s">
        <v>149</v>
      </c>
      <c r="K125" s="4" t="str">
        <f>IFERROR(LEFT(T_LEAVE[[#This Row],[EMPLOYEE NAME]],LEN(T_LEAVE[[#This Row],[EMPLOYEE NAME]])-3),"")</f>
        <v>CONSTANTINO, IAN ARCHIMEDES</v>
      </c>
      <c r="L125" s="48">
        <f>IFERROR(DATEVALUE(TEXT(RIGHT(T_LEAVE[[#This Row],[LEAVE DATE]],LEN(T_LEAVE[[#This Row],[LEAVE DATE]])-6),"[$-en-US]d-mmm-yyyy;@")),"")</f>
        <v>43753</v>
      </c>
      <c r="M125" s="4" t="str">
        <f>IFERROR(TRIM(T_LEAVE[[#This Row],[TYPE]]),"")</f>
        <v>SICK LEAVE</v>
      </c>
      <c r="N125" s="69" t="str">
        <f>IFERROR(VLOOKUP(T_LEAVE[[#This Row],[LEAVE TYPE]],T_LEAVETYPE[#All],2,0),"")</f>
        <v>SL</v>
      </c>
    </row>
    <row r="126" spans="2:14" x14ac:dyDescent="0.25">
      <c r="B126" s="93">
        <v>43760</v>
      </c>
      <c r="C126" s="48" t="s">
        <v>261</v>
      </c>
      <c r="D126" s="48" t="s">
        <v>899</v>
      </c>
      <c r="E126" s="4" t="s">
        <v>88</v>
      </c>
      <c r="F126" s="49">
        <v>1</v>
      </c>
      <c r="G126" s="4" t="s">
        <v>905</v>
      </c>
      <c r="I126" s="4" t="s">
        <v>149</v>
      </c>
      <c r="K126" s="4" t="str">
        <f>IFERROR(LEFT(T_LEAVE[[#This Row],[EMPLOYEE NAME]],LEN(T_LEAVE[[#This Row],[EMPLOYEE NAME]])-3),"")</f>
        <v>PATULOT, MARIROSE</v>
      </c>
      <c r="L126" s="48">
        <f>IFERROR(DATEVALUE(TEXT(RIGHT(T_LEAVE[[#This Row],[LEAVE DATE]],LEN(T_LEAVE[[#This Row],[LEAVE DATE]])-6),"[$-en-US]d-mmm-yyyy;@")),"")</f>
        <v>43767</v>
      </c>
      <c r="M126" s="4" t="str">
        <f>IFERROR(TRIM(T_LEAVE[[#This Row],[TYPE]]),"")</f>
        <v>VACATION LEAVE</v>
      </c>
      <c r="N126" s="69" t="str">
        <f>IFERROR(VLOOKUP(T_LEAVE[[#This Row],[LEAVE TYPE]],T_LEAVETYPE[#All],2,0),"")</f>
        <v>VL</v>
      </c>
    </row>
    <row r="127" spans="2:14" x14ac:dyDescent="0.25">
      <c r="B127" s="93">
        <v>43761</v>
      </c>
      <c r="C127" s="48" t="s">
        <v>829</v>
      </c>
      <c r="D127" s="48" t="s">
        <v>827</v>
      </c>
      <c r="E127" s="4" t="s">
        <v>88</v>
      </c>
      <c r="F127" s="49">
        <v>1</v>
      </c>
      <c r="G127" s="4" t="s">
        <v>233</v>
      </c>
      <c r="I127" s="4" t="s">
        <v>149</v>
      </c>
      <c r="K127" s="4" t="str">
        <f>IFERROR(LEFT(T_LEAVE[[#This Row],[EMPLOYEE NAME]],LEN(T_LEAVE[[#This Row],[EMPLOYEE NAME]])-3),"")</f>
        <v>MANGOBA, MICHAEL</v>
      </c>
      <c r="L127" s="48">
        <f>IFERROR(DATEVALUE(TEXT(RIGHT(T_LEAVE[[#This Row],[LEAVE DATE]],LEN(T_LEAVE[[#This Row],[LEAVE DATE]])-6),"[$-en-US]d-mmm-yyyy;@")),"")</f>
        <v>43765</v>
      </c>
      <c r="M127" s="4" t="str">
        <f>IFERROR(TRIM(T_LEAVE[[#This Row],[TYPE]]),"")</f>
        <v>VACATION LEAVE</v>
      </c>
      <c r="N127" s="69" t="str">
        <f>IFERROR(VLOOKUP(T_LEAVE[[#This Row],[LEAVE TYPE]],T_LEAVETYPE[#All],2,0),"")</f>
        <v>VL</v>
      </c>
    </row>
    <row r="128" spans="2:14" x14ac:dyDescent="0.25">
      <c r="B128" s="93">
        <v>43762</v>
      </c>
      <c r="C128" s="48" t="s">
        <v>392</v>
      </c>
      <c r="D128" s="48" t="s">
        <v>382</v>
      </c>
      <c r="E128" s="4" t="s">
        <v>88</v>
      </c>
      <c r="F128" s="49">
        <v>1</v>
      </c>
      <c r="G128" s="4" t="s">
        <v>233</v>
      </c>
      <c r="I128" s="4" t="s">
        <v>149</v>
      </c>
      <c r="K128" s="4" t="str">
        <f>IFERROR(LEFT(T_LEAVE[[#This Row],[EMPLOYEE NAME]],LEN(T_LEAVE[[#This Row],[EMPLOYEE NAME]])-3),"")</f>
        <v>CONSTANTINO, IAN ARCHIMEDES</v>
      </c>
      <c r="L128" s="48">
        <f>IFERROR(DATEVALUE(TEXT(RIGHT(T_LEAVE[[#This Row],[LEAVE DATE]],LEN(T_LEAVE[[#This Row],[LEAVE DATE]])-6),"[$-en-US]d-mmm-yyyy;@")),"")</f>
        <v>43770</v>
      </c>
      <c r="M128" s="4" t="str">
        <f>IFERROR(TRIM(T_LEAVE[[#This Row],[TYPE]]),"")</f>
        <v>VACATION LEAVE</v>
      </c>
      <c r="N128" s="69" t="str">
        <f>IFERROR(VLOOKUP(T_LEAVE[[#This Row],[LEAVE TYPE]],T_LEAVETYPE[#All],2,0),"")</f>
        <v>VL</v>
      </c>
    </row>
    <row r="129" spans="2:14" x14ac:dyDescent="0.25">
      <c r="B129" s="93">
        <v>43762</v>
      </c>
      <c r="C129" s="48" t="s">
        <v>465</v>
      </c>
      <c r="D129" s="48" t="s">
        <v>463</v>
      </c>
      <c r="E129" s="4" t="s">
        <v>88</v>
      </c>
      <c r="F129" s="49">
        <v>1</v>
      </c>
      <c r="G129" s="4" t="s">
        <v>50</v>
      </c>
      <c r="I129" s="4" t="s">
        <v>149</v>
      </c>
      <c r="K129" s="4" t="str">
        <f>IFERROR(LEFT(T_LEAVE[[#This Row],[EMPLOYEE NAME]],LEN(T_LEAVE[[#This Row],[EMPLOYEE NAME]])-3),"")</f>
        <v>DEDEL, BRIAN KOBE</v>
      </c>
      <c r="L129" s="48">
        <f>IFERROR(DATEVALUE(TEXT(RIGHT(T_LEAVE[[#This Row],[LEAVE DATE]],LEN(T_LEAVE[[#This Row],[LEAVE DATE]])-6),"[$-en-US]d-mmm-yyyy;@")),"")</f>
        <v>43768</v>
      </c>
      <c r="M129" s="4" t="str">
        <f>IFERROR(TRIM(T_LEAVE[[#This Row],[TYPE]]),"")</f>
        <v>VACATION LEAVE</v>
      </c>
      <c r="N129" s="69" t="str">
        <f>IFERROR(VLOOKUP(T_LEAVE[[#This Row],[LEAVE TYPE]],T_LEAVETYPE[#All],2,0),"")</f>
        <v>VL</v>
      </c>
    </row>
    <row r="130" spans="2:14" x14ac:dyDescent="0.25">
      <c r="B130" s="93">
        <v>43762</v>
      </c>
      <c r="C130" s="48" t="s">
        <v>925</v>
      </c>
      <c r="D130" s="48" t="s">
        <v>923</v>
      </c>
      <c r="E130" s="4" t="s">
        <v>88</v>
      </c>
      <c r="F130" s="49">
        <v>1</v>
      </c>
      <c r="G130" s="4" t="s">
        <v>926</v>
      </c>
      <c r="I130" s="4" t="s">
        <v>149</v>
      </c>
      <c r="K130" s="4" t="str">
        <f>IFERROR(LEFT(T_LEAVE[[#This Row],[EMPLOYEE NAME]],LEN(T_LEAVE[[#This Row],[EMPLOYEE NAME]])-3),"")</f>
        <v>REOTIREZ, REYMONG</v>
      </c>
      <c r="L130" s="48">
        <f>IFERROR(DATEVALUE(TEXT(RIGHT(T_LEAVE[[#This Row],[LEAVE DATE]],LEN(T_LEAVE[[#This Row],[LEAVE DATE]])-6),"[$-en-US]d-mmm-yyyy;@")),"")</f>
        <v>43769</v>
      </c>
      <c r="M130" s="4" t="str">
        <f>IFERROR(TRIM(T_LEAVE[[#This Row],[TYPE]]),"")</f>
        <v>VACATION LEAVE</v>
      </c>
      <c r="N130" s="69" t="str">
        <f>IFERROR(VLOOKUP(T_LEAVE[[#This Row],[LEAVE TYPE]],T_LEAVETYPE[#All],2,0),"")</f>
        <v>VL</v>
      </c>
    </row>
    <row r="131" spans="2:14" x14ac:dyDescent="0.25">
      <c r="B131" s="93">
        <v>43768</v>
      </c>
      <c r="C131" s="48" t="s">
        <v>261</v>
      </c>
      <c r="D131" s="48" t="s">
        <v>256</v>
      </c>
      <c r="E131" s="4" t="s">
        <v>89</v>
      </c>
      <c r="F131" s="49">
        <v>1</v>
      </c>
      <c r="G131" s="4" t="s">
        <v>262</v>
      </c>
      <c r="I131" s="4" t="s">
        <v>149</v>
      </c>
      <c r="K131" s="4" t="str">
        <f>IFERROR(LEFT(T_LEAVE[[#This Row],[EMPLOYEE NAME]],LEN(T_LEAVE[[#This Row],[EMPLOYEE NAME]])-3),"")</f>
        <v>BALICAS, IRISH ANN</v>
      </c>
      <c r="L131" s="48">
        <f>IFERROR(DATEVALUE(TEXT(RIGHT(T_LEAVE[[#This Row],[LEAVE DATE]],LEN(T_LEAVE[[#This Row],[LEAVE DATE]])-6),"[$-en-US]d-mmm-yyyy;@")),"")</f>
        <v>43767</v>
      </c>
      <c r="M131" s="4" t="str">
        <f>IFERROR(TRIM(T_LEAVE[[#This Row],[TYPE]]),"")</f>
        <v>SICK LEAVE</v>
      </c>
      <c r="N131" s="69" t="str">
        <f>IFERROR(VLOOKUP(T_LEAVE[[#This Row],[LEAVE TYPE]],T_LEAVETYPE[#All],2,0),"")</f>
        <v>SL</v>
      </c>
    </row>
    <row r="132" spans="2:14" x14ac:dyDescent="0.25">
      <c r="B132" s="93">
        <v>43768</v>
      </c>
      <c r="C132" s="48" t="s">
        <v>267</v>
      </c>
      <c r="D132" s="48" t="s">
        <v>541</v>
      </c>
      <c r="E132" s="4" t="s">
        <v>88</v>
      </c>
      <c r="F132" s="49">
        <v>1</v>
      </c>
      <c r="G132" s="4" t="s">
        <v>543</v>
      </c>
      <c r="I132" s="4" t="s">
        <v>149</v>
      </c>
      <c r="K132" s="4" t="str">
        <f>IFERROR(LEFT(T_LEAVE[[#This Row],[EMPLOYEE NAME]],LEN(T_LEAVE[[#This Row],[EMPLOYEE NAME]])-3),"")</f>
        <v>GARCINES, SHENALD</v>
      </c>
      <c r="L132" s="48">
        <f>IFERROR(DATEVALUE(TEXT(RIGHT(T_LEAVE[[#This Row],[LEAVE DATE]],LEN(T_LEAVE[[#This Row],[LEAVE DATE]])-6),"[$-en-US]d-mmm-yyyy;@")),"")</f>
        <v>43829</v>
      </c>
      <c r="M132" s="4" t="str">
        <f>IFERROR(TRIM(T_LEAVE[[#This Row],[TYPE]]),"")</f>
        <v>VACATION LEAVE</v>
      </c>
      <c r="N132" s="69" t="str">
        <f>IFERROR(VLOOKUP(T_LEAVE[[#This Row],[LEAVE TYPE]],T_LEAVETYPE[#All],2,0),"")</f>
        <v>VL</v>
      </c>
    </row>
    <row r="133" spans="2:14" x14ac:dyDescent="0.25">
      <c r="B133" s="93">
        <v>43769</v>
      </c>
      <c r="C133" s="48" t="s">
        <v>367</v>
      </c>
      <c r="D133" s="48" t="s">
        <v>365</v>
      </c>
      <c r="E133" s="4" t="s">
        <v>89</v>
      </c>
      <c r="F133" s="49">
        <v>1</v>
      </c>
      <c r="G133" s="4" t="s">
        <v>368</v>
      </c>
      <c r="I133" s="4" t="s">
        <v>149</v>
      </c>
      <c r="K133" s="4" t="str">
        <f>IFERROR(LEFT(T_LEAVE[[#This Row],[EMPLOYEE NAME]],LEN(T_LEAVE[[#This Row],[EMPLOYEE NAME]])-3),"")</f>
        <v>CASAS JR., BERNARDO</v>
      </c>
      <c r="L133" s="48">
        <f>IFERROR(DATEVALUE(TEXT(RIGHT(T_LEAVE[[#This Row],[LEAVE DATE]],LEN(T_LEAVE[[#This Row],[LEAVE DATE]])-6),"[$-en-US]d-mmm-yyyy;@")),"")</f>
        <v>43766</v>
      </c>
      <c r="M133" s="4" t="str">
        <f>IFERROR(TRIM(T_LEAVE[[#This Row],[TYPE]]),"")</f>
        <v>SICK LEAVE</v>
      </c>
      <c r="N133" s="69" t="str">
        <f>IFERROR(VLOOKUP(T_LEAVE[[#This Row],[LEAVE TYPE]],T_LEAVETYPE[#All],2,0),"")</f>
        <v>SL</v>
      </c>
    </row>
    <row r="134" spans="2:14" x14ac:dyDescent="0.25">
      <c r="B134" s="93">
        <v>43771</v>
      </c>
      <c r="C134" s="48" t="s">
        <v>367</v>
      </c>
      <c r="D134" s="48" t="s">
        <v>691</v>
      </c>
      <c r="E134" s="4" t="s">
        <v>89</v>
      </c>
      <c r="F134" s="49">
        <v>1</v>
      </c>
      <c r="G134" s="4" t="s">
        <v>89</v>
      </c>
      <c r="I134" s="4" t="s">
        <v>149</v>
      </c>
      <c r="K134" s="4" t="str">
        <f>IFERROR(LEFT(T_LEAVE[[#This Row],[EMPLOYEE NAME]],LEN(T_LEAVE[[#This Row],[EMPLOYEE NAME]])-3),"")</f>
        <v>LATUGA, PHOEBE</v>
      </c>
      <c r="L134" s="48">
        <f>IFERROR(DATEVALUE(TEXT(RIGHT(T_LEAVE[[#This Row],[LEAVE DATE]],LEN(T_LEAVE[[#This Row],[LEAVE DATE]])-6),"[$-en-US]d-mmm-yyyy;@")),"")</f>
        <v>43766</v>
      </c>
      <c r="M134" s="4" t="str">
        <f>IFERROR(TRIM(T_LEAVE[[#This Row],[TYPE]]),"")</f>
        <v>SICK LEAVE</v>
      </c>
      <c r="N134" s="69" t="str">
        <f>IFERROR(VLOOKUP(T_LEAVE[[#This Row],[LEAVE TYPE]],T_LEAVETYPE[#All],2,0),"")</f>
        <v>SL</v>
      </c>
    </row>
    <row r="135" spans="2:14" x14ac:dyDescent="0.25">
      <c r="B135" s="93">
        <v>43771</v>
      </c>
      <c r="C135" s="48" t="s">
        <v>261</v>
      </c>
      <c r="D135" s="48" t="s">
        <v>691</v>
      </c>
      <c r="E135" s="4" t="s">
        <v>89</v>
      </c>
      <c r="F135" s="49">
        <v>1</v>
      </c>
      <c r="G135" s="4" t="s">
        <v>89</v>
      </c>
      <c r="I135" s="4" t="s">
        <v>149</v>
      </c>
      <c r="K135" s="4" t="str">
        <f>IFERROR(LEFT(T_LEAVE[[#This Row],[EMPLOYEE NAME]],LEN(T_LEAVE[[#This Row],[EMPLOYEE NAME]])-3),"")</f>
        <v>LATUGA, PHOEBE</v>
      </c>
      <c r="L135" s="48">
        <f>IFERROR(DATEVALUE(TEXT(RIGHT(T_LEAVE[[#This Row],[LEAVE DATE]],LEN(T_LEAVE[[#This Row],[LEAVE DATE]])-6),"[$-en-US]d-mmm-yyyy;@")),"")</f>
        <v>43767</v>
      </c>
      <c r="M135" s="4" t="str">
        <f>IFERROR(TRIM(T_LEAVE[[#This Row],[TYPE]]),"")</f>
        <v>SICK LEAVE</v>
      </c>
      <c r="N135" s="69" t="str">
        <f>IFERROR(VLOOKUP(T_LEAVE[[#This Row],[LEAVE TYPE]],T_LEAVETYPE[#All],2,0),"")</f>
        <v>SL</v>
      </c>
    </row>
    <row r="136" spans="2:14" x14ac:dyDescent="0.25">
      <c r="B136" s="93">
        <v>43773</v>
      </c>
      <c r="C136" s="48" t="s">
        <v>1037</v>
      </c>
      <c r="D136" s="48" t="s">
        <v>1033</v>
      </c>
      <c r="E136" s="4" t="s">
        <v>89</v>
      </c>
      <c r="F136" s="49">
        <v>1</v>
      </c>
      <c r="G136" s="4" t="s">
        <v>1038</v>
      </c>
      <c r="I136" s="4" t="s">
        <v>149</v>
      </c>
      <c r="K136" s="4" t="str">
        <f>IFERROR(LEFT(T_LEAVE[[#This Row],[EMPLOYEE NAME]],LEN(T_LEAVE[[#This Row],[EMPLOYEE NAME]])-3),"")</f>
        <v>VALLADARES, ALLEN</v>
      </c>
      <c r="L136" s="48">
        <f>IFERROR(DATEVALUE(TEXT(RIGHT(T_LEAVE[[#This Row],[LEAVE DATE]],LEN(T_LEAVE[[#This Row],[LEAVE DATE]])-6),"[$-en-US]d-mmm-yyyy;@")),"")</f>
        <v>43772</v>
      </c>
      <c r="M136" s="4" t="str">
        <f>IFERROR(TRIM(T_LEAVE[[#This Row],[TYPE]]),"")</f>
        <v>SICK LEAVE</v>
      </c>
      <c r="N136" s="69" t="str">
        <f>IFERROR(VLOOKUP(T_LEAVE[[#This Row],[LEAVE TYPE]],T_LEAVETYPE[#All],2,0),"")</f>
        <v>SL</v>
      </c>
    </row>
    <row r="137" spans="2:14" x14ac:dyDescent="0.25">
      <c r="B137" s="93">
        <v>43779</v>
      </c>
      <c r="C137" s="48" t="s">
        <v>425</v>
      </c>
      <c r="D137" s="48" t="s">
        <v>421</v>
      </c>
      <c r="E137" s="4" t="s">
        <v>88</v>
      </c>
      <c r="F137" s="49">
        <v>1</v>
      </c>
      <c r="G137" s="4" t="s">
        <v>426</v>
      </c>
      <c r="I137" s="4" t="s">
        <v>149</v>
      </c>
      <c r="K137" s="4" t="str">
        <f>IFERROR(LEFT(T_LEAVE[[#This Row],[EMPLOYEE NAME]],LEN(T_LEAVE[[#This Row],[EMPLOYEE NAME]])-3),"")</f>
        <v>DE LEON, JEFFREY</v>
      </c>
      <c r="L137" s="48">
        <f>IFERROR(DATEVALUE(TEXT(RIGHT(T_LEAVE[[#This Row],[LEAVE DATE]],LEN(T_LEAVE[[#This Row],[LEAVE DATE]])-6),"[$-en-US]d-mmm-yyyy;@")),"")</f>
        <v>43800</v>
      </c>
      <c r="M137" s="4" t="str">
        <f>IFERROR(TRIM(T_LEAVE[[#This Row],[TYPE]]),"")</f>
        <v>VACATION LEAVE</v>
      </c>
      <c r="N137" s="69" t="str">
        <f>IFERROR(VLOOKUP(T_LEAVE[[#This Row],[LEAVE TYPE]],T_LEAVETYPE[#All],2,0),"")</f>
        <v>VL</v>
      </c>
    </row>
    <row r="138" spans="2:14" x14ac:dyDescent="0.25">
      <c r="B138" s="93">
        <v>43783</v>
      </c>
      <c r="C138" s="48" t="s">
        <v>265</v>
      </c>
      <c r="D138" s="48" t="s">
        <v>971</v>
      </c>
      <c r="E138" s="4" t="s">
        <v>89</v>
      </c>
      <c r="F138" s="49">
        <v>1</v>
      </c>
      <c r="G138" s="4" t="s">
        <v>973</v>
      </c>
      <c r="I138" s="4" t="s">
        <v>149</v>
      </c>
      <c r="K138" s="4" t="str">
        <f>IFERROR(LEFT(T_LEAVE[[#This Row],[EMPLOYEE NAME]],LEN(T_LEAVE[[#This Row],[EMPLOYEE NAME]])-3),"")</f>
        <v>TABIA, JENNIFER</v>
      </c>
      <c r="L138" s="48">
        <f>IFERROR(DATEVALUE(TEXT(RIGHT(T_LEAVE[[#This Row],[LEAVE DATE]],LEN(T_LEAVE[[#This Row],[LEAVE DATE]])-6),"[$-en-US]d-mmm-yyyy;@")),"")</f>
        <v>43782</v>
      </c>
      <c r="M138" s="4" t="str">
        <f>IFERROR(TRIM(T_LEAVE[[#This Row],[TYPE]]),"")</f>
        <v>SICK LEAVE</v>
      </c>
      <c r="N138" s="69" t="str">
        <f>IFERROR(VLOOKUP(T_LEAVE[[#This Row],[LEAVE TYPE]],T_LEAVETYPE[#All],2,0),"")</f>
        <v>SL</v>
      </c>
    </row>
    <row r="139" spans="2:14" x14ac:dyDescent="0.25">
      <c r="B139" s="93">
        <v>43784</v>
      </c>
      <c r="C139" s="48" t="s">
        <v>329</v>
      </c>
      <c r="D139" s="48" t="s">
        <v>330</v>
      </c>
      <c r="E139" s="4" t="s">
        <v>89</v>
      </c>
      <c r="F139" s="49">
        <v>1</v>
      </c>
      <c r="G139" s="4" t="s">
        <v>331</v>
      </c>
      <c r="I139" s="4" t="s">
        <v>149</v>
      </c>
      <c r="K139" s="4" t="str">
        <f>IFERROR(LEFT(T_LEAVE[[#This Row],[EMPLOYEE NAME]],LEN(T_LEAVE[[#This Row],[EMPLOYEE NAME]])-3),"")</f>
        <v>BELMONTE, JOSE MARI</v>
      </c>
      <c r="L139" s="48">
        <f>IFERROR(DATEVALUE(TEXT(RIGHT(T_LEAVE[[#This Row],[LEAVE DATE]],LEN(T_LEAVE[[#This Row],[LEAVE DATE]])-6),"[$-en-US]d-mmm-yyyy;@")),"")</f>
        <v>43786</v>
      </c>
      <c r="M139" s="4" t="str">
        <f>IFERROR(TRIM(T_LEAVE[[#This Row],[TYPE]]),"")</f>
        <v>SICK LEAVE</v>
      </c>
      <c r="N139" s="69" t="str">
        <f>IFERROR(VLOOKUP(T_LEAVE[[#This Row],[LEAVE TYPE]],T_LEAVETYPE[#All],2,0),"")</f>
        <v>SL</v>
      </c>
    </row>
    <row r="140" spans="2:14" x14ac:dyDescent="0.25">
      <c r="B140" s="93">
        <v>43785</v>
      </c>
      <c r="C140" s="48" t="s">
        <v>605</v>
      </c>
      <c r="D140" s="48" t="s">
        <v>602</v>
      </c>
      <c r="E140" s="4" t="s">
        <v>89</v>
      </c>
      <c r="F140" s="49">
        <v>1</v>
      </c>
      <c r="G140" s="4" t="s">
        <v>606</v>
      </c>
      <c r="I140" s="4" t="s">
        <v>149</v>
      </c>
      <c r="K140" s="4" t="str">
        <f>IFERROR(LEFT(T_LEAVE[[#This Row],[EMPLOYEE NAME]],LEN(T_LEAVE[[#This Row],[EMPLOYEE NAME]])-3),"")</f>
        <v>HIPOLITO, JOYCE ANN KENETH</v>
      </c>
      <c r="L140" s="48">
        <f>IFERROR(DATEVALUE(TEXT(RIGHT(T_LEAVE[[#This Row],[LEAVE DATE]],LEN(T_LEAVE[[#This Row],[LEAVE DATE]])-6),"[$-en-US]d-mmm-yyyy;@")),"")</f>
        <v>43793</v>
      </c>
      <c r="M140" s="4" t="str">
        <f>IFERROR(TRIM(T_LEAVE[[#This Row],[TYPE]]),"")</f>
        <v>SICK LEAVE</v>
      </c>
      <c r="N140" s="69" t="str">
        <f>IFERROR(VLOOKUP(T_LEAVE[[#This Row],[LEAVE TYPE]],T_LEAVETYPE[#All],2,0),"")</f>
        <v>SL</v>
      </c>
    </row>
    <row r="141" spans="2:14" x14ac:dyDescent="0.25">
      <c r="B141" s="93">
        <v>43785</v>
      </c>
      <c r="C141" s="48" t="s">
        <v>607</v>
      </c>
      <c r="D141" s="48" t="s">
        <v>602</v>
      </c>
      <c r="E141" s="4" t="s">
        <v>89</v>
      </c>
      <c r="F141" s="49">
        <v>1</v>
      </c>
      <c r="G141" s="4" t="s">
        <v>606</v>
      </c>
      <c r="I141" s="4" t="s">
        <v>149</v>
      </c>
      <c r="K141" s="4" t="str">
        <f>IFERROR(LEFT(T_LEAVE[[#This Row],[EMPLOYEE NAME]],LEN(T_LEAVE[[#This Row],[EMPLOYEE NAME]])-3),"")</f>
        <v>HIPOLITO, JOYCE ANN KENETH</v>
      </c>
      <c r="L141" s="48">
        <f>IFERROR(DATEVALUE(TEXT(RIGHT(T_LEAVE[[#This Row],[LEAVE DATE]],LEN(T_LEAVE[[#This Row],[LEAVE DATE]])-6),"[$-en-US]d-mmm-yyyy;@")),"")</f>
        <v>43794</v>
      </c>
      <c r="M141" s="4" t="str">
        <f>IFERROR(TRIM(T_LEAVE[[#This Row],[TYPE]]),"")</f>
        <v>SICK LEAVE</v>
      </c>
      <c r="N141" s="69" t="str">
        <f>IFERROR(VLOOKUP(T_LEAVE[[#This Row],[LEAVE TYPE]],T_LEAVETYPE[#All],2,0),"")</f>
        <v>SL</v>
      </c>
    </row>
    <row r="142" spans="2:14" x14ac:dyDescent="0.25">
      <c r="B142" s="93">
        <v>43786</v>
      </c>
      <c r="C142" s="48" t="s">
        <v>239</v>
      </c>
      <c r="D142" s="48" t="s">
        <v>240</v>
      </c>
      <c r="E142" s="4" t="s">
        <v>88</v>
      </c>
      <c r="F142" s="49">
        <v>1</v>
      </c>
      <c r="G142" s="4" t="s">
        <v>241</v>
      </c>
      <c r="I142" s="4" t="s">
        <v>149</v>
      </c>
      <c r="K142" s="4" t="str">
        <f>IFERROR(LEFT(T_LEAVE[[#This Row],[EMPLOYEE NAME]],LEN(T_LEAVE[[#This Row],[EMPLOYEE NAME]])-3),"")</f>
        <v>AYAG, PRINCESS</v>
      </c>
      <c r="L142" s="48">
        <f>IFERROR(DATEVALUE(TEXT(RIGHT(T_LEAVE[[#This Row],[LEAVE DATE]],LEN(T_LEAVE[[#This Row],[LEAVE DATE]])-6),"[$-en-US]d-mmm-yyyy;@")),"")</f>
        <v>43806</v>
      </c>
      <c r="M142" s="4" t="str">
        <f>IFERROR(TRIM(T_LEAVE[[#This Row],[TYPE]]),"")</f>
        <v>VACATION LEAVE</v>
      </c>
      <c r="N142" s="69" t="str">
        <f>IFERROR(VLOOKUP(T_LEAVE[[#This Row],[LEAVE TYPE]],T_LEAVETYPE[#All],2,0),"")</f>
        <v>VL</v>
      </c>
    </row>
    <row r="143" spans="2:14" x14ac:dyDescent="0.25">
      <c r="B143" s="93">
        <v>43787</v>
      </c>
      <c r="C143" s="48" t="s">
        <v>263</v>
      </c>
      <c r="D143" s="48" t="s">
        <v>256</v>
      </c>
      <c r="E143" s="4" t="s">
        <v>89</v>
      </c>
      <c r="F143" s="49">
        <v>1</v>
      </c>
      <c r="G143" s="4" t="s">
        <v>264</v>
      </c>
      <c r="I143" s="4" t="s">
        <v>149</v>
      </c>
      <c r="K143" s="4" t="str">
        <f>IFERROR(LEFT(T_LEAVE[[#This Row],[EMPLOYEE NAME]],LEN(T_LEAVE[[#This Row],[EMPLOYEE NAME]])-3),"")</f>
        <v>BALICAS, IRISH ANN</v>
      </c>
      <c r="L143" s="48">
        <f>IFERROR(DATEVALUE(TEXT(RIGHT(T_LEAVE[[#This Row],[LEAVE DATE]],LEN(T_LEAVE[[#This Row],[LEAVE DATE]])-6),"[$-en-US]d-mmm-yyyy;@")),"")</f>
        <v>43781</v>
      </c>
      <c r="M143" s="4" t="str">
        <f>IFERROR(TRIM(T_LEAVE[[#This Row],[TYPE]]),"")</f>
        <v>SICK LEAVE</v>
      </c>
      <c r="N143" s="69" t="str">
        <f>IFERROR(VLOOKUP(T_LEAVE[[#This Row],[LEAVE TYPE]],T_LEAVETYPE[#All],2,0),"")</f>
        <v>SL</v>
      </c>
    </row>
    <row r="144" spans="2:14" x14ac:dyDescent="0.25">
      <c r="B144" s="93">
        <v>43787</v>
      </c>
      <c r="C144" s="48" t="s">
        <v>265</v>
      </c>
      <c r="D144" s="48" t="s">
        <v>256</v>
      </c>
      <c r="E144" s="4" t="s">
        <v>89</v>
      </c>
      <c r="F144" s="49">
        <v>1</v>
      </c>
      <c r="G144" s="4" t="s">
        <v>264</v>
      </c>
      <c r="I144" s="4" t="s">
        <v>149</v>
      </c>
      <c r="K144" s="4" t="str">
        <f>IFERROR(LEFT(T_LEAVE[[#This Row],[EMPLOYEE NAME]],LEN(T_LEAVE[[#This Row],[EMPLOYEE NAME]])-3),"")</f>
        <v>BALICAS, IRISH ANN</v>
      </c>
      <c r="L144" s="48">
        <f>IFERROR(DATEVALUE(TEXT(RIGHT(T_LEAVE[[#This Row],[LEAVE DATE]],LEN(T_LEAVE[[#This Row],[LEAVE DATE]])-6),"[$-en-US]d-mmm-yyyy;@")),"")</f>
        <v>43782</v>
      </c>
      <c r="M144" s="4" t="str">
        <f>IFERROR(TRIM(T_LEAVE[[#This Row],[TYPE]]),"")</f>
        <v>SICK LEAVE</v>
      </c>
      <c r="N144" s="69" t="str">
        <f>IFERROR(VLOOKUP(T_LEAVE[[#This Row],[LEAVE TYPE]],T_LEAVETYPE[#All],2,0),"")</f>
        <v>SL</v>
      </c>
    </row>
    <row r="145" spans="2:14" x14ac:dyDescent="0.25">
      <c r="B145" s="93">
        <v>43787</v>
      </c>
      <c r="C145" s="48" t="s">
        <v>266</v>
      </c>
      <c r="D145" s="48" t="s">
        <v>256</v>
      </c>
      <c r="E145" s="4" t="s">
        <v>89</v>
      </c>
      <c r="F145" s="49">
        <v>1</v>
      </c>
      <c r="G145" s="4" t="s">
        <v>264</v>
      </c>
      <c r="I145" s="4" t="s">
        <v>149</v>
      </c>
      <c r="K145" s="4" t="str">
        <f>IFERROR(LEFT(T_LEAVE[[#This Row],[EMPLOYEE NAME]],LEN(T_LEAVE[[#This Row],[EMPLOYEE NAME]])-3),"")</f>
        <v>BALICAS, IRISH ANN</v>
      </c>
      <c r="L145" s="48">
        <f>IFERROR(DATEVALUE(TEXT(RIGHT(T_LEAVE[[#This Row],[LEAVE DATE]],LEN(T_LEAVE[[#This Row],[LEAVE DATE]])-6),"[$-en-US]d-mmm-yyyy;@")),"")</f>
        <v>43783</v>
      </c>
      <c r="M145" s="4" t="str">
        <f>IFERROR(TRIM(T_LEAVE[[#This Row],[TYPE]]),"")</f>
        <v>SICK LEAVE</v>
      </c>
      <c r="N145" s="69" t="str">
        <f>IFERROR(VLOOKUP(T_LEAVE[[#This Row],[LEAVE TYPE]],T_LEAVETYPE[#All],2,0),"")</f>
        <v>SL</v>
      </c>
    </row>
    <row r="146" spans="2:14" x14ac:dyDescent="0.25">
      <c r="B146" s="93">
        <v>43788</v>
      </c>
      <c r="C146" s="48" t="s">
        <v>888</v>
      </c>
      <c r="D146" s="48" t="s">
        <v>889</v>
      </c>
      <c r="E146" s="4" t="s">
        <v>88</v>
      </c>
      <c r="F146" s="49">
        <v>1</v>
      </c>
      <c r="G146" s="4" t="s">
        <v>890</v>
      </c>
      <c r="I146" s="4" t="s">
        <v>149</v>
      </c>
      <c r="K146" s="4" t="str">
        <f>IFERROR(LEFT(T_LEAVE[[#This Row],[EMPLOYEE NAME]],LEN(T_LEAVE[[#This Row],[EMPLOYEE NAME]])-3),"")</f>
        <v>MONTIEL, HEIZEL</v>
      </c>
      <c r="L146" s="48">
        <f>IFERROR(DATEVALUE(TEXT(RIGHT(T_LEAVE[[#This Row],[LEAVE DATE]],LEN(T_LEAVE[[#This Row],[LEAVE DATE]])-6),"[$-en-US]d-mmm-yyyy;@")),"")</f>
        <v>43832</v>
      </c>
      <c r="M146" s="4" t="str">
        <f>IFERROR(TRIM(T_LEAVE[[#This Row],[TYPE]]),"")</f>
        <v>VACATION LEAVE</v>
      </c>
      <c r="N146" s="69" t="str">
        <f>IFERROR(VLOOKUP(T_LEAVE[[#This Row],[LEAVE TYPE]],T_LEAVETYPE[#All],2,0),"")</f>
        <v>VL</v>
      </c>
    </row>
    <row r="147" spans="2:14" x14ac:dyDescent="0.25">
      <c r="B147" s="93">
        <v>43788</v>
      </c>
      <c r="C147" s="48" t="s">
        <v>243</v>
      </c>
      <c r="D147" s="48" t="s">
        <v>889</v>
      </c>
      <c r="E147" s="4" t="s">
        <v>88</v>
      </c>
      <c r="F147" s="49">
        <v>1</v>
      </c>
      <c r="G147" s="4" t="s">
        <v>890</v>
      </c>
      <c r="I147" s="4" t="s">
        <v>149</v>
      </c>
      <c r="K147" s="4" t="str">
        <f>IFERROR(LEFT(T_LEAVE[[#This Row],[EMPLOYEE NAME]],LEN(T_LEAVE[[#This Row],[EMPLOYEE NAME]])-3),"")</f>
        <v>MONTIEL, HEIZEL</v>
      </c>
      <c r="L147" s="48">
        <f>IFERROR(DATEVALUE(TEXT(RIGHT(T_LEAVE[[#This Row],[LEAVE DATE]],LEN(T_LEAVE[[#This Row],[LEAVE DATE]])-6),"[$-en-US]d-mmm-yyyy;@")),"")</f>
        <v>43833</v>
      </c>
      <c r="M147" s="4" t="str">
        <f>IFERROR(TRIM(T_LEAVE[[#This Row],[TYPE]]),"")</f>
        <v>VACATION LEAVE</v>
      </c>
      <c r="N147" s="69" t="str">
        <f>IFERROR(VLOOKUP(T_LEAVE[[#This Row],[LEAVE TYPE]],T_LEAVETYPE[#All],2,0),"")</f>
        <v>VL</v>
      </c>
    </row>
    <row r="148" spans="2:14" x14ac:dyDescent="0.25">
      <c r="B148" s="93">
        <v>43789</v>
      </c>
      <c r="C148" s="48" t="s">
        <v>670</v>
      </c>
      <c r="D148" s="48" t="s">
        <v>666</v>
      </c>
      <c r="E148" s="4" t="s">
        <v>89</v>
      </c>
      <c r="F148" s="49">
        <v>1</v>
      </c>
      <c r="G148" s="4" t="s">
        <v>671</v>
      </c>
      <c r="I148" s="4" t="s">
        <v>149</v>
      </c>
      <c r="K148" s="4" t="str">
        <f>IFERROR(LEFT(T_LEAVE[[#This Row],[EMPLOYEE NAME]],LEN(T_LEAVE[[#This Row],[EMPLOYEE NAME]])-3),"")</f>
        <v>LARIZA, MELANIE DELA CRUZ</v>
      </c>
      <c r="L148" s="48">
        <f>IFERROR(DATEVALUE(TEXT(RIGHT(T_LEAVE[[#This Row],[LEAVE DATE]],LEN(T_LEAVE[[#This Row],[LEAVE DATE]])-6),"[$-en-US]d-mmm-yyyy;@")),"")</f>
        <v>43798</v>
      </c>
      <c r="M148" s="4" t="str">
        <f>IFERROR(TRIM(T_LEAVE[[#This Row],[TYPE]]),"")</f>
        <v>SICK LEAVE</v>
      </c>
      <c r="N148" s="69" t="str">
        <f>IFERROR(VLOOKUP(T_LEAVE[[#This Row],[LEAVE TYPE]],T_LEAVETYPE[#All],2,0),"")</f>
        <v>SL</v>
      </c>
    </row>
    <row r="149" spans="2:14" x14ac:dyDescent="0.25">
      <c r="B149" s="93">
        <v>43789</v>
      </c>
      <c r="C149" s="48" t="s">
        <v>781</v>
      </c>
      <c r="D149" s="48" t="s">
        <v>777</v>
      </c>
      <c r="E149" s="4" t="s">
        <v>698</v>
      </c>
      <c r="F149" s="49">
        <v>1</v>
      </c>
      <c r="G149" s="4" t="s">
        <v>782</v>
      </c>
      <c r="H149" s="4" t="s">
        <v>165</v>
      </c>
      <c r="I149" s="4" t="s">
        <v>149</v>
      </c>
      <c r="K149" s="4" t="str">
        <f>IFERROR(LEFT(T_LEAVE[[#This Row],[EMPLOYEE NAME]],LEN(T_LEAVE[[#This Row],[EMPLOYEE NAME]])-3),"")</f>
        <v>MACALALAD, ANAMARIE</v>
      </c>
      <c r="L149" s="48">
        <f>IFERROR(DATEVALUE(TEXT(RIGHT(T_LEAVE[[#This Row],[LEAVE DATE]],LEN(T_LEAVE[[#This Row],[LEAVE DATE]])-6),"[$-en-US]d-mmm-yyyy;@")),"")</f>
        <v>43795</v>
      </c>
      <c r="M149" s="4" t="str">
        <f>IFERROR(TRIM(T_LEAVE[[#This Row],[TYPE]]),"")</f>
        <v>SOLO PARENT LEAVE</v>
      </c>
      <c r="N149" s="69" t="str">
        <f>IFERROR(VLOOKUP(T_LEAVE[[#This Row],[LEAVE TYPE]],T_LEAVETYPE[#All],2,0),"")</f>
        <v/>
      </c>
    </row>
    <row r="150" spans="2:14" x14ac:dyDescent="0.25">
      <c r="B150" s="93">
        <v>43790</v>
      </c>
      <c r="C150" s="48" t="s">
        <v>369</v>
      </c>
      <c r="D150" s="48" t="s">
        <v>923</v>
      </c>
      <c r="E150" s="4" t="s">
        <v>88</v>
      </c>
      <c r="F150" s="49">
        <v>1</v>
      </c>
      <c r="G150" s="4" t="s">
        <v>928</v>
      </c>
      <c r="I150" s="4" t="s">
        <v>149</v>
      </c>
      <c r="K150" s="4" t="str">
        <f>IFERROR(LEFT(T_LEAVE[[#This Row],[EMPLOYEE NAME]],LEN(T_LEAVE[[#This Row],[EMPLOYEE NAME]])-3),"")</f>
        <v>REOTIREZ, REYMONG</v>
      </c>
      <c r="L150" s="48">
        <f>IFERROR(DATEVALUE(TEXT(RIGHT(T_LEAVE[[#This Row],[LEAVE DATE]],LEN(T_LEAVE[[#This Row],[LEAVE DATE]])-6),"[$-en-US]d-mmm-yyyy;@")),"")</f>
        <v>43797</v>
      </c>
      <c r="M150" s="4" t="str">
        <f>IFERROR(TRIM(T_LEAVE[[#This Row],[TYPE]]),"")</f>
        <v>VACATION LEAVE</v>
      </c>
      <c r="N150" s="69" t="str">
        <f>IFERROR(VLOOKUP(T_LEAVE[[#This Row],[LEAVE TYPE]],T_LEAVETYPE[#All],2,0),"")</f>
        <v>VL</v>
      </c>
    </row>
    <row r="151" spans="2:14" x14ac:dyDescent="0.25">
      <c r="B151" s="93">
        <v>43790</v>
      </c>
      <c r="C151" s="48" t="s">
        <v>369</v>
      </c>
      <c r="D151" s="48" t="s">
        <v>971</v>
      </c>
      <c r="E151" s="4" t="s">
        <v>89</v>
      </c>
      <c r="F151" s="49">
        <v>1</v>
      </c>
      <c r="G151" s="4" t="s">
        <v>974</v>
      </c>
      <c r="I151" s="4" t="s">
        <v>149</v>
      </c>
      <c r="K151" s="4" t="str">
        <f>IFERROR(LEFT(T_LEAVE[[#This Row],[EMPLOYEE NAME]],LEN(T_LEAVE[[#This Row],[EMPLOYEE NAME]])-3),"")</f>
        <v>TABIA, JENNIFER</v>
      </c>
      <c r="L151" s="48">
        <f>IFERROR(DATEVALUE(TEXT(RIGHT(T_LEAVE[[#This Row],[LEAVE DATE]],LEN(T_LEAVE[[#This Row],[LEAVE DATE]])-6),"[$-en-US]d-mmm-yyyy;@")),"")</f>
        <v>43797</v>
      </c>
      <c r="M151" s="4" t="str">
        <f>IFERROR(TRIM(T_LEAVE[[#This Row],[TYPE]]),"")</f>
        <v>SICK LEAVE</v>
      </c>
      <c r="N151" s="69" t="str">
        <f>IFERROR(VLOOKUP(T_LEAVE[[#This Row],[LEAVE TYPE]],T_LEAVETYPE[#All],2,0),"")</f>
        <v>SL</v>
      </c>
    </row>
    <row r="152" spans="2:14" x14ac:dyDescent="0.25">
      <c r="B152" s="93">
        <v>43790</v>
      </c>
      <c r="C152" s="48" t="s">
        <v>369</v>
      </c>
      <c r="D152" s="48" t="s">
        <v>989</v>
      </c>
      <c r="E152" s="4" t="s">
        <v>89</v>
      </c>
      <c r="F152" s="49">
        <v>1</v>
      </c>
      <c r="G152" s="4" t="s">
        <v>991</v>
      </c>
      <c r="I152" s="4" t="s">
        <v>149</v>
      </c>
      <c r="K152" s="4" t="str">
        <f>IFERROR(LEFT(T_LEAVE[[#This Row],[EMPLOYEE NAME]],LEN(T_LEAVE[[#This Row],[EMPLOYEE NAME]])-3),"")</f>
        <v>TABUNAN, LIZEL</v>
      </c>
      <c r="L152" s="48">
        <f>IFERROR(DATEVALUE(TEXT(RIGHT(T_LEAVE[[#This Row],[LEAVE DATE]],LEN(T_LEAVE[[#This Row],[LEAVE DATE]])-6),"[$-en-US]d-mmm-yyyy;@")),"")</f>
        <v>43797</v>
      </c>
      <c r="M152" s="4" t="str">
        <f>IFERROR(TRIM(T_LEAVE[[#This Row],[TYPE]]),"")</f>
        <v>SICK LEAVE</v>
      </c>
      <c r="N152" s="69" t="str">
        <f>IFERROR(VLOOKUP(T_LEAVE[[#This Row],[LEAVE TYPE]],T_LEAVETYPE[#All],2,0),"")</f>
        <v>SL</v>
      </c>
    </row>
    <row r="153" spans="2:14" x14ac:dyDescent="0.25">
      <c r="B153" s="93">
        <v>43792</v>
      </c>
      <c r="C153" s="48" t="s">
        <v>697</v>
      </c>
      <c r="D153" s="48" t="s">
        <v>691</v>
      </c>
      <c r="E153" s="4" t="s">
        <v>698</v>
      </c>
      <c r="F153" s="49">
        <v>1</v>
      </c>
      <c r="G153" s="4" t="s">
        <v>699</v>
      </c>
      <c r="H153" s="4" t="s">
        <v>165</v>
      </c>
      <c r="I153" s="4" t="s">
        <v>149</v>
      </c>
      <c r="K153" s="4" t="str">
        <f>IFERROR(LEFT(T_LEAVE[[#This Row],[EMPLOYEE NAME]],LEN(T_LEAVE[[#This Row],[EMPLOYEE NAME]])-3),"")</f>
        <v>LATUGA, PHOEBE</v>
      </c>
      <c r="L153" s="48">
        <f>IFERROR(DATEVALUE(TEXT(RIGHT(T_LEAVE[[#This Row],[LEAVE DATE]],LEN(T_LEAVE[[#This Row],[LEAVE DATE]])-6),"[$-en-US]d-mmm-yyyy;@")),"")</f>
        <v>43785</v>
      </c>
      <c r="M153" s="4" t="str">
        <f>IFERROR(TRIM(T_LEAVE[[#This Row],[TYPE]]),"")</f>
        <v>SOLO PARENT LEAVE</v>
      </c>
      <c r="N153" s="69" t="str">
        <f>IFERROR(VLOOKUP(T_LEAVE[[#This Row],[LEAVE TYPE]],T_LEAVETYPE[#All],2,0),"")</f>
        <v/>
      </c>
    </row>
    <row r="154" spans="2:14" x14ac:dyDescent="0.25">
      <c r="B154" s="93">
        <v>43792</v>
      </c>
      <c r="C154" s="48" t="s">
        <v>263</v>
      </c>
      <c r="D154" s="48" t="s">
        <v>1131</v>
      </c>
      <c r="E154" s="4" t="s">
        <v>89</v>
      </c>
      <c r="F154" s="49">
        <v>1</v>
      </c>
      <c r="G154" s="4" t="s">
        <v>1132</v>
      </c>
      <c r="I154" s="4" t="s">
        <v>149</v>
      </c>
      <c r="K154" s="4" t="str">
        <f>IFERROR(LEFT(T_LEAVE[[#This Row],[EMPLOYEE NAME]],LEN(T_LEAVE[[#This Row],[EMPLOYEE NAME]])-3),"")</f>
        <v>WAMBANGCO, JAN TOBEY</v>
      </c>
      <c r="L154" s="48">
        <f>IFERROR(DATEVALUE(TEXT(RIGHT(T_LEAVE[[#This Row],[LEAVE DATE]],LEN(T_LEAVE[[#This Row],[LEAVE DATE]])-6),"[$-en-US]d-mmm-yyyy;@")),"")</f>
        <v>43781</v>
      </c>
      <c r="M154" s="4" t="str">
        <f>IFERROR(TRIM(T_LEAVE[[#This Row],[TYPE]]),"")</f>
        <v>SICK LEAVE</v>
      </c>
      <c r="N154" s="69" t="str">
        <f>IFERROR(VLOOKUP(T_LEAVE[[#This Row],[LEAVE TYPE]],T_LEAVETYPE[#All],2,0),"")</f>
        <v>SL</v>
      </c>
    </row>
    <row r="155" spans="2:14" x14ac:dyDescent="0.25">
      <c r="B155" s="93">
        <v>43792</v>
      </c>
      <c r="C155" s="48" t="s">
        <v>265</v>
      </c>
      <c r="D155" s="48" t="s">
        <v>1131</v>
      </c>
      <c r="E155" s="4" t="s">
        <v>89</v>
      </c>
      <c r="F155" s="49">
        <v>1</v>
      </c>
      <c r="G155" s="4" t="s">
        <v>1132</v>
      </c>
      <c r="I155" s="4" t="s">
        <v>149</v>
      </c>
      <c r="K155" s="4" t="str">
        <f>IFERROR(LEFT(T_LEAVE[[#This Row],[EMPLOYEE NAME]],LEN(T_LEAVE[[#This Row],[EMPLOYEE NAME]])-3),"")</f>
        <v>WAMBANGCO, JAN TOBEY</v>
      </c>
      <c r="L155" s="48">
        <f>IFERROR(DATEVALUE(TEXT(RIGHT(T_LEAVE[[#This Row],[LEAVE DATE]],LEN(T_LEAVE[[#This Row],[LEAVE DATE]])-6),"[$-en-US]d-mmm-yyyy;@")),"")</f>
        <v>43782</v>
      </c>
      <c r="M155" s="4" t="str">
        <f>IFERROR(TRIM(T_LEAVE[[#This Row],[TYPE]]),"")</f>
        <v>SICK LEAVE</v>
      </c>
      <c r="N155" s="69" t="str">
        <f>IFERROR(VLOOKUP(T_LEAVE[[#This Row],[LEAVE TYPE]],T_LEAVETYPE[#All],2,0),"")</f>
        <v>SL</v>
      </c>
    </row>
    <row r="156" spans="2:14" x14ac:dyDescent="0.25">
      <c r="B156" s="93">
        <v>43792</v>
      </c>
      <c r="C156" s="48" t="s">
        <v>266</v>
      </c>
      <c r="D156" s="48" t="s">
        <v>1131</v>
      </c>
      <c r="E156" s="4" t="s">
        <v>89</v>
      </c>
      <c r="F156" s="49">
        <v>1</v>
      </c>
      <c r="G156" s="4" t="s">
        <v>1132</v>
      </c>
      <c r="I156" s="4" t="s">
        <v>149</v>
      </c>
      <c r="K156" s="4" t="str">
        <f>IFERROR(LEFT(T_LEAVE[[#This Row],[EMPLOYEE NAME]],LEN(T_LEAVE[[#This Row],[EMPLOYEE NAME]])-3),"")</f>
        <v>WAMBANGCO, JAN TOBEY</v>
      </c>
      <c r="L156" s="48">
        <f>IFERROR(DATEVALUE(TEXT(RIGHT(T_LEAVE[[#This Row],[LEAVE DATE]],LEN(T_LEAVE[[#This Row],[LEAVE DATE]])-6),"[$-en-US]d-mmm-yyyy;@")),"")</f>
        <v>43783</v>
      </c>
      <c r="M156" s="4" t="str">
        <f>IFERROR(TRIM(T_LEAVE[[#This Row],[TYPE]]),"")</f>
        <v>SICK LEAVE</v>
      </c>
      <c r="N156" s="69" t="str">
        <f>IFERROR(VLOOKUP(T_LEAVE[[#This Row],[LEAVE TYPE]],T_LEAVETYPE[#All],2,0),"")</f>
        <v>SL</v>
      </c>
    </row>
    <row r="157" spans="2:14" x14ac:dyDescent="0.25">
      <c r="B157" s="93">
        <v>43792</v>
      </c>
      <c r="C157" s="48" t="s">
        <v>1133</v>
      </c>
      <c r="D157" s="48" t="s">
        <v>1131</v>
      </c>
      <c r="E157" s="4" t="s">
        <v>89</v>
      </c>
      <c r="F157" s="49">
        <v>1</v>
      </c>
      <c r="G157" s="4" t="s">
        <v>1132</v>
      </c>
      <c r="I157" s="4" t="s">
        <v>149</v>
      </c>
      <c r="K157" s="4" t="str">
        <f>IFERROR(LEFT(T_LEAVE[[#This Row],[EMPLOYEE NAME]],LEN(T_LEAVE[[#This Row],[EMPLOYEE NAME]])-3),"")</f>
        <v>WAMBANGCO, JAN TOBEY</v>
      </c>
      <c r="L157" s="48">
        <f>IFERROR(DATEVALUE(TEXT(RIGHT(T_LEAVE[[#This Row],[LEAVE DATE]],LEN(T_LEAVE[[#This Row],[LEAVE DATE]])-6),"[$-en-US]d-mmm-yyyy;@")),"")</f>
        <v>43784</v>
      </c>
      <c r="M157" s="4" t="str">
        <f>IFERROR(TRIM(T_LEAVE[[#This Row],[TYPE]]),"")</f>
        <v>SICK LEAVE</v>
      </c>
      <c r="N157" s="69" t="str">
        <f>IFERROR(VLOOKUP(T_LEAVE[[#This Row],[LEAVE TYPE]],T_LEAVETYPE[#All],2,0),"")</f>
        <v>SL</v>
      </c>
    </row>
    <row r="158" spans="2:14" x14ac:dyDescent="0.25">
      <c r="B158" s="93">
        <v>43792</v>
      </c>
      <c r="C158" s="48" t="s">
        <v>697</v>
      </c>
      <c r="D158" s="48" t="s">
        <v>1131</v>
      </c>
      <c r="E158" s="4" t="s">
        <v>89</v>
      </c>
      <c r="F158" s="49">
        <v>1</v>
      </c>
      <c r="G158" s="4" t="s">
        <v>1132</v>
      </c>
      <c r="I158" s="4" t="s">
        <v>149</v>
      </c>
      <c r="K158" s="4" t="str">
        <f>IFERROR(LEFT(T_LEAVE[[#This Row],[EMPLOYEE NAME]],LEN(T_LEAVE[[#This Row],[EMPLOYEE NAME]])-3),"")</f>
        <v>WAMBANGCO, JAN TOBEY</v>
      </c>
      <c r="L158" s="48">
        <f>IFERROR(DATEVALUE(TEXT(RIGHT(T_LEAVE[[#This Row],[LEAVE DATE]],LEN(T_LEAVE[[#This Row],[LEAVE DATE]])-6),"[$-en-US]d-mmm-yyyy;@")),"")</f>
        <v>43785</v>
      </c>
      <c r="M158" s="4" t="str">
        <f>IFERROR(TRIM(T_LEAVE[[#This Row],[TYPE]]),"")</f>
        <v>SICK LEAVE</v>
      </c>
      <c r="N158" s="69" t="str">
        <f>IFERROR(VLOOKUP(T_LEAVE[[#This Row],[LEAVE TYPE]],T_LEAVETYPE[#All],2,0),"")</f>
        <v>SL</v>
      </c>
    </row>
    <row r="159" spans="2:14" x14ac:dyDescent="0.25">
      <c r="B159" s="93">
        <v>43793</v>
      </c>
      <c r="C159" s="48" t="s">
        <v>159</v>
      </c>
      <c r="D159" s="48" t="s">
        <v>147</v>
      </c>
      <c r="E159" s="4" t="s">
        <v>88</v>
      </c>
      <c r="F159" s="49">
        <v>1</v>
      </c>
      <c r="G159" s="4" t="s">
        <v>160</v>
      </c>
      <c r="I159" s="4" t="s">
        <v>149</v>
      </c>
      <c r="K159" s="4" t="str">
        <f>IFERROR(LEFT(T_LEAVE[[#This Row],[EMPLOYEE NAME]],LEN(T_LEAVE[[#This Row],[EMPLOYEE NAME]])-3),"")</f>
        <v>ACOSTA, JOSEPH VAUGHN</v>
      </c>
      <c r="L159" s="48">
        <f>IFERROR(DATEVALUE(TEXT(RIGHT(T_LEAVE[[#This Row],[LEAVE DATE]],LEN(T_LEAVE[[#This Row],[LEAVE DATE]])-6),"[$-en-US]d-mmm-yyyy;@")),"")</f>
        <v>43813</v>
      </c>
      <c r="M159" s="4" t="str">
        <f>IFERROR(TRIM(T_LEAVE[[#This Row],[TYPE]]),"")</f>
        <v>VACATION LEAVE</v>
      </c>
      <c r="N159" s="4" t="str">
        <f>IFERROR(VLOOKUP(T_LEAVE[[#This Row],[LEAVE TYPE]],T_LEAVETYPE[#All],2,0),"")</f>
        <v>VL</v>
      </c>
    </row>
    <row r="160" spans="2:14" x14ac:dyDescent="0.25">
      <c r="B160" s="93">
        <v>43793</v>
      </c>
      <c r="C160" s="48" t="s">
        <v>159</v>
      </c>
      <c r="D160" s="48" t="s">
        <v>240</v>
      </c>
      <c r="E160" s="4" t="s">
        <v>88</v>
      </c>
      <c r="F160" s="49">
        <v>1</v>
      </c>
      <c r="G160" s="4" t="s">
        <v>242</v>
      </c>
      <c r="I160" s="4" t="s">
        <v>149</v>
      </c>
      <c r="K160" s="4" t="str">
        <f>IFERROR(LEFT(T_LEAVE[[#This Row],[EMPLOYEE NAME]],LEN(T_LEAVE[[#This Row],[EMPLOYEE NAME]])-3),"")</f>
        <v>AYAG, PRINCESS</v>
      </c>
      <c r="L160" s="48">
        <f>IFERROR(DATEVALUE(TEXT(RIGHT(T_LEAVE[[#This Row],[LEAVE DATE]],LEN(T_LEAVE[[#This Row],[LEAVE DATE]])-6),"[$-en-US]d-mmm-yyyy;@")),"")</f>
        <v>43813</v>
      </c>
      <c r="M160" s="4" t="str">
        <f>IFERROR(TRIM(T_LEAVE[[#This Row],[TYPE]]),"")</f>
        <v>VACATION LEAVE</v>
      </c>
      <c r="N160" s="69" t="str">
        <f>IFERROR(VLOOKUP(T_LEAVE[[#This Row],[LEAVE TYPE]],T_LEAVETYPE[#All],2,0),"")</f>
        <v>VL</v>
      </c>
    </row>
    <row r="161" spans="2:14" x14ac:dyDescent="0.25">
      <c r="B161" s="93">
        <v>43793</v>
      </c>
      <c r="C161" s="48" t="s">
        <v>159</v>
      </c>
      <c r="D161" s="48" t="s">
        <v>330</v>
      </c>
      <c r="E161" s="4" t="s">
        <v>88</v>
      </c>
      <c r="F161" s="49">
        <v>1</v>
      </c>
      <c r="G161" s="4" t="s">
        <v>332</v>
      </c>
      <c r="I161" s="4" t="s">
        <v>149</v>
      </c>
      <c r="K161" s="4" t="str">
        <f>IFERROR(LEFT(T_LEAVE[[#This Row],[EMPLOYEE NAME]],LEN(T_LEAVE[[#This Row],[EMPLOYEE NAME]])-3),"")</f>
        <v>BELMONTE, JOSE MARI</v>
      </c>
      <c r="L161" s="48">
        <f>IFERROR(DATEVALUE(TEXT(RIGHT(T_LEAVE[[#This Row],[LEAVE DATE]],LEN(T_LEAVE[[#This Row],[LEAVE DATE]])-6),"[$-en-US]d-mmm-yyyy;@")),"")</f>
        <v>43813</v>
      </c>
      <c r="M161" s="4" t="str">
        <f>IFERROR(TRIM(T_LEAVE[[#This Row],[TYPE]]),"")</f>
        <v>VACATION LEAVE</v>
      </c>
      <c r="N161" s="69" t="str">
        <f>IFERROR(VLOOKUP(T_LEAVE[[#This Row],[LEAVE TYPE]],T_LEAVETYPE[#All],2,0),"")</f>
        <v>VL</v>
      </c>
    </row>
    <row r="162" spans="2:14" x14ac:dyDescent="0.25">
      <c r="B162" s="93">
        <v>43793</v>
      </c>
      <c r="C162" s="48" t="s">
        <v>159</v>
      </c>
      <c r="D162" s="48" t="s">
        <v>421</v>
      </c>
      <c r="E162" s="4" t="s">
        <v>88</v>
      </c>
      <c r="F162" s="49">
        <v>1</v>
      </c>
      <c r="G162" s="4" t="s">
        <v>427</v>
      </c>
      <c r="I162" s="4" t="s">
        <v>149</v>
      </c>
      <c r="K162" s="4" t="str">
        <f>IFERROR(LEFT(T_LEAVE[[#This Row],[EMPLOYEE NAME]],LEN(T_LEAVE[[#This Row],[EMPLOYEE NAME]])-3),"")</f>
        <v>DE LEON, JEFFREY</v>
      </c>
      <c r="L162" s="48">
        <f>IFERROR(DATEVALUE(TEXT(RIGHT(T_LEAVE[[#This Row],[LEAVE DATE]],LEN(T_LEAVE[[#This Row],[LEAVE DATE]])-6),"[$-en-US]d-mmm-yyyy;@")),"")</f>
        <v>43813</v>
      </c>
      <c r="M162" s="4" t="str">
        <f>IFERROR(TRIM(T_LEAVE[[#This Row],[TYPE]]),"")</f>
        <v>VACATION LEAVE</v>
      </c>
      <c r="N162" s="69" t="str">
        <f>IFERROR(VLOOKUP(T_LEAVE[[#This Row],[LEAVE TYPE]],T_LEAVETYPE[#All],2,0),"")</f>
        <v>VL</v>
      </c>
    </row>
    <row r="163" spans="2:14" x14ac:dyDescent="0.25">
      <c r="B163" s="93">
        <v>43793</v>
      </c>
      <c r="C163" s="48" t="s">
        <v>161</v>
      </c>
      <c r="D163" s="48" t="s">
        <v>1064</v>
      </c>
      <c r="E163" s="4" t="s">
        <v>89</v>
      </c>
      <c r="F163" s="49">
        <v>1</v>
      </c>
      <c r="G163" s="4" t="s">
        <v>1065</v>
      </c>
      <c r="I163" s="4" t="s">
        <v>149</v>
      </c>
      <c r="K163" s="4" t="str">
        <f>IFERROR(LEFT(T_LEAVE[[#This Row],[EMPLOYEE NAME]],LEN(T_LEAVE[[#This Row],[EMPLOYEE NAME]])-3),"")</f>
        <v>VIADO, DANAH LORRAINE</v>
      </c>
      <c r="L163" s="48">
        <f>IFERROR(DATEVALUE(TEXT(RIGHT(T_LEAVE[[#This Row],[LEAVE DATE]],LEN(T_LEAVE[[#This Row],[LEAVE DATE]])-6),"[$-en-US]d-mmm-yyyy;@")),"")</f>
        <v>43822</v>
      </c>
      <c r="M163" s="4" t="str">
        <f>IFERROR(TRIM(T_LEAVE[[#This Row],[TYPE]]),"")</f>
        <v>SICK LEAVE</v>
      </c>
      <c r="N163" s="69" t="str">
        <f>IFERROR(VLOOKUP(T_LEAVE[[#This Row],[LEAVE TYPE]],T_LEAVETYPE[#All],2,0),"")</f>
        <v>SL</v>
      </c>
    </row>
    <row r="164" spans="2:14" x14ac:dyDescent="0.25">
      <c r="B164" s="93">
        <v>43793</v>
      </c>
      <c r="C164" s="48" t="s">
        <v>610</v>
      </c>
      <c r="D164" s="48" t="s">
        <v>1064</v>
      </c>
      <c r="E164" s="4" t="s">
        <v>89</v>
      </c>
      <c r="F164" s="49">
        <v>1</v>
      </c>
      <c r="G164" s="4" t="s">
        <v>1065</v>
      </c>
      <c r="I164" s="4" t="s">
        <v>149</v>
      </c>
      <c r="K164" s="4" t="str">
        <f>IFERROR(LEFT(T_LEAVE[[#This Row],[EMPLOYEE NAME]],LEN(T_LEAVE[[#This Row],[EMPLOYEE NAME]])-3),"")</f>
        <v>VIADO, DANAH LORRAINE</v>
      </c>
      <c r="L164" s="48">
        <f>IFERROR(DATEVALUE(TEXT(RIGHT(T_LEAVE[[#This Row],[LEAVE DATE]],LEN(T_LEAVE[[#This Row],[LEAVE DATE]])-6),"[$-en-US]d-mmm-yyyy;@")),"")</f>
        <v>43825</v>
      </c>
      <c r="M164" s="4" t="str">
        <f>IFERROR(TRIM(T_LEAVE[[#This Row],[TYPE]]),"")</f>
        <v>SICK LEAVE</v>
      </c>
      <c r="N164" s="69" t="str">
        <f>IFERROR(VLOOKUP(T_LEAVE[[#This Row],[LEAVE TYPE]],T_LEAVETYPE[#All],2,0),"")</f>
        <v>SL</v>
      </c>
    </row>
    <row r="165" spans="2:14" x14ac:dyDescent="0.25">
      <c r="B165" s="93">
        <v>43793</v>
      </c>
      <c r="C165" s="48" t="s">
        <v>375</v>
      </c>
      <c r="D165" s="48" t="s">
        <v>1064</v>
      </c>
      <c r="E165" s="4" t="s">
        <v>89</v>
      </c>
      <c r="F165" s="49">
        <v>1</v>
      </c>
      <c r="G165" s="4" t="s">
        <v>1065</v>
      </c>
      <c r="I165" s="4" t="s">
        <v>149</v>
      </c>
      <c r="K165" s="4" t="str">
        <f>IFERROR(LEFT(T_LEAVE[[#This Row],[EMPLOYEE NAME]],LEN(T_LEAVE[[#This Row],[EMPLOYEE NAME]])-3),"")</f>
        <v>VIADO, DANAH LORRAINE</v>
      </c>
      <c r="L165" s="48">
        <f>IFERROR(DATEVALUE(TEXT(RIGHT(T_LEAVE[[#This Row],[LEAVE DATE]],LEN(T_LEAVE[[#This Row],[LEAVE DATE]])-6),"[$-en-US]d-mmm-yyyy;@")),"")</f>
        <v>43826</v>
      </c>
      <c r="M165" s="4" t="str">
        <f>IFERROR(TRIM(T_LEAVE[[#This Row],[TYPE]]),"")</f>
        <v>SICK LEAVE</v>
      </c>
      <c r="N165" s="69" t="str">
        <f>IFERROR(VLOOKUP(T_LEAVE[[#This Row],[LEAVE TYPE]],T_LEAVETYPE[#All],2,0),"")</f>
        <v>SL</v>
      </c>
    </row>
    <row r="166" spans="2:14" x14ac:dyDescent="0.25">
      <c r="B166" s="93">
        <v>43793</v>
      </c>
      <c r="C166" s="48" t="s">
        <v>1068</v>
      </c>
      <c r="D166" s="48" t="s">
        <v>1064</v>
      </c>
      <c r="E166" s="4" t="s">
        <v>88</v>
      </c>
      <c r="F166" s="49">
        <v>1</v>
      </c>
      <c r="G166" s="4" t="s">
        <v>1069</v>
      </c>
      <c r="I166" s="4" t="s">
        <v>149</v>
      </c>
      <c r="K166" s="4" t="str">
        <f>IFERROR(LEFT(T_LEAVE[[#This Row],[EMPLOYEE NAME]],LEN(T_LEAVE[[#This Row],[EMPLOYEE NAME]])-3),"")</f>
        <v>VIADO, DANAH LORRAINE</v>
      </c>
      <c r="L166" s="48">
        <f>IFERROR(DATEVALUE(TEXT(RIGHT(T_LEAVE[[#This Row],[LEAVE DATE]],LEN(T_LEAVE[[#This Row],[LEAVE DATE]])-6),"[$-en-US]d-mmm-yyyy;@")),"")</f>
        <v>43828</v>
      </c>
      <c r="M166" s="4" t="str">
        <f>IFERROR(TRIM(T_LEAVE[[#This Row],[TYPE]]),"")</f>
        <v>VACATION LEAVE</v>
      </c>
      <c r="N166" s="69" t="str">
        <f>IFERROR(VLOOKUP(T_LEAVE[[#This Row],[LEAVE TYPE]],T_LEAVETYPE[#All],2,0),"")</f>
        <v>VL</v>
      </c>
    </row>
    <row r="167" spans="2:14" x14ac:dyDescent="0.25">
      <c r="B167" s="93">
        <v>43793</v>
      </c>
      <c r="C167" s="48" t="s">
        <v>267</v>
      </c>
      <c r="D167" s="48" t="s">
        <v>1064</v>
      </c>
      <c r="E167" s="4" t="s">
        <v>88</v>
      </c>
      <c r="F167" s="49">
        <v>1</v>
      </c>
      <c r="G167" s="4" t="s">
        <v>1069</v>
      </c>
      <c r="I167" s="4" t="s">
        <v>149</v>
      </c>
      <c r="K167" s="4" t="str">
        <f>IFERROR(LEFT(T_LEAVE[[#This Row],[EMPLOYEE NAME]],LEN(T_LEAVE[[#This Row],[EMPLOYEE NAME]])-3),"")</f>
        <v>VIADO, DANAH LORRAINE</v>
      </c>
      <c r="L167" s="48">
        <f>IFERROR(DATEVALUE(TEXT(RIGHT(T_LEAVE[[#This Row],[LEAVE DATE]],LEN(T_LEAVE[[#This Row],[LEAVE DATE]])-6),"[$-en-US]d-mmm-yyyy;@")),"")</f>
        <v>43829</v>
      </c>
      <c r="M167" s="4" t="str">
        <f>IFERROR(TRIM(T_LEAVE[[#This Row],[TYPE]]),"")</f>
        <v>VACATION LEAVE</v>
      </c>
      <c r="N167" s="69" t="str">
        <f>IFERROR(VLOOKUP(T_LEAVE[[#This Row],[LEAVE TYPE]],T_LEAVETYPE[#All],2,0),"")</f>
        <v>VL</v>
      </c>
    </row>
    <row r="168" spans="2:14" x14ac:dyDescent="0.25">
      <c r="B168" s="93">
        <v>43793</v>
      </c>
      <c r="C168" s="48" t="s">
        <v>888</v>
      </c>
      <c r="D168" s="48" t="s">
        <v>1064</v>
      </c>
      <c r="E168" s="4" t="s">
        <v>88</v>
      </c>
      <c r="F168" s="49">
        <v>1</v>
      </c>
      <c r="G168" s="4" t="s">
        <v>1069</v>
      </c>
      <c r="I168" s="4" t="s">
        <v>149</v>
      </c>
      <c r="K168" s="4" t="str">
        <f>IFERROR(LEFT(T_LEAVE[[#This Row],[EMPLOYEE NAME]],LEN(T_LEAVE[[#This Row],[EMPLOYEE NAME]])-3),"")</f>
        <v>VIADO, DANAH LORRAINE</v>
      </c>
      <c r="L168" s="48">
        <f>IFERROR(DATEVALUE(TEXT(RIGHT(T_LEAVE[[#This Row],[LEAVE DATE]],LEN(T_LEAVE[[#This Row],[LEAVE DATE]])-6),"[$-en-US]d-mmm-yyyy;@")),"")</f>
        <v>43832</v>
      </c>
      <c r="M168" s="4" t="str">
        <f>IFERROR(TRIM(T_LEAVE[[#This Row],[TYPE]]),"")</f>
        <v>VACATION LEAVE</v>
      </c>
      <c r="N168" s="69" t="str">
        <f>IFERROR(VLOOKUP(T_LEAVE[[#This Row],[LEAVE TYPE]],T_LEAVETYPE[#All],2,0),"")</f>
        <v>VL</v>
      </c>
    </row>
    <row r="169" spans="2:14" x14ac:dyDescent="0.25">
      <c r="B169" s="93">
        <v>43793</v>
      </c>
      <c r="C169" s="48" t="s">
        <v>243</v>
      </c>
      <c r="D169" s="48" t="s">
        <v>1064</v>
      </c>
      <c r="E169" s="4" t="s">
        <v>88</v>
      </c>
      <c r="F169" s="49">
        <v>1</v>
      </c>
      <c r="G169" s="4" t="s">
        <v>1069</v>
      </c>
      <c r="I169" s="4" t="s">
        <v>149</v>
      </c>
      <c r="K169" s="4" t="str">
        <f>IFERROR(LEFT(T_LEAVE[[#This Row],[EMPLOYEE NAME]],LEN(T_LEAVE[[#This Row],[EMPLOYEE NAME]])-3),"")</f>
        <v>VIADO, DANAH LORRAINE</v>
      </c>
      <c r="L169" s="48">
        <f>IFERROR(DATEVALUE(TEXT(RIGHT(T_LEAVE[[#This Row],[LEAVE DATE]],LEN(T_LEAVE[[#This Row],[LEAVE DATE]])-6),"[$-en-US]d-mmm-yyyy;@")),"")</f>
        <v>43833</v>
      </c>
      <c r="M169" s="4" t="str">
        <f>IFERROR(TRIM(T_LEAVE[[#This Row],[TYPE]]),"")</f>
        <v>VACATION LEAVE</v>
      </c>
      <c r="N169" s="69" t="str">
        <f>IFERROR(VLOOKUP(T_LEAVE[[#This Row],[LEAVE TYPE]],T_LEAVETYPE[#All],2,0),"")</f>
        <v>VL</v>
      </c>
    </row>
    <row r="170" spans="2:14" x14ac:dyDescent="0.25">
      <c r="B170" s="93">
        <v>43793</v>
      </c>
      <c r="C170" s="48" t="s">
        <v>221</v>
      </c>
      <c r="D170" s="48" t="s">
        <v>1064</v>
      </c>
      <c r="E170" s="4" t="s">
        <v>88</v>
      </c>
      <c r="F170" s="49">
        <v>1</v>
      </c>
      <c r="G170" s="4" t="s">
        <v>1069</v>
      </c>
      <c r="I170" s="4" t="s">
        <v>149</v>
      </c>
      <c r="K170" s="4" t="str">
        <f>IFERROR(LEFT(T_LEAVE[[#This Row],[EMPLOYEE NAME]],LEN(T_LEAVE[[#This Row],[EMPLOYEE NAME]])-3),"")</f>
        <v>VIADO, DANAH LORRAINE</v>
      </c>
      <c r="L170" s="48">
        <f>IFERROR(DATEVALUE(TEXT(RIGHT(T_LEAVE[[#This Row],[LEAVE DATE]],LEN(T_LEAVE[[#This Row],[LEAVE DATE]])-6),"[$-en-US]d-mmm-yyyy;@")),"")</f>
        <v>43834</v>
      </c>
      <c r="M170" s="4" t="str">
        <f>IFERROR(TRIM(T_LEAVE[[#This Row],[TYPE]]),"")</f>
        <v>VACATION LEAVE</v>
      </c>
      <c r="N170" s="69" t="str">
        <f>IFERROR(VLOOKUP(T_LEAVE[[#This Row],[LEAVE TYPE]],T_LEAVETYPE[#All],2,0),"")</f>
        <v>VL</v>
      </c>
    </row>
    <row r="171" spans="2:14" x14ac:dyDescent="0.25">
      <c r="B171" s="93">
        <v>43793</v>
      </c>
      <c r="C171" s="48" t="s">
        <v>245</v>
      </c>
      <c r="D171" s="48" t="s">
        <v>1064</v>
      </c>
      <c r="E171" s="4" t="s">
        <v>88</v>
      </c>
      <c r="F171" s="49">
        <v>1</v>
      </c>
      <c r="G171" s="4" t="s">
        <v>1069</v>
      </c>
      <c r="I171" s="4" t="s">
        <v>149</v>
      </c>
      <c r="K171" s="4" t="str">
        <f>IFERROR(LEFT(T_LEAVE[[#This Row],[EMPLOYEE NAME]],LEN(T_LEAVE[[#This Row],[EMPLOYEE NAME]])-3),"")</f>
        <v>VIADO, DANAH LORRAINE</v>
      </c>
      <c r="L171" s="48">
        <f>IFERROR(DATEVALUE(TEXT(RIGHT(T_LEAVE[[#This Row],[LEAVE DATE]],LEN(T_LEAVE[[#This Row],[LEAVE DATE]])-6),"[$-en-US]d-mmm-yyyy;@")),"")</f>
        <v>43835</v>
      </c>
      <c r="M171" s="4" t="str">
        <f>IFERROR(TRIM(T_LEAVE[[#This Row],[TYPE]]),"")</f>
        <v>VACATION LEAVE</v>
      </c>
      <c r="N171" s="69" t="str">
        <f>IFERROR(VLOOKUP(T_LEAVE[[#This Row],[LEAVE TYPE]],T_LEAVETYPE[#All],2,0),"")</f>
        <v>VL</v>
      </c>
    </row>
    <row r="172" spans="2:14" x14ac:dyDescent="0.25">
      <c r="B172" s="93">
        <v>43793</v>
      </c>
      <c r="C172" s="48" t="s">
        <v>637</v>
      </c>
      <c r="D172" s="48" t="s">
        <v>1064</v>
      </c>
      <c r="E172" s="4" t="s">
        <v>88</v>
      </c>
      <c r="F172" s="49">
        <v>1</v>
      </c>
      <c r="G172" s="4" t="s">
        <v>1069</v>
      </c>
      <c r="I172" s="4" t="s">
        <v>149</v>
      </c>
      <c r="K172" s="4" t="str">
        <f>IFERROR(LEFT(T_LEAVE[[#This Row],[EMPLOYEE NAME]],LEN(T_LEAVE[[#This Row],[EMPLOYEE NAME]])-3),"")</f>
        <v>VIADO, DANAH LORRAINE</v>
      </c>
      <c r="L172" s="48">
        <f>IFERROR(DATEVALUE(TEXT(RIGHT(T_LEAVE[[#This Row],[LEAVE DATE]],LEN(T_LEAVE[[#This Row],[LEAVE DATE]])-6),"[$-en-US]d-mmm-yyyy;@")),"")</f>
        <v>43836</v>
      </c>
      <c r="M172" s="4" t="str">
        <f>IFERROR(TRIM(T_LEAVE[[#This Row],[TYPE]]),"")</f>
        <v>VACATION LEAVE</v>
      </c>
      <c r="N172" s="69" t="str">
        <f>IFERROR(VLOOKUP(T_LEAVE[[#This Row],[LEAVE TYPE]],T_LEAVETYPE[#All],2,0),"")</f>
        <v>VL</v>
      </c>
    </row>
    <row r="173" spans="2:14" x14ac:dyDescent="0.25">
      <c r="B173" s="93">
        <v>43793</v>
      </c>
      <c r="C173" s="48" t="s">
        <v>159</v>
      </c>
      <c r="D173" s="48" t="s">
        <v>1142</v>
      </c>
      <c r="E173" s="4" t="s">
        <v>88</v>
      </c>
      <c r="F173" s="49">
        <v>1</v>
      </c>
      <c r="G173" s="4" t="s">
        <v>1144</v>
      </c>
      <c r="I173" s="4" t="s">
        <v>149</v>
      </c>
      <c r="K173" s="4" t="str">
        <f>IFERROR(LEFT(T_LEAVE[[#This Row],[EMPLOYEE NAME]],LEN(T_LEAVE[[#This Row],[EMPLOYEE NAME]])-3),"")</f>
        <v>WENCESLAO, JOHN GLENN</v>
      </c>
      <c r="L173" s="48">
        <f>IFERROR(DATEVALUE(TEXT(RIGHT(T_LEAVE[[#This Row],[LEAVE DATE]],LEN(T_LEAVE[[#This Row],[LEAVE DATE]])-6),"[$-en-US]d-mmm-yyyy;@")),"")</f>
        <v>43813</v>
      </c>
      <c r="M173" s="4" t="str">
        <f>IFERROR(TRIM(T_LEAVE[[#This Row],[TYPE]]),"")</f>
        <v>VACATION LEAVE</v>
      </c>
      <c r="N173" s="69" t="str">
        <f>IFERROR(VLOOKUP(T_LEAVE[[#This Row],[LEAVE TYPE]],T_LEAVETYPE[#All],2,0),"")</f>
        <v>VL</v>
      </c>
    </row>
    <row r="174" spans="2:14" x14ac:dyDescent="0.25">
      <c r="B174" s="93">
        <v>43797</v>
      </c>
      <c r="C174" s="48" t="s">
        <v>369</v>
      </c>
      <c r="D174" s="48" t="s">
        <v>753</v>
      </c>
      <c r="E174" s="4" t="s">
        <v>89</v>
      </c>
      <c r="F174" s="49">
        <v>1</v>
      </c>
      <c r="G174" s="4" t="s">
        <v>760</v>
      </c>
      <c r="I174" s="4" t="s">
        <v>149</v>
      </c>
      <c r="K174" s="4" t="str">
        <f>IFERROR(LEFT(T_LEAVE[[#This Row],[EMPLOYEE NAME]],LEN(T_LEAVE[[#This Row],[EMPLOYEE NAME]])-3),"")</f>
        <v>LEGASPI, ARABELLE</v>
      </c>
      <c r="L174" s="48">
        <f>IFERROR(DATEVALUE(TEXT(RIGHT(T_LEAVE[[#This Row],[LEAVE DATE]],LEN(T_LEAVE[[#This Row],[LEAVE DATE]])-6),"[$-en-US]d-mmm-yyyy;@")),"")</f>
        <v>43797</v>
      </c>
      <c r="M174" s="4" t="str">
        <f>IFERROR(TRIM(T_LEAVE[[#This Row],[TYPE]]),"")</f>
        <v>SICK LEAVE</v>
      </c>
      <c r="N174" s="69" t="str">
        <f>IFERROR(VLOOKUP(T_LEAVE[[#This Row],[LEAVE TYPE]],T_LEAVETYPE[#All],2,0),"")</f>
        <v>SL</v>
      </c>
    </row>
    <row r="175" spans="2:14" x14ac:dyDescent="0.25">
      <c r="B175" s="93">
        <v>43797</v>
      </c>
      <c r="C175" s="48" t="s">
        <v>159</v>
      </c>
      <c r="D175" s="48" t="s">
        <v>753</v>
      </c>
      <c r="E175" s="4" t="s">
        <v>89</v>
      </c>
      <c r="F175" s="49">
        <v>1</v>
      </c>
      <c r="G175" s="4" t="s">
        <v>761</v>
      </c>
      <c r="I175" s="4" t="s">
        <v>149</v>
      </c>
      <c r="K175" s="4" t="str">
        <f>IFERROR(LEFT(T_LEAVE[[#This Row],[EMPLOYEE NAME]],LEN(T_LEAVE[[#This Row],[EMPLOYEE NAME]])-3),"")</f>
        <v>LEGASPI, ARABELLE</v>
      </c>
      <c r="L175" s="48">
        <f>IFERROR(DATEVALUE(TEXT(RIGHT(T_LEAVE[[#This Row],[LEAVE DATE]],LEN(T_LEAVE[[#This Row],[LEAVE DATE]])-6),"[$-en-US]d-mmm-yyyy;@")),"")</f>
        <v>43813</v>
      </c>
      <c r="M175" s="4" t="str">
        <f>IFERROR(TRIM(T_LEAVE[[#This Row],[TYPE]]),"")</f>
        <v>SICK LEAVE</v>
      </c>
      <c r="N175" s="69" t="str">
        <f>IFERROR(VLOOKUP(T_LEAVE[[#This Row],[LEAVE TYPE]],T_LEAVETYPE[#All],2,0),"")</f>
        <v>SL</v>
      </c>
    </row>
    <row r="176" spans="2:14" x14ac:dyDescent="0.25">
      <c r="B176" s="93">
        <v>43797</v>
      </c>
      <c r="C176" s="48" t="s">
        <v>239</v>
      </c>
      <c r="D176" s="48" t="s">
        <v>899</v>
      </c>
      <c r="E176" s="4" t="s">
        <v>88</v>
      </c>
      <c r="F176" s="49">
        <v>1</v>
      </c>
      <c r="G176" s="4" t="s">
        <v>906</v>
      </c>
      <c r="I176" s="4" t="s">
        <v>149</v>
      </c>
      <c r="K176" s="4" t="str">
        <f>IFERROR(LEFT(T_LEAVE[[#This Row],[EMPLOYEE NAME]],LEN(T_LEAVE[[#This Row],[EMPLOYEE NAME]])-3),"")</f>
        <v>PATULOT, MARIROSE</v>
      </c>
      <c r="L176" s="48">
        <f>IFERROR(DATEVALUE(TEXT(RIGHT(T_LEAVE[[#This Row],[LEAVE DATE]],LEN(T_LEAVE[[#This Row],[LEAVE DATE]])-6),"[$-en-US]d-mmm-yyyy;@")),"")</f>
        <v>43806</v>
      </c>
      <c r="M176" s="4" t="str">
        <f>IFERROR(TRIM(T_LEAVE[[#This Row],[TYPE]]),"")</f>
        <v>VACATION LEAVE</v>
      </c>
      <c r="N176" s="69" t="str">
        <f>IFERROR(VLOOKUP(T_LEAVE[[#This Row],[LEAVE TYPE]],T_LEAVETYPE[#All],2,0),"")</f>
        <v>VL</v>
      </c>
    </row>
    <row r="177" spans="2:14" x14ac:dyDescent="0.25">
      <c r="B177" s="93">
        <v>43797</v>
      </c>
      <c r="C177" s="48" t="s">
        <v>781</v>
      </c>
      <c r="D177" s="48" t="s">
        <v>923</v>
      </c>
      <c r="E177" s="4" t="s">
        <v>89</v>
      </c>
      <c r="F177" s="49">
        <v>1</v>
      </c>
      <c r="G177" s="4" t="s">
        <v>927</v>
      </c>
      <c r="I177" s="4" t="s">
        <v>149</v>
      </c>
      <c r="K177" s="4" t="str">
        <f>IFERROR(LEFT(T_LEAVE[[#This Row],[EMPLOYEE NAME]],LEN(T_LEAVE[[#This Row],[EMPLOYEE NAME]])-3),"")</f>
        <v>REOTIREZ, REYMONG</v>
      </c>
      <c r="L177" s="48">
        <f>IFERROR(DATEVALUE(TEXT(RIGHT(T_LEAVE[[#This Row],[LEAVE DATE]],LEN(T_LEAVE[[#This Row],[LEAVE DATE]])-6),"[$-en-US]d-mmm-yyyy;@")),"")</f>
        <v>43795</v>
      </c>
      <c r="M177" s="4" t="str">
        <f>IFERROR(TRIM(T_LEAVE[[#This Row],[TYPE]]),"")</f>
        <v>SICK LEAVE</v>
      </c>
      <c r="N177" s="69" t="str">
        <f>IFERROR(VLOOKUP(T_LEAVE[[#This Row],[LEAVE TYPE]],T_LEAVETYPE[#All],2,0),"")</f>
        <v>SL</v>
      </c>
    </row>
    <row r="178" spans="2:14" x14ac:dyDescent="0.25">
      <c r="B178" s="93">
        <v>43799</v>
      </c>
      <c r="C178" s="48" t="s">
        <v>369</v>
      </c>
      <c r="D178" s="48" t="s">
        <v>629</v>
      </c>
      <c r="E178" s="4" t="s">
        <v>89</v>
      </c>
      <c r="F178" s="49">
        <v>1</v>
      </c>
      <c r="G178" s="4" t="s">
        <v>635</v>
      </c>
      <c r="I178" s="4" t="s">
        <v>149</v>
      </c>
      <c r="K178" s="4" t="str">
        <f>IFERROR(LEFT(T_LEAVE[[#This Row],[EMPLOYEE NAME]],LEN(T_LEAVE[[#This Row],[EMPLOYEE NAME]])-3),"")</f>
        <v>JAIME, JACYLYN</v>
      </c>
      <c r="L178" s="48">
        <f>IFERROR(DATEVALUE(TEXT(RIGHT(T_LEAVE[[#This Row],[LEAVE DATE]],LEN(T_LEAVE[[#This Row],[LEAVE DATE]])-6),"[$-en-US]d-mmm-yyyy;@")),"")</f>
        <v>43797</v>
      </c>
      <c r="M178" s="4" t="str">
        <f>IFERROR(TRIM(T_LEAVE[[#This Row],[TYPE]]),"")</f>
        <v>SICK LEAVE</v>
      </c>
      <c r="N178" s="69" t="str">
        <f>IFERROR(VLOOKUP(T_LEAVE[[#This Row],[LEAVE TYPE]],T_LEAVETYPE[#All],2,0),"")</f>
        <v>SL</v>
      </c>
    </row>
    <row r="179" spans="2:14" x14ac:dyDescent="0.25">
      <c r="B179" s="93">
        <v>43799</v>
      </c>
      <c r="C179" s="48" t="s">
        <v>267</v>
      </c>
      <c r="D179" s="48" t="s">
        <v>629</v>
      </c>
      <c r="E179" s="4" t="s">
        <v>88</v>
      </c>
      <c r="F179" s="49">
        <v>1</v>
      </c>
      <c r="G179" s="4" t="s">
        <v>636</v>
      </c>
      <c r="I179" s="4" t="s">
        <v>149</v>
      </c>
      <c r="K179" s="4" t="str">
        <f>IFERROR(LEFT(T_LEAVE[[#This Row],[EMPLOYEE NAME]],LEN(T_LEAVE[[#This Row],[EMPLOYEE NAME]])-3),"")</f>
        <v>JAIME, JACYLYN</v>
      </c>
      <c r="L179" s="48">
        <f>IFERROR(DATEVALUE(TEXT(RIGHT(T_LEAVE[[#This Row],[LEAVE DATE]],LEN(T_LEAVE[[#This Row],[LEAVE DATE]])-6),"[$-en-US]d-mmm-yyyy;@")),"")</f>
        <v>43829</v>
      </c>
      <c r="M179" s="4" t="str">
        <f>IFERROR(TRIM(T_LEAVE[[#This Row],[TYPE]]),"")</f>
        <v>VACATION LEAVE</v>
      </c>
      <c r="N179" s="69" t="str">
        <f>IFERROR(VLOOKUP(T_LEAVE[[#This Row],[LEAVE TYPE]],T_LEAVETYPE[#All],2,0),"")</f>
        <v>VL</v>
      </c>
    </row>
    <row r="180" spans="2:14" x14ac:dyDescent="0.25">
      <c r="B180" s="93">
        <v>43800</v>
      </c>
      <c r="C180" s="48" t="s">
        <v>369</v>
      </c>
      <c r="D180" s="48" t="s">
        <v>365</v>
      </c>
      <c r="E180" s="4" t="s">
        <v>89</v>
      </c>
      <c r="F180" s="49">
        <v>1</v>
      </c>
      <c r="G180" s="4" t="s">
        <v>370</v>
      </c>
      <c r="I180" s="4" t="s">
        <v>149</v>
      </c>
      <c r="K180" s="4" t="str">
        <f>IFERROR(LEFT(T_LEAVE[[#This Row],[EMPLOYEE NAME]],LEN(T_LEAVE[[#This Row],[EMPLOYEE NAME]])-3),"")</f>
        <v>CASAS JR., BERNARDO</v>
      </c>
      <c r="L180" s="48">
        <f>IFERROR(DATEVALUE(TEXT(RIGHT(T_LEAVE[[#This Row],[LEAVE DATE]],LEN(T_LEAVE[[#This Row],[LEAVE DATE]])-6),"[$-en-US]d-mmm-yyyy;@")),"")</f>
        <v>43797</v>
      </c>
      <c r="M180" s="4" t="str">
        <f>IFERROR(TRIM(T_LEAVE[[#This Row],[TYPE]]),"")</f>
        <v>SICK LEAVE</v>
      </c>
      <c r="N180" s="69" t="str">
        <f>IFERROR(VLOOKUP(T_LEAVE[[#This Row],[LEAVE TYPE]],T_LEAVETYPE[#All],2,0),"")</f>
        <v>SL</v>
      </c>
    </row>
    <row r="181" spans="2:14" x14ac:dyDescent="0.25">
      <c r="B181" s="93">
        <v>43800</v>
      </c>
      <c r="C181" s="48" t="s">
        <v>371</v>
      </c>
      <c r="D181" s="48" t="s">
        <v>365</v>
      </c>
      <c r="E181" s="4" t="s">
        <v>89</v>
      </c>
      <c r="F181" s="49">
        <v>1</v>
      </c>
      <c r="G181" s="4" t="s">
        <v>372</v>
      </c>
      <c r="I181" s="4" t="s">
        <v>149</v>
      </c>
      <c r="K181" s="4" t="str">
        <f>IFERROR(LEFT(T_LEAVE[[#This Row],[EMPLOYEE NAME]],LEN(T_LEAVE[[#This Row],[EMPLOYEE NAME]])-3),"")</f>
        <v>CASAS JR., BERNARDO</v>
      </c>
      <c r="L181" s="48">
        <f>IFERROR(DATEVALUE(TEXT(RIGHT(T_LEAVE[[#This Row],[LEAVE DATE]],LEN(T_LEAVE[[#This Row],[LEAVE DATE]])-6),"[$-en-US]d-mmm-yyyy;@")),"")</f>
        <v>43812</v>
      </c>
      <c r="M181" s="4" t="str">
        <f>IFERROR(TRIM(T_LEAVE[[#This Row],[TYPE]]),"")</f>
        <v>SICK LEAVE</v>
      </c>
      <c r="N181" s="69" t="str">
        <f>IFERROR(VLOOKUP(T_LEAVE[[#This Row],[LEAVE TYPE]],T_LEAVETYPE[#All],2,0),"")</f>
        <v>SL</v>
      </c>
    </row>
    <row r="182" spans="2:14" x14ac:dyDescent="0.25">
      <c r="B182" s="93">
        <v>43801</v>
      </c>
      <c r="C182" s="48" t="s">
        <v>1007</v>
      </c>
      <c r="D182" s="48" t="s">
        <v>1004</v>
      </c>
      <c r="E182" s="4" t="s">
        <v>89</v>
      </c>
      <c r="F182" s="49">
        <v>1</v>
      </c>
      <c r="G182" s="4" t="s">
        <v>1008</v>
      </c>
      <c r="I182" s="4" t="s">
        <v>149</v>
      </c>
      <c r="K182" s="4" t="str">
        <f>IFERROR(LEFT(T_LEAVE[[#This Row],[EMPLOYEE NAME]],LEN(T_LEAVE[[#This Row],[EMPLOYEE NAME]])-3),"")</f>
        <v>VALENCIA, WINDSOR ROBERT</v>
      </c>
      <c r="L182" s="48">
        <f>IFERROR(DATEVALUE(TEXT(RIGHT(T_LEAVE[[#This Row],[LEAVE DATE]],LEN(T_LEAVE[[#This Row],[LEAVE DATE]])-6),"[$-en-US]d-mmm-yyyy;@")),"")</f>
        <v>43803</v>
      </c>
      <c r="M182" s="4" t="str">
        <f>IFERROR(TRIM(T_LEAVE[[#This Row],[TYPE]]),"")</f>
        <v>SICK LEAVE</v>
      </c>
      <c r="N182" s="69" t="str">
        <f>IFERROR(VLOOKUP(T_LEAVE[[#This Row],[LEAVE TYPE]],T_LEAVETYPE[#All],2,0),"")</f>
        <v>SL</v>
      </c>
    </row>
    <row r="183" spans="2:14" x14ac:dyDescent="0.25">
      <c r="B183" s="93">
        <v>43801</v>
      </c>
      <c r="C183" s="48" t="s">
        <v>1009</v>
      </c>
      <c r="D183" s="48" t="s">
        <v>1004</v>
      </c>
      <c r="E183" s="4" t="s">
        <v>89</v>
      </c>
      <c r="F183" s="49">
        <v>1</v>
      </c>
      <c r="G183" s="4" t="s">
        <v>1010</v>
      </c>
      <c r="I183" s="4" t="s">
        <v>149</v>
      </c>
      <c r="K183" s="4" t="str">
        <f>IFERROR(LEFT(T_LEAVE[[#This Row],[EMPLOYEE NAME]],LEN(T_LEAVE[[#This Row],[EMPLOYEE NAME]])-3),"")</f>
        <v>VALENCIA, WINDSOR ROBERT</v>
      </c>
      <c r="L183" s="48">
        <f>IFERROR(DATEVALUE(TEXT(RIGHT(T_LEAVE[[#This Row],[LEAVE DATE]],LEN(T_LEAVE[[#This Row],[LEAVE DATE]])-6),"[$-en-US]d-mmm-yyyy;@")),"")</f>
        <v>43804</v>
      </c>
      <c r="M183" s="4" t="str">
        <f>IFERROR(TRIM(T_LEAVE[[#This Row],[TYPE]]),"")</f>
        <v>SICK LEAVE</v>
      </c>
      <c r="N183" s="69" t="str">
        <f>IFERROR(VLOOKUP(T_LEAVE[[#This Row],[LEAVE TYPE]],T_LEAVETYPE[#All],2,0),"")</f>
        <v>SL</v>
      </c>
    </row>
    <row r="184" spans="2:14" x14ac:dyDescent="0.25">
      <c r="B184" s="93">
        <v>43801</v>
      </c>
      <c r="C184" s="48" t="s">
        <v>1011</v>
      </c>
      <c r="D184" s="48" t="s">
        <v>1004</v>
      </c>
      <c r="E184" s="4" t="s">
        <v>89</v>
      </c>
      <c r="F184" s="49">
        <v>1</v>
      </c>
      <c r="G184" s="4" t="s">
        <v>1008</v>
      </c>
      <c r="I184" s="4" t="s">
        <v>149</v>
      </c>
      <c r="K184" s="4" t="str">
        <f>IFERROR(LEFT(T_LEAVE[[#This Row],[EMPLOYEE NAME]],LEN(T_LEAVE[[#This Row],[EMPLOYEE NAME]])-3),"")</f>
        <v>VALENCIA, WINDSOR ROBERT</v>
      </c>
      <c r="L184" s="48">
        <f>IFERROR(DATEVALUE(TEXT(RIGHT(T_LEAVE[[#This Row],[LEAVE DATE]],LEN(T_LEAVE[[#This Row],[LEAVE DATE]])-6),"[$-en-US]d-mmm-yyyy;@")),"")</f>
        <v>43807</v>
      </c>
      <c r="M184" s="4" t="str">
        <f>IFERROR(TRIM(T_LEAVE[[#This Row],[TYPE]]),"")</f>
        <v>SICK LEAVE</v>
      </c>
      <c r="N184" s="69" t="str">
        <f>IFERROR(VLOOKUP(T_LEAVE[[#This Row],[LEAVE TYPE]],T_LEAVETYPE[#All],2,0),"")</f>
        <v>SL</v>
      </c>
    </row>
    <row r="185" spans="2:14" x14ac:dyDescent="0.25">
      <c r="B185" s="93">
        <v>43802</v>
      </c>
      <c r="C185" s="48" t="s">
        <v>610</v>
      </c>
      <c r="D185" s="48" t="s">
        <v>602</v>
      </c>
      <c r="E185" s="4" t="s">
        <v>89</v>
      </c>
      <c r="F185" s="49">
        <v>1</v>
      </c>
      <c r="G185" s="4" t="s">
        <v>611</v>
      </c>
      <c r="I185" s="4" t="s">
        <v>149</v>
      </c>
      <c r="K185" s="4" t="str">
        <f>IFERROR(LEFT(T_LEAVE[[#This Row],[EMPLOYEE NAME]],LEN(T_LEAVE[[#This Row],[EMPLOYEE NAME]])-3),"")</f>
        <v>HIPOLITO, JOYCE ANN KENETH</v>
      </c>
      <c r="L185" s="48">
        <f>IFERROR(DATEVALUE(TEXT(RIGHT(T_LEAVE[[#This Row],[LEAVE DATE]],LEN(T_LEAVE[[#This Row],[LEAVE DATE]])-6),"[$-en-US]d-mmm-yyyy;@")),"")</f>
        <v>43825</v>
      </c>
      <c r="M185" s="4" t="str">
        <f>IFERROR(TRIM(T_LEAVE[[#This Row],[TYPE]]),"")</f>
        <v>SICK LEAVE</v>
      </c>
      <c r="N185" s="69" t="str">
        <f>IFERROR(VLOOKUP(T_LEAVE[[#This Row],[LEAVE TYPE]],T_LEAVETYPE[#All],2,0),"")</f>
        <v>SL</v>
      </c>
    </row>
    <row r="186" spans="2:14" x14ac:dyDescent="0.25">
      <c r="B186" s="93">
        <v>43802</v>
      </c>
      <c r="C186" s="48" t="s">
        <v>371</v>
      </c>
      <c r="D186" s="48" t="s">
        <v>777</v>
      </c>
      <c r="E186" s="4" t="s">
        <v>698</v>
      </c>
      <c r="F186" s="49">
        <v>1</v>
      </c>
      <c r="G186" s="4" t="s">
        <v>783</v>
      </c>
      <c r="H186" s="4" t="s">
        <v>165</v>
      </c>
      <c r="I186" s="4" t="s">
        <v>149</v>
      </c>
      <c r="K186" s="4" t="str">
        <f>IFERROR(LEFT(T_LEAVE[[#This Row],[EMPLOYEE NAME]],LEN(T_LEAVE[[#This Row],[EMPLOYEE NAME]])-3),"")</f>
        <v>MACALALAD, ANAMARIE</v>
      </c>
      <c r="L186" s="48">
        <f>IFERROR(DATEVALUE(TEXT(RIGHT(T_LEAVE[[#This Row],[LEAVE DATE]],LEN(T_LEAVE[[#This Row],[LEAVE DATE]])-6),"[$-en-US]d-mmm-yyyy;@")),"")</f>
        <v>43812</v>
      </c>
      <c r="M186" s="4" t="str">
        <f>IFERROR(TRIM(T_LEAVE[[#This Row],[TYPE]]),"")</f>
        <v>SOLO PARENT LEAVE</v>
      </c>
      <c r="N186" s="69" t="str">
        <f>IFERROR(VLOOKUP(T_LEAVE[[#This Row],[LEAVE TYPE]],T_LEAVETYPE[#All],2,0),"")</f>
        <v/>
      </c>
    </row>
    <row r="187" spans="2:14" x14ac:dyDescent="0.25">
      <c r="B187" s="93">
        <v>43802</v>
      </c>
      <c r="C187" s="48" t="s">
        <v>161</v>
      </c>
      <c r="D187" s="48" t="s">
        <v>777</v>
      </c>
      <c r="E187" s="4" t="s">
        <v>698</v>
      </c>
      <c r="F187" s="49">
        <v>1</v>
      </c>
      <c r="G187" s="4" t="s">
        <v>785</v>
      </c>
      <c r="H187" s="4" t="s">
        <v>165</v>
      </c>
      <c r="I187" s="4" t="s">
        <v>149</v>
      </c>
      <c r="K187" s="4" t="str">
        <f>IFERROR(LEFT(T_LEAVE[[#This Row],[EMPLOYEE NAME]],LEN(T_LEAVE[[#This Row],[EMPLOYEE NAME]])-3),"")</f>
        <v>MACALALAD, ANAMARIE</v>
      </c>
      <c r="L187" s="48">
        <f>IFERROR(DATEVALUE(TEXT(RIGHT(T_LEAVE[[#This Row],[LEAVE DATE]],LEN(T_LEAVE[[#This Row],[LEAVE DATE]])-6),"[$-en-US]d-mmm-yyyy;@")),"")</f>
        <v>43822</v>
      </c>
      <c r="M187" s="4" t="str">
        <f>IFERROR(TRIM(T_LEAVE[[#This Row],[TYPE]]),"")</f>
        <v>SOLO PARENT LEAVE</v>
      </c>
      <c r="N187" s="69" t="str">
        <f>IFERROR(VLOOKUP(T_LEAVE[[#This Row],[LEAVE TYPE]],T_LEAVETYPE[#All],2,0),"")</f>
        <v/>
      </c>
    </row>
    <row r="188" spans="2:14" x14ac:dyDescent="0.25">
      <c r="B188" s="93">
        <v>43803</v>
      </c>
      <c r="C188" s="48" t="s">
        <v>393</v>
      </c>
      <c r="D188" s="48" t="s">
        <v>382</v>
      </c>
      <c r="E188" s="4" t="s">
        <v>89</v>
      </c>
      <c r="F188" s="49">
        <v>1</v>
      </c>
      <c r="G188" s="4" t="s">
        <v>394</v>
      </c>
      <c r="I188" s="4" t="s">
        <v>149</v>
      </c>
      <c r="K188" s="4" t="str">
        <f>IFERROR(LEFT(T_LEAVE[[#This Row],[EMPLOYEE NAME]],LEN(T_LEAVE[[#This Row],[EMPLOYEE NAME]])-3),"")</f>
        <v>CONSTANTINO, IAN ARCHIMEDES</v>
      </c>
      <c r="L188" s="48">
        <f>IFERROR(DATEVALUE(TEXT(RIGHT(T_LEAVE[[#This Row],[LEAVE DATE]],LEN(T_LEAVE[[#This Row],[LEAVE DATE]])-6),"[$-en-US]d-mmm-yyyy;@")),"")</f>
        <v>43802</v>
      </c>
      <c r="M188" s="4" t="str">
        <f>IFERROR(TRIM(T_LEAVE[[#This Row],[TYPE]]),"")</f>
        <v>SICK LEAVE</v>
      </c>
      <c r="N188" s="69" t="str">
        <f>IFERROR(VLOOKUP(T_LEAVE[[#This Row],[LEAVE TYPE]],T_LEAVETYPE[#All],2,0),"")</f>
        <v>SL</v>
      </c>
    </row>
    <row r="189" spans="2:14" x14ac:dyDescent="0.25">
      <c r="B189" s="93">
        <v>43803</v>
      </c>
      <c r="C189" s="48" t="s">
        <v>610</v>
      </c>
      <c r="D189" s="48" t="s">
        <v>777</v>
      </c>
      <c r="E189" s="4" t="s">
        <v>698</v>
      </c>
      <c r="F189" s="49">
        <v>1</v>
      </c>
      <c r="G189" s="4" t="s">
        <v>785</v>
      </c>
      <c r="H189" s="4" t="s">
        <v>165</v>
      </c>
      <c r="I189" s="4" t="s">
        <v>149</v>
      </c>
      <c r="K189" s="4" t="str">
        <f>IFERROR(LEFT(T_LEAVE[[#This Row],[EMPLOYEE NAME]],LEN(T_LEAVE[[#This Row],[EMPLOYEE NAME]])-3),"")</f>
        <v>MACALALAD, ANAMARIE</v>
      </c>
      <c r="L189" s="48">
        <f>IFERROR(DATEVALUE(TEXT(RIGHT(T_LEAVE[[#This Row],[LEAVE DATE]],LEN(T_LEAVE[[#This Row],[LEAVE DATE]])-6),"[$-en-US]d-mmm-yyyy;@")),"")</f>
        <v>43825</v>
      </c>
      <c r="M189" s="4" t="str">
        <f>IFERROR(TRIM(T_LEAVE[[#This Row],[TYPE]]),"")</f>
        <v>SOLO PARENT LEAVE</v>
      </c>
      <c r="N189" s="69" t="str">
        <f>IFERROR(VLOOKUP(T_LEAVE[[#This Row],[LEAVE TYPE]],T_LEAVETYPE[#All],2,0),"")</f>
        <v/>
      </c>
    </row>
    <row r="190" spans="2:14" x14ac:dyDescent="0.25">
      <c r="B190" s="93">
        <v>43803</v>
      </c>
      <c r="C190" s="48" t="s">
        <v>267</v>
      </c>
      <c r="D190" s="48" t="s">
        <v>777</v>
      </c>
      <c r="E190" s="4" t="s">
        <v>88</v>
      </c>
      <c r="F190" s="49">
        <v>1</v>
      </c>
      <c r="G190" s="4" t="s">
        <v>233</v>
      </c>
      <c r="I190" s="4" t="s">
        <v>149</v>
      </c>
      <c r="K190" s="4" t="str">
        <f>IFERROR(LEFT(T_LEAVE[[#This Row],[EMPLOYEE NAME]],LEN(T_LEAVE[[#This Row],[EMPLOYEE NAME]])-3),"")</f>
        <v>MACALALAD, ANAMARIE</v>
      </c>
      <c r="L190" s="48">
        <f>IFERROR(DATEVALUE(TEXT(RIGHT(T_LEAVE[[#This Row],[LEAVE DATE]],LEN(T_LEAVE[[#This Row],[LEAVE DATE]])-6),"[$-en-US]d-mmm-yyyy;@")),"")</f>
        <v>43829</v>
      </c>
      <c r="M190" s="4" t="str">
        <f>IFERROR(TRIM(T_LEAVE[[#This Row],[TYPE]]),"")</f>
        <v>VACATION LEAVE</v>
      </c>
      <c r="N190" s="69" t="str">
        <f>IFERROR(VLOOKUP(T_LEAVE[[#This Row],[LEAVE TYPE]],T_LEAVETYPE[#All],2,0),"")</f>
        <v>VL</v>
      </c>
    </row>
    <row r="191" spans="2:14" x14ac:dyDescent="0.25">
      <c r="B191" s="93">
        <v>43803</v>
      </c>
      <c r="C191" s="48" t="s">
        <v>267</v>
      </c>
      <c r="D191" s="48" t="s">
        <v>1100</v>
      </c>
      <c r="E191" s="4" t="s">
        <v>88</v>
      </c>
      <c r="F191" s="49">
        <v>1</v>
      </c>
      <c r="G191" s="4" t="s">
        <v>1101</v>
      </c>
      <c r="I191" s="4" t="s">
        <v>149</v>
      </c>
      <c r="K191" s="4" t="str">
        <f>IFERROR(LEFT(T_LEAVE[[#This Row],[EMPLOYEE NAME]],LEN(T_LEAVE[[#This Row],[EMPLOYEE NAME]])-3),"")</f>
        <v>VILLAFLOR, REA</v>
      </c>
      <c r="L191" s="48">
        <f>IFERROR(DATEVALUE(TEXT(RIGHT(T_LEAVE[[#This Row],[LEAVE DATE]],LEN(T_LEAVE[[#This Row],[LEAVE DATE]])-6),"[$-en-US]d-mmm-yyyy;@")),"")</f>
        <v>43829</v>
      </c>
      <c r="M191" s="4" t="str">
        <f>IFERROR(TRIM(T_LEAVE[[#This Row],[TYPE]]),"")</f>
        <v>VACATION LEAVE</v>
      </c>
      <c r="N191" s="69" t="str">
        <f>IFERROR(VLOOKUP(T_LEAVE[[#This Row],[LEAVE TYPE]],T_LEAVETYPE[#All],2,0),"")</f>
        <v>VL</v>
      </c>
    </row>
    <row r="192" spans="2:14" x14ac:dyDescent="0.25">
      <c r="B192" s="93">
        <v>43805</v>
      </c>
      <c r="C192" s="48" t="s">
        <v>375</v>
      </c>
      <c r="D192" s="48" t="s">
        <v>939</v>
      </c>
      <c r="E192" s="4" t="s">
        <v>88</v>
      </c>
      <c r="F192" s="49">
        <v>1</v>
      </c>
      <c r="G192" s="4" t="s">
        <v>942</v>
      </c>
      <c r="I192" s="4" t="s">
        <v>149</v>
      </c>
      <c r="K192" s="4" t="str">
        <f>IFERROR(LEFT(T_LEAVE[[#This Row],[EMPLOYEE NAME]],LEN(T_LEAVE[[#This Row],[EMPLOYEE NAME]])-3),"")</f>
        <v>ROCA, SHARON</v>
      </c>
      <c r="L192" s="48">
        <f>IFERROR(DATEVALUE(TEXT(RIGHT(T_LEAVE[[#This Row],[LEAVE DATE]],LEN(T_LEAVE[[#This Row],[LEAVE DATE]])-6),"[$-en-US]d-mmm-yyyy;@")),"")</f>
        <v>43826</v>
      </c>
      <c r="M192" s="4" t="str">
        <f>IFERROR(TRIM(T_LEAVE[[#This Row],[TYPE]]),"")</f>
        <v>VACATION LEAVE</v>
      </c>
      <c r="N192" s="69" t="str">
        <f>IFERROR(VLOOKUP(T_LEAVE[[#This Row],[LEAVE TYPE]],T_LEAVETYPE[#All],2,0),"")</f>
        <v>VL</v>
      </c>
    </row>
    <row r="193" spans="2:14" x14ac:dyDescent="0.25">
      <c r="B193" s="93">
        <v>43806</v>
      </c>
      <c r="C193" s="48" t="s">
        <v>219</v>
      </c>
      <c r="D193" s="48" t="s">
        <v>899</v>
      </c>
      <c r="E193" s="4" t="s">
        <v>88</v>
      </c>
      <c r="F193" s="49">
        <v>1</v>
      </c>
      <c r="G193" s="4" t="s">
        <v>907</v>
      </c>
      <c r="I193" s="4" t="s">
        <v>149</v>
      </c>
      <c r="K193" s="4" t="str">
        <f>IFERROR(LEFT(T_LEAVE[[#This Row],[EMPLOYEE NAME]],LEN(T_LEAVE[[#This Row],[EMPLOYEE NAME]])-3),"")</f>
        <v>PATULOT, MARIROSE</v>
      </c>
      <c r="L193" s="48">
        <f>IFERROR(DATEVALUE(TEXT(RIGHT(T_LEAVE[[#This Row],[LEAVE DATE]],LEN(T_LEAVE[[#This Row],[LEAVE DATE]])-6),"[$-en-US]d-mmm-yyyy;@")),"")</f>
        <v>43820</v>
      </c>
      <c r="M193" s="4" t="str">
        <f>IFERROR(TRIM(T_LEAVE[[#This Row],[TYPE]]),"")</f>
        <v>VACATION LEAVE</v>
      </c>
      <c r="N193" s="69" t="str">
        <f>IFERROR(VLOOKUP(T_LEAVE[[#This Row],[LEAVE TYPE]],T_LEAVETYPE[#All],2,0),"")</f>
        <v>VL</v>
      </c>
    </row>
    <row r="194" spans="2:14" x14ac:dyDescent="0.25">
      <c r="B194" s="93">
        <v>43807</v>
      </c>
      <c r="C194" s="48" t="s">
        <v>239</v>
      </c>
      <c r="D194" s="48" t="s">
        <v>691</v>
      </c>
      <c r="E194" s="4" t="s">
        <v>698</v>
      </c>
      <c r="F194" s="49">
        <v>1</v>
      </c>
      <c r="G194" s="4" t="s">
        <v>700</v>
      </c>
      <c r="H194" s="4" t="s">
        <v>165</v>
      </c>
      <c r="I194" s="4" t="s">
        <v>149</v>
      </c>
      <c r="K194" s="4" t="str">
        <f>IFERROR(LEFT(T_LEAVE[[#This Row],[EMPLOYEE NAME]],LEN(T_LEAVE[[#This Row],[EMPLOYEE NAME]])-3),"")</f>
        <v>LATUGA, PHOEBE</v>
      </c>
      <c r="L194" s="48">
        <f>IFERROR(DATEVALUE(TEXT(RIGHT(T_LEAVE[[#This Row],[LEAVE DATE]],LEN(T_LEAVE[[#This Row],[LEAVE DATE]])-6),"[$-en-US]d-mmm-yyyy;@")),"")</f>
        <v>43806</v>
      </c>
      <c r="M194" s="4" t="str">
        <f>IFERROR(TRIM(T_LEAVE[[#This Row],[TYPE]]),"")</f>
        <v>SOLO PARENT LEAVE</v>
      </c>
      <c r="N194" s="69" t="str">
        <f>IFERROR(VLOOKUP(T_LEAVE[[#This Row],[LEAVE TYPE]],T_LEAVETYPE[#All],2,0),"")</f>
        <v/>
      </c>
    </row>
    <row r="195" spans="2:14" x14ac:dyDescent="0.25">
      <c r="B195" s="93">
        <v>43808</v>
      </c>
      <c r="C195" s="48" t="s">
        <v>243</v>
      </c>
      <c r="D195" s="48" t="s">
        <v>240</v>
      </c>
      <c r="E195" s="4" t="s">
        <v>88</v>
      </c>
      <c r="F195" s="49">
        <v>1</v>
      </c>
      <c r="G195" s="4" t="s">
        <v>244</v>
      </c>
      <c r="I195" s="4" t="s">
        <v>149</v>
      </c>
      <c r="K195" s="4" t="str">
        <f>IFERROR(LEFT(T_LEAVE[[#This Row],[EMPLOYEE NAME]],LEN(T_LEAVE[[#This Row],[EMPLOYEE NAME]])-3),"")</f>
        <v>AYAG, PRINCESS</v>
      </c>
      <c r="L195" s="48">
        <f>IFERROR(DATEVALUE(TEXT(RIGHT(T_LEAVE[[#This Row],[LEAVE DATE]],LEN(T_LEAVE[[#This Row],[LEAVE DATE]])-6),"[$-en-US]d-mmm-yyyy;@")),"")</f>
        <v>43833</v>
      </c>
      <c r="M195" s="4" t="str">
        <f>IFERROR(TRIM(T_LEAVE[[#This Row],[TYPE]]),"")</f>
        <v>VACATION LEAVE</v>
      </c>
      <c r="N195" s="69" t="str">
        <f>IFERROR(VLOOKUP(T_LEAVE[[#This Row],[LEAVE TYPE]],T_LEAVETYPE[#All],2,0),"")</f>
        <v>VL</v>
      </c>
    </row>
    <row r="196" spans="2:14" x14ac:dyDescent="0.25">
      <c r="B196" s="93">
        <v>43808</v>
      </c>
      <c r="C196" s="48" t="s">
        <v>221</v>
      </c>
      <c r="D196" s="48" t="s">
        <v>240</v>
      </c>
      <c r="E196" s="4" t="s">
        <v>88</v>
      </c>
      <c r="F196" s="49">
        <v>1</v>
      </c>
      <c r="G196" s="4" t="s">
        <v>244</v>
      </c>
      <c r="I196" s="4" t="s">
        <v>149</v>
      </c>
      <c r="K196" s="4" t="str">
        <f>IFERROR(LEFT(T_LEAVE[[#This Row],[EMPLOYEE NAME]],LEN(T_LEAVE[[#This Row],[EMPLOYEE NAME]])-3),"")</f>
        <v>AYAG, PRINCESS</v>
      </c>
      <c r="L196" s="48">
        <f>IFERROR(DATEVALUE(TEXT(RIGHT(T_LEAVE[[#This Row],[LEAVE DATE]],LEN(T_LEAVE[[#This Row],[LEAVE DATE]])-6),"[$-en-US]d-mmm-yyyy;@")),"")</f>
        <v>43834</v>
      </c>
      <c r="M196" s="4" t="str">
        <f>IFERROR(TRIM(T_LEAVE[[#This Row],[TYPE]]),"")</f>
        <v>VACATION LEAVE</v>
      </c>
      <c r="N196" s="69" t="str">
        <f>IFERROR(VLOOKUP(T_LEAVE[[#This Row],[LEAVE TYPE]],T_LEAVETYPE[#All],2,0),"")</f>
        <v>VL</v>
      </c>
    </row>
    <row r="197" spans="2:14" x14ac:dyDescent="0.25">
      <c r="B197" s="93">
        <v>43808</v>
      </c>
      <c r="C197" s="48" t="s">
        <v>245</v>
      </c>
      <c r="D197" s="48" t="s">
        <v>240</v>
      </c>
      <c r="E197" s="4" t="s">
        <v>88</v>
      </c>
      <c r="F197" s="49">
        <v>1</v>
      </c>
      <c r="G197" s="4" t="s">
        <v>244</v>
      </c>
      <c r="I197" s="4" t="s">
        <v>149</v>
      </c>
      <c r="K197" s="4" t="str">
        <f>IFERROR(LEFT(T_LEAVE[[#This Row],[EMPLOYEE NAME]],LEN(T_LEAVE[[#This Row],[EMPLOYEE NAME]])-3),"")</f>
        <v>AYAG, PRINCESS</v>
      </c>
      <c r="L197" s="48">
        <f>IFERROR(DATEVALUE(TEXT(RIGHT(T_LEAVE[[#This Row],[LEAVE DATE]],LEN(T_LEAVE[[#This Row],[LEAVE DATE]])-6),"[$-en-US]d-mmm-yyyy;@")),"")</f>
        <v>43835</v>
      </c>
      <c r="M197" s="4" t="str">
        <f>IFERROR(TRIM(T_LEAVE[[#This Row],[TYPE]]),"")</f>
        <v>VACATION LEAVE</v>
      </c>
      <c r="N197" s="69" t="str">
        <f>IFERROR(VLOOKUP(T_LEAVE[[#This Row],[LEAVE TYPE]],T_LEAVETYPE[#All],2,0),"")</f>
        <v>VL</v>
      </c>
    </row>
    <row r="198" spans="2:14" x14ac:dyDescent="0.25">
      <c r="B198" s="93">
        <v>43810</v>
      </c>
      <c r="C198" s="48" t="s">
        <v>217</v>
      </c>
      <c r="D198" s="48" t="s">
        <v>208</v>
      </c>
      <c r="E198" s="4" t="s">
        <v>89</v>
      </c>
      <c r="F198" s="49">
        <v>1</v>
      </c>
      <c r="G198" s="4" t="s">
        <v>218</v>
      </c>
      <c r="I198" s="4" t="s">
        <v>149</v>
      </c>
      <c r="K198" s="4" t="str">
        <f>IFERROR(LEFT(T_LEAVE[[#This Row],[EMPLOYEE NAME]],LEN(T_LEAVE[[#This Row],[EMPLOYEE NAME]])-3),"")</f>
        <v>AQUINO, RODEL</v>
      </c>
      <c r="L198" s="48">
        <f>IFERROR(DATEVALUE(TEXT(RIGHT(T_LEAVE[[#This Row],[LEAVE DATE]],LEN(T_LEAVE[[#This Row],[LEAVE DATE]])-6),"[$-en-US]d-mmm-yyyy;@")),"")</f>
        <v>43809</v>
      </c>
      <c r="M198" s="4" t="str">
        <f>IFERROR(TRIM(T_LEAVE[[#This Row],[TYPE]]),"")</f>
        <v>SICK LEAVE</v>
      </c>
      <c r="N198" s="4" t="str">
        <f>IFERROR(VLOOKUP(T_LEAVE[[#This Row],[LEAVE TYPE]],T_LEAVETYPE[#All],2,0),"")</f>
        <v>SL</v>
      </c>
    </row>
    <row r="199" spans="2:14" x14ac:dyDescent="0.25">
      <c r="B199" s="93">
        <v>43810</v>
      </c>
      <c r="C199" s="48" t="s">
        <v>267</v>
      </c>
      <c r="D199" s="48" t="s">
        <v>256</v>
      </c>
      <c r="E199" s="4" t="s">
        <v>88</v>
      </c>
      <c r="F199" s="49">
        <v>1</v>
      </c>
      <c r="G199" s="4" t="s">
        <v>268</v>
      </c>
      <c r="I199" s="4" t="s">
        <v>149</v>
      </c>
      <c r="K199" s="4" t="str">
        <f>IFERROR(LEFT(T_LEAVE[[#This Row],[EMPLOYEE NAME]],LEN(T_LEAVE[[#This Row],[EMPLOYEE NAME]])-3),"")</f>
        <v>BALICAS, IRISH ANN</v>
      </c>
      <c r="L199" s="48">
        <f>IFERROR(DATEVALUE(TEXT(RIGHT(T_LEAVE[[#This Row],[LEAVE DATE]],LEN(T_LEAVE[[#This Row],[LEAVE DATE]])-6),"[$-en-US]d-mmm-yyyy;@")),"")</f>
        <v>43829</v>
      </c>
      <c r="M199" s="4" t="str">
        <f>IFERROR(TRIM(T_LEAVE[[#This Row],[TYPE]]),"")</f>
        <v>VACATION LEAVE</v>
      </c>
      <c r="N199" s="69" t="str">
        <f>IFERROR(VLOOKUP(T_LEAVE[[#This Row],[LEAVE TYPE]],T_LEAVETYPE[#All],2,0),"")</f>
        <v>VL</v>
      </c>
    </row>
    <row r="200" spans="2:14" x14ac:dyDescent="0.25">
      <c r="B200" s="93">
        <v>43810</v>
      </c>
      <c r="C200" s="48" t="s">
        <v>637</v>
      </c>
      <c r="D200" s="48" t="s">
        <v>629</v>
      </c>
      <c r="E200" s="4" t="s">
        <v>88</v>
      </c>
      <c r="F200" s="49">
        <v>1</v>
      </c>
      <c r="G200" s="4" t="s">
        <v>638</v>
      </c>
      <c r="I200" s="4" t="s">
        <v>149</v>
      </c>
      <c r="K200" s="4" t="str">
        <f>IFERROR(LEFT(T_LEAVE[[#This Row],[EMPLOYEE NAME]],LEN(T_LEAVE[[#This Row],[EMPLOYEE NAME]])-3),"")</f>
        <v>JAIME, JACYLYN</v>
      </c>
      <c r="L200" s="48">
        <f>IFERROR(DATEVALUE(TEXT(RIGHT(T_LEAVE[[#This Row],[LEAVE DATE]],LEN(T_LEAVE[[#This Row],[LEAVE DATE]])-6),"[$-en-US]d-mmm-yyyy;@")),"")</f>
        <v>43836</v>
      </c>
      <c r="M200" s="4" t="str">
        <f>IFERROR(TRIM(T_LEAVE[[#This Row],[TYPE]]),"")</f>
        <v>VACATION LEAVE</v>
      </c>
      <c r="N200" s="69" t="str">
        <f>IFERROR(VLOOKUP(T_LEAVE[[#This Row],[LEAVE TYPE]],T_LEAVETYPE[#All],2,0),"")</f>
        <v>VL</v>
      </c>
    </row>
    <row r="201" spans="2:14" x14ac:dyDescent="0.25">
      <c r="B201" s="93">
        <v>43810</v>
      </c>
      <c r="C201" s="48" t="s">
        <v>639</v>
      </c>
      <c r="D201" s="48" t="s">
        <v>629</v>
      </c>
      <c r="E201" s="4" t="s">
        <v>88</v>
      </c>
      <c r="F201" s="49">
        <v>1</v>
      </c>
      <c r="G201" s="4" t="s">
        <v>638</v>
      </c>
      <c r="I201" s="4" t="s">
        <v>149</v>
      </c>
      <c r="K201" s="4" t="str">
        <f>IFERROR(LEFT(T_LEAVE[[#This Row],[EMPLOYEE NAME]],LEN(T_LEAVE[[#This Row],[EMPLOYEE NAME]])-3),"")</f>
        <v>JAIME, JACYLYN</v>
      </c>
      <c r="L201" s="48">
        <f>IFERROR(DATEVALUE(TEXT(RIGHT(T_LEAVE[[#This Row],[LEAVE DATE]],LEN(T_LEAVE[[#This Row],[LEAVE DATE]])-6),"[$-en-US]d-mmm-yyyy;@")),"")</f>
        <v>43837</v>
      </c>
      <c r="M201" s="4" t="str">
        <f>IFERROR(TRIM(T_LEAVE[[#This Row],[TYPE]]),"")</f>
        <v>VACATION LEAVE</v>
      </c>
      <c r="N201" s="69" t="str">
        <f>IFERROR(VLOOKUP(T_LEAVE[[#This Row],[LEAVE TYPE]],T_LEAVETYPE[#All],2,0),"")</f>
        <v>VL</v>
      </c>
    </row>
    <row r="202" spans="2:14" x14ac:dyDescent="0.25">
      <c r="B202" s="93">
        <v>43810</v>
      </c>
      <c r="C202" s="48" t="s">
        <v>640</v>
      </c>
      <c r="D202" s="48" t="s">
        <v>629</v>
      </c>
      <c r="E202" s="4" t="s">
        <v>88</v>
      </c>
      <c r="F202" s="49">
        <v>1</v>
      </c>
      <c r="G202" s="4" t="s">
        <v>638</v>
      </c>
      <c r="I202" s="4" t="s">
        <v>149</v>
      </c>
      <c r="K202" s="4" t="str">
        <f>IFERROR(LEFT(T_LEAVE[[#This Row],[EMPLOYEE NAME]],LEN(T_LEAVE[[#This Row],[EMPLOYEE NAME]])-3),"")</f>
        <v>JAIME, JACYLYN</v>
      </c>
      <c r="L202" s="48">
        <f>IFERROR(DATEVALUE(TEXT(RIGHT(T_LEAVE[[#This Row],[LEAVE DATE]],LEN(T_LEAVE[[#This Row],[LEAVE DATE]])-6),"[$-en-US]d-mmm-yyyy;@")),"")</f>
        <v>43838</v>
      </c>
      <c r="M202" s="4" t="str">
        <f>IFERROR(TRIM(T_LEAVE[[#This Row],[TYPE]]),"")</f>
        <v>VACATION LEAVE</v>
      </c>
      <c r="N202" s="69" t="str">
        <f>IFERROR(VLOOKUP(T_LEAVE[[#This Row],[LEAVE TYPE]],T_LEAVETYPE[#All],2,0),"")</f>
        <v>VL</v>
      </c>
    </row>
    <row r="203" spans="2:14" x14ac:dyDescent="0.25">
      <c r="B203" s="93">
        <v>43810</v>
      </c>
      <c r="C203" s="48" t="s">
        <v>929</v>
      </c>
      <c r="D203" s="48" t="s">
        <v>1033</v>
      </c>
      <c r="E203" s="4" t="s">
        <v>89</v>
      </c>
      <c r="F203" s="49">
        <v>1</v>
      </c>
      <c r="G203" s="4" t="s">
        <v>1039</v>
      </c>
      <c r="I203" s="4" t="s">
        <v>149</v>
      </c>
      <c r="K203" s="4" t="str">
        <f>IFERROR(LEFT(T_LEAVE[[#This Row],[EMPLOYEE NAME]],LEN(T_LEAVE[[#This Row],[EMPLOYEE NAME]])-3),"")</f>
        <v>VALLADARES, ALLEN</v>
      </c>
      <c r="L203" s="48">
        <f>IFERROR(DATEVALUE(TEXT(RIGHT(T_LEAVE[[#This Row],[LEAVE DATE]],LEN(T_LEAVE[[#This Row],[LEAVE DATE]])-6),"[$-en-US]d-mmm-yyyy;@")),"")</f>
        <v>43817</v>
      </c>
      <c r="M203" s="4" t="str">
        <f>IFERROR(TRIM(T_LEAVE[[#This Row],[TYPE]]),"")</f>
        <v>SICK LEAVE</v>
      </c>
      <c r="N203" s="69" t="str">
        <f>IFERROR(VLOOKUP(T_LEAVE[[#This Row],[LEAVE TYPE]],T_LEAVETYPE[#All],2,0),"")</f>
        <v>SL</v>
      </c>
    </row>
    <row r="204" spans="2:14" x14ac:dyDescent="0.25">
      <c r="B204" s="93">
        <v>43811</v>
      </c>
      <c r="C204" s="48" t="s">
        <v>373</v>
      </c>
      <c r="D204" s="48" t="s">
        <v>365</v>
      </c>
      <c r="E204" s="4" t="s">
        <v>88</v>
      </c>
      <c r="F204" s="49">
        <v>1</v>
      </c>
      <c r="G204" s="4" t="s">
        <v>374</v>
      </c>
      <c r="I204" s="4" t="s">
        <v>149</v>
      </c>
      <c r="K204" s="4" t="str">
        <f>IFERROR(LEFT(T_LEAVE[[#This Row],[EMPLOYEE NAME]],LEN(T_LEAVE[[#This Row],[EMPLOYEE NAME]])-3),"")</f>
        <v>CASAS JR., BERNARDO</v>
      </c>
      <c r="L204" s="48">
        <f>IFERROR(DATEVALUE(TEXT(RIGHT(T_LEAVE[[#This Row],[LEAVE DATE]],LEN(T_LEAVE[[#This Row],[LEAVE DATE]])-6),"[$-en-US]d-mmm-yyyy;@")),"")</f>
        <v>43816</v>
      </c>
      <c r="M204" s="4" t="str">
        <f>IFERROR(TRIM(T_LEAVE[[#This Row],[TYPE]]),"")</f>
        <v>VACATION LEAVE</v>
      </c>
      <c r="N204" s="69" t="str">
        <f>IFERROR(VLOOKUP(T_LEAVE[[#This Row],[LEAVE TYPE]],T_LEAVETYPE[#All],2,0),"")</f>
        <v>VL</v>
      </c>
    </row>
    <row r="205" spans="2:14" x14ac:dyDescent="0.25">
      <c r="B205" s="93">
        <v>43811</v>
      </c>
      <c r="C205" s="48" t="s">
        <v>395</v>
      </c>
      <c r="D205" s="48" t="s">
        <v>382</v>
      </c>
      <c r="E205" s="4" t="s">
        <v>89</v>
      </c>
      <c r="F205" s="49">
        <v>1</v>
      </c>
      <c r="G205" s="4" t="s">
        <v>396</v>
      </c>
      <c r="I205" s="4" t="s">
        <v>149</v>
      </c>
      <c r="K205" s="4" t="str">
        <f>IFERROR(LEFT(T_LEAVE[[#This Row],[EMPLOYEE NAME]],LEN(T_LEAVE[[#This Row],[EMPLOYEE NAME]])-3),"")</f>
        <v>CONSTANTINO, IAN ARCHIMEDES</v>
      </c>
      <c r="L205" s="48">
        <f>IFERROR(DATEVALUE(TEXT(RIGHT(T_LEAVE[[#This Row],[LEAVE DATE]],LEN(T_LEAVE[[#This Row],[LEAVE DATE]])-6),"[$-en-US]d-mmm-yyyy;@")),"")</f>
        <v>43818</v>
      </c>
      <c r="M205" s="4" t="str">
        <f>IFERROR(TRIM(T_LEAVE[[#This Row],[TYPE]]),"")</f>
        <v>SICK LEAVE</v>
      </c>
      <c r="N205" s="69" t="str">
        <f>IFERROR(VLOOKUP(T_LEAVE[[#This Row],[LEAVE TYPE]],T_LEAVETYPE[#All],2,0),"")</f>
        <v>SL</v>
      </c>
    </row>
    <row r="206" spans="2:14" x14ac:dyDescent="0.25">
      <c r="B206" s="93">
        <v>43811</v>
      </c>
      <c r="C206" s="48" t="s">
        <v>520</v>
      </c>
      <c r="D206" s="48" t="s">
        <v>517</v>
      </c>
      <c r="E206" s="4" t="s">
        <v>88</v>
      </c>
      <c r="F206" s="49">
        <v>1</v>
      </c>
      <c r="G206" s="4" t="s">
        <v>521</v>
      </c>
      <c r="I206" s="4" t="s">
        <v>149</v>
      </c>
      <c r="K206" s="4" t="str">
        <f>IFERROR(LEFT(T_LEAVE[[#This Row],[EMPLOYEE NAME]],LEN(T_LEAVE[[#This Row],[EMPLOYEE NAME]])-3),"")</f>
        <v>FESTEJO, ABIEL CAMBYSES</v>
      </c>
      <c r="L206" s="48">
        <f>IFERROR(DATEVALUE(TEXT(RIGHT(T_LEAVE[[#This Row],[LEAVE DATE]],LEN(T_LEAVE[[#This Row],[LEAVE DATE]])-6),"[$-en-US]d-mmm-yyyy;@")),"")</f>
        <v>43823</v>
      </c>
      <c r="M206" s="4" t="str">
        <f>IFERROR(TRIM(T_LEAVE[[#This Row],[TYPE]]),"")</f>
        <v>VACATION LEAVE</v>
      </c>
      <c r="N206" s="69" t="str">
        <f>IFERROR(VLOOKUP(T_LEAVE[[#This Row],[LEAVE TYPE]],T_LEAVETYPE[#All],2,0),"")</f>
        <v>VL</v>
      </c>
    </row>
    <row r="207" spans="2:14" x14ac:dyDescent="0.25">
      <c r="B207" s="93">
        <v>43811</v>
      </c>
      <c r="C207" s="48" t="s">
        <v>395</v>
      </c>
      <c r="D207" s="48" t="s">
        <v>666</v>
      </c>
      <c r="E207" s="4" t="s">
        <v>88</v>
      </c>
      <c r="F207" s="49">
        <v>1</v>
      </c>
      <c r="G207" s="4" t="s">
        <v>672</v>
      </c>
      <c r="I207" s="4" t="s">
        <v>149</v>
      </c>
      <c r="K207" s="4" t="str">
        <f>IFERROR(LEFT(T_LEAVE[[#This Row],[EMPLOYEE NAME]],LEN(T_LEAVE[[#This Row],[EMPLOYEE NAME]])-3),"")</f>
        <v>LARIZA, MELANIE DELA CRUZ</v>
      </c>
      <c r="L207" s="48">
        <f>IFERROR(DATEVALUE(TEXT(RIGHT(T_LEAVE[[#This Row],[LEAVE DATE]],LEN(T_LEAVE[[#This Row],[LEAVE DATE]])-6),"[$-en-US]d-mmm-yyyy;@")),"")</f>
        <v>43818</v>
      </c>
      <c r="M207" s="4" t="str">
        <f>IFERROR(TRIM(T_LEAVE[[#This Row],[TYPE]]),"")</f>
        <v>VACATION LEAVE</v>
      </c>
      <c r="N207" s="69" t="str">
        <f>IFERROR(VLOOKUP(T_LEAVE[[#This Row],[LEAVE TYPE]],T_LEAVETYPE[#All],2,0),"")</f>
        <v>VL</v>
      </c>
    </row>
    <row r="208" spans="2:14" x14ac:dyDescent="0.25">
      <c r="B208" s="93">
        <v>43811</v>
      </c>
      <c r="C208" s="48" t="s">
        <v>397</v>
      </c>
      <c r="D208" s="48" t="s">
        <v>666</v>
      </c>
      <c r="E208" s="4" t="s">
        <v>88</v>
      </c>
      <c r="F208" s="49">
        <v>1</v>
      </c>
      <c r="G208" s="4" t="s">
        <v>672</v>
      </c>
      <c r="I208" s="4" t="s">
        <v>149</v>
      </c>
      <c r="K208" s="4" t="str">
        <f>IFERROR(LEFT(T_LEAVE[[#This Row],[EMPLOYEE NAME]],LEN(T_LEAVE[[#This Row],[EMPLOYEE NAME]])-3),"")</f>
        <v>LARIZA, MELANIE DELA CRUZ</v>
      </c>
      <c r="L208" s="48">
        <f>IFERROR(DATEVALUE(TEXT(RIGHT(T_LEAVE[[#This Row],[LEAVE DATE]],LEN(T_LEAVE[[#This Row],[LEAVE DATE]])-6),"[$-en-US]d-mmm-yyyy;@")),"")</f>
        <v>43819</v>
      </c>
      <c r="M208" s="4" t="str">
        <f>IFERROR(TRIM(T_LEAVE[[#This Row],[TYPE]]),"")</f>
        <v>VACATION LEAVE</v>
      </c>
      <c r="N208" s="69" t="str">
        <f>IFERROR(VLOOKUP(T_LEAVE[[#This Row],[LEAVE TYPE]],T_LEAVETYPE[#All],2,0),"")</f>
        <v>VL</v>
      </c>
    </row>
    <row r="209" spans="2:14" x14ac:dyDescent="0.25">
      <c r="B209" s="93">
        <v>43811</v>
      </c>
      <c r="C209" s="48" t="s">
        <v>701</v>
      </c>
      <c r="D209" s="48" t="s">
        <v>691</v>
      </c>
      <c r="E209" s="4" t="s">
        <v>698</v>
      </c>
      <c r="F209" s="49">
        <v>1</v>
      </c>
      <c r="G209" s="4" t="s">
        <v>702</v>
      </c>
      <c r="H209" s="4" t="s">
        <v>165</v>
      </c>
      <c r="I209" s="4" t="s">
        <v>149</v>
      </c>
      <c r="K209" s="4" t="str">
        <f>IFERROR(LEFT(T_LEAVE[[#This Row],[EMPLOYEE NAME]],LEN(T_LEAVE[[#This Row],[EMPLOYEE NAME]])-3),"")</f>
        <v>LATUGA, PHOEBE</v>
      </c>
      <c r="L209" s="48">
        <f>IFERROR(DATEVALUE(TEXT(RIGHT(T_LEAVE[[#This Row],[LEAVE DATE]],LEN(T_LEAVE[[#This Row],[LEAVE DATE]])-6),"[$-en-US]d-mmm-yyyy;@")),"")</f>
        <v>43808</v>
      </c>
      <c r="M209" s="4" t="str">
        <f>IFERROR(TRIM(T_LEAVE[[#This Row],[TYPE]]),"")</f>
        <v>SOLO PARENT LEAVE</v>
      </c>
      <c r="N209" s="69" t="str">
        <f>IFERROR(VLOOKUP(T_LEAVE[[#This Row],[LEAVE TYPE]],T_LEAVETYPE[#All],2,0),"")</f>
        <v/>
      </c>
    </row>
    <row r="210" spans="2:14" x14ac:dyDescent="0.25">
      <c r="B210" s="93">
        <v>43811</v>
      </c>
      <c r="C210" s="48" t="s">
        <v>316</v>
      </c>
      <c r="D210" s="48" t="s">
        <v>691</v>
      </c>
      <c r="E210" s="4" t="s">
        <v>698</v>
      </c>
      <c r="F210" s="49">
        <v>1</v>
      </c>
      <c r="G210" s="4" t="s">
        <v>708</v>
      </c>
      <c r="H210" s="4" t="s">
        <v>165</v>
      </c>
      <c r="I210" s="4" t="s">
        <v>149</v>
      </c>
      <c r="K210" s="4" t="str">
        <f>IFERROR(LEFT(T_LEAVE[[#This Row],[EMPLOYEE NAME]],LEN(T_LEAVE[[#This Row],[EMPLOYEE NAME]])-3),"")</f>
        <v>LATUGA, PHOEBE</v>
      </c>
      <c r="L210" s="48">
        <f>IFERROR(DATEVALUE(TEXT(RIGHT(T_LEAVE[[#This Row],[LEAVE DATE]],LEN(T_LEAVE[[#This Row],[LEAVE DATE]])-6),"[$-en-US]d-mmm-yyyy;@")),"")</f>
        <v>43839</v>
      </c>
      <c r="M210" s="4" t="str">
        <f>IFERROR(TRIM(T_LEAVE[[#This Row],[TYPE]]),"")</f>
        <v>SOLO PARENT LEAVE</v>
      </c>
      <c r="N210" s="69" t="str">
        <f>IFERROR(VLOOKUP(T_LEAVE[[#This Row],[LEAVE TYPE]],T_LEAVETYPE[#All],2,0),"")</f>
        <v/>
      </c>
    </row>
    <row r="211" spans="2:14" x14ac:dyDescent="0.25">
      <c r="B211" s="93">
        <v>43813</v>
      </c>
      <c r="C211" s="48" t="s">
        <v>703</v>
      </c>
      <c r="D211" s="48" t="s">
        <v>691</v>
      </c>
      <c r="E211" s="4" t="s">
        <v>88</v>
      </c>
      <c r="F211" s="49">
        <v>1</v>
      </c>
      <c r="G211" s="4" t="s">
        <v>704</v>
      </c>
      <c r="I211" s="4" t="s">
        <v>149</v>
      </c>
      <c r="K211" s="4" t="str">
        <f>IFERROR(LEFT(T_LEAVE[[#This Row],[EMPLOYEE NAME]],LEN(T_LEAVE[[#This Row],[EMPLOYEE NAME]])-3),"")</f>
        <v>LATUGA, PHOEBE</v>
      </c>
      <c r="L211" s="48">
        <f>IFERROR(DATEVALUE(TEXT(RIGHT(T_LEAVE[[#This Row],[LEAVE DATE]],LEN(T_LEAVE[[#This Row],[LEAVE DATE]])-6),"[$-en-US]d-mmm-yyyy;@")),"")</f>
        <v>43814</v>
      </c>
      <c r="M211" s="4" t="str">
        <f>IFERROR(TRIM(T_LEAVE[[#This Row],[TYPE]]),"")</f>
        <v>VACATION LEAVE</v>
      </c>
      <c r="N211" s="69" t="str">
        <f>IFERROR(VLOOKUP(T_LEAVE[[#This Row],[LEAVE TYPE]],T_LEAVETYPE[#All],2,0),"")</f>
        <v>VL</v>
      </c>
    </row>
    <row r="212" spans="2:14" x14ac:dyDescent="0.25">
      <c r="B212" s="93">
        <v>43814</v>
      </c>
      <c r="C212" s="48" t="s">
        <v>608</v>
      </c>
      <c r="D212" s="48" t="s">
        <v>602</v>
      </c>
      <c r="E212" s="4" t="s">
        <v>89</v>
      </c>
      <c r="F212" s="49">
        <v>1</v>
      </c>
      <c r="G212" s="4" t="s">
        <v>609</v>
      </c>
      <c r="I212" s="4" t="s">
        <v>149</v>
      </c>
      <c r="K212" s="4" t="str">
        <f>IFERROR(LEFT(T_LEAVE[[#This Row],[EMPLOYEE NAME]],LEN(T_LEAVE[[#This Row],[EMPLOYEE NAME]])-3),"")</f>
        <v>HIPOLITO, JOYCE ANN KENETH</v>
      </c>
      <c r="L212" s="48">
        <f>IFERROR(DATEVALUE(TEXT(RIGHT(T_LEAVE[[#This Row],[LEAVE DATE]],LEN(T_LEAVE[[#This Row],[LEAVE DATE]])-6),"[$-en-US]d-mmm-yyyy;@")),"")</f>
        <v>43821</v>
      </c>
      <c r="M212" s="4" t="str">
        <f>IFERROR(TRIM(T_LEAVE[[#This Row],[TYPE]]),"")</f>
        <v>SICK LEAVE</v>
      </c>
      <c r="N212" s="69" t="str">
        <f>IFERROR(VLOOKUP(T_LEAVE[[#This Row],[LEAVE TYPE]],T_LEAVETYPE[#All],2,0),"")</f>
        <v>SL</v>
      </c>
    </row>
    <row r="213" spans="2:14" x14ac:dyDescent="0.25">
      <c r="B213" s="93">
        <v>43815</v>
      </c>
      <c r="C213" s="48" t="s">
        <v>375</v>
      </c>
      <c r="D213" s="48" t="s">
        <v>365</v>
      </c>
      <c r="E213" s="4" t="s">
        <v>88</v>
      </c>
      <c r="F213" s="49">
        <v>1</v>
      </c>
      <c r="G213" s="4" t="s">
        <v>372</v>
      </c>
      <c r="I213" s="4" t="s">
        <v>149</v>
      </c>
      <c r="K213" s="4" t="str">
        <f>IFERROR(LEFT(T_LEAVE[[#This Row],[EMPLOYEE NAME]],LEN(T_LEAVE[[#This Row],[EMPLOYEE NAME]])-3),"")</f>
        <v>CASAS JR., BERNARDO</v>
      </c>
      <c r="L213" s="48">
        <f>IFERROR(DATEVALUE(TEXT(RIGHT(T_LEAVE[[#This Row],[LEAVE DATE]],LEN(T_LEAVE[[#This Row],[LEAVE DATE]])-6),"[$-en-US]d-mmm-yyyy;@")),"")</f>
        <v>43826</v>
      </c>
      <c r="M213" s="4" t="str">
        <f>IFERROR(TRIM(T_LEAVE[[#This Row],[TYPE]]),"")</f>
        <v>VACATION LEAVE</v>
      </c>
      <c r="N213" s="69" t="str">
        <f>IFERROR(VLOOKUP(T_LEAVE[[#This Row],[LEAVE TYPE]],T_LEAVETYPE[#All],2,0),"")</f>
        <v>VL</v>
      </c>
    </row>
    <row r="214" spans="2:14" x14ac:dyDescent="0.25">
      <c r="B214" s="93">
        <v>43815</v>
      </c>
      <c r="C214" s="48" t="s">
        <v>1066</v>
      </c>
      <c r="D214" s="48" t="s">
        <v>1064</v>
      </c>
      <c r="E214" s="4" t="s">
        <v>89</v>
      </c>
      <c r="F214" s="49">
        <v>1</v>
      </c>
      <c r="G214" s="4" t="s">
        <v>1067</v>
      </c>
      <c r="I214" s="4" t="s">
        <v>149</v>
      </c>
      <c r="K214" s="4" t="str">
        <f>IFERROR(LEFT(T_LEAVE[[#This Row],[EMPLOYEE NAME]],LEN(T_LEAVE[[#This Row],[EMPLOYEE NAME]])-3),"")</f>
        <v>VIADO, DANAH LORRAINE</v>
      </c>
      <c r="L214" s="48">
        <f>IFERROR(DATEVALUE(TEXT(RIGHT(T_LEAVE[[#This Row],[LEAVE DATE]],LEN(T_LEAVE[[#This Row],[LEAVE DATE]])-6),"[$-en-US]d-mmm-yyyy;@")),"")</f>
        <v>43827</v>
      </c>
      <c r="M214" s="4" t="str">
        <f>IFERROR(TRIM(T_LEAVE[[#This Row],[TYPE]]),"")</f>
        <v>SICK LEAVE</v>
      </c>
      <c r="N214" s="69" t="str">
        <f>IFERROR(VLOOKUP(T_LEAVE[[#This Row],[LEAVE TYPE]],T_LEAVETYPE[#All],2,0),"")</f>
        <v>SL</v>
      </c>
    </row>
    <row r="215" spans="2:14" x14ac:dyDescent="0.25">
      <c r="B215" s="93">
        <v>43816</v>
      </c>
      <c r="C215" s="48" t="s">
        <v>397</v>
      </c>
      <c r="D215" s="48" t="s">
        <v>382</v>
      </c>
      <c r="E215" s="4" t="s">
        <v>88</v>
      </c>
      <c r="F215" s="49">
        <v>1</v>
      </c>
      <c r="G215" s="4" t="s">
        <v>396</v>
      </c>
      <c r="I215" s="4" t="s">
        <v>149</v>
      </c>
      <c r="K215" s="4" t="str">
        <f>IFERROR(LEFT(T_LEAVE[[#This Row],[EMPLOYEE NAME]],LEN(T_LEAVE[[#This Row],[EMPLOYEE NAME]])-3),"")</f>
        <v>CONSTANTINO, IAN ARCHIMEDES</v>
      </c>
      <c r="L215" s="48">
        <f>IFERROR(DATEVALUE(TEXT(RIGHT(T_LEAVE[[#This Row],[LEAVE DATE]],LEN(T_LEAVE[[#This Row],[LEAVE DATE]])-6),"[$-en-US]d-mmm-yyyy;@")),"")</f>
        <v>43819</v>
      </c>
      <c r="M215" s="4" t="str">
        <f>IFERROR(TRIM(T_LEAVE[[#This Row],[TYPE]]),"")</f>
        <v>VACATION LEAVE</v>
      </c>
      <c r="N215" s="69" t="str">
        <f>IFERROR(VLOOKUP(T_LEAVE[[#This Row],[LEAVE TYPE]],T_LEAVETYPE[#All],2,0),"")</f>
        <v>VL</v>
      </c>
    </row>
    <row r="216" spans="2:14" x14ac:dyDescent="0.25">
      <c r="B216" s="93">
        <v>43816</v>
      </c>
      <c r="C216" s="48" t="s">
        <v>219</v>
      </c>
      <c r="D216" s="48" t="s">
        <v>382</v>
      </c>
      <c r="E216" s="4" t="s">
        <v>88</v>
      </c>
      <c r="F216" s="49">
        <v>1</v>
      </c>
      <c r="G216" s="4" t="s">
        <v>396</v>
      </c>
      <c r="I216" s="4" t="s">
        <v>149</v>
      </c>
      <c r="K216" s="4" t="str">
        <f>IFERROR(LEFT(T_LEAVE[[#This Row],[EMPLOYEE NAME]],LEN(T_LEAVE[[#This Row],[EMPLOYEE NAME]])-3),"")</f>
        <v>CONSTANTINO, IAN ARCHIMEDES</v>
      </c>
      <c r="L216" s="48">
        <f>IFERROR(DATEVALUE(TEXT(RIGHT(T_LEAVE[[#This Row],[LEAVE DATE]],LEN(T_LEAVE[[#This Row],[LEAVE DATE]])-6),"[$-en-US]d-mmm-yyyy;@")),"")</f>
        <v>43820</v>
      </c>
      <c r="M216" s="4" t="str">
        <f>IFERROR(TRIM(T_LEAVE[[#This Row],[TYPE]]),"")</f>
        <v>VACATION LEAVE</v>
      </c>
      <c r="N216" s="69" t="str">
        <f>IFERROR(VLOOKUP(T_LEAVE[[#This Row],[LEAVE TYPE]],T_LEAVETYPE[#All],2,0),"")</f>
        <v>VL</v>
      </c>
    </row>
    <row r="217" spans="2:14" x14ac:dyDescent="0.25">
      <c r="B217" s="93">
        <v>43816</v>
      </c>
      <c r="C217" s="48" t="s">
        <v>375</v>
      </c>
      <c r="D217" s="48" t="s">
        <v>899</v>
      </c>
      <c r="E217" s="4" t="s">
        <v>88</v>
      </c>
      <c r="F217" s="49">
        <v>1</v>
      </c>
      <c r="G217" s="4" t="s">
        <v>908</v>
      </c>
      <c r="I217" s="4" t="s">
        <v>149</v>
      </c>
      <c r="K217" s="4" t="str">
        <f>IFERROR(LEFT(T_LEAVE[[#This Row],[EMPLOYEE NAME]],LEN(T_LEAVE[[#This Row],[EMPLOYEE NAME]])-3),"")</f>
        <v>PATULOT, MARIROSE</v>
      </c>
      <c r="L217" s="48">
        <f>IFERROR(DATEVALUE(TEXT(RIGHT(T_LEAVE[[#This Row],[LEAVE DATE]],LEN(T_LEAVE[[#This Row],[LEAVE DATE]])-6),"[$-en-US]d-mmm-yyyy;@")),"")</f>
        <v>43826</v>
      </c>
      <c r="M217" s="4" t="str">
        <f>IFERROR(TRIM(T_LEAVE[[#This Row],[TYPE]]),"")</f>
        <v>VACATION LEAVE</v>
      </c>
      <c r="N217" s="69" t="str">
        <f>IFERROR(VLOOKUP(T_LEAVE[[#This Row],[LEAVE TYPE]],T_LEAVETYPE[#All],2,0),"")</f>
        <v>VL</v>
      </c>
    </row>
    <row r="218" spans="2:14" x14ac:dyDescent="0.25">
      <c r="B218" s="93">
        <v>43816</v>
      </c>
      <c r="C218" s="48" t="s">
        <v>909</v>
      </c>
      <c r="D218" s="48" t="s">
        <v>899</v>
      </c>
      <c r="E218" s="4" t="s">
        <v>88</v>
      </c>
      <c r="F218" s="49">
        <v>1</v>
      </c>
      <c r="G218" s="4" t="s">
        <v>908</v>
      </c>
      <c r="I218" s="4" t="s">
        <v>149</v>
      </c>
      <c r="K218" s="4" t="str">
        <f>IFERROR(LEFT(T_LEAVE[[#This Row],[EMPLOYEE NAME]],LEN(T_LEAVE[[#This Row],[EMPLOYEE NAME]])-3),"")</f>
        <v>PATULOT, MARIROSE</v>
      </c>
      <c r="L218" s="48">
        <f>IFERROR(DATEVALUE(TEXT(RIGHT(T_LEAVE[[#This Row],[LEAVE DATE]],LEN(T_LEAVE[[#This Row],[LEAVE DATE]])-6),"[$-en-US]d-mmm-yyyy;@")),"")</f>
        <v>43830</v>
      </c>
      <c r="M218" s="4" t="str">
        <f>IFERROR(TRIM(T_LEAVE[[#This Row],[TYPE]]),"")</f>
        <v>VACATION LEAVE</v>
      </c>
      <c r="N218" s="69" t="str">
        <f>IFERROR(VLOOKUP(T_LEAVE[[#This Row],[LEAVE TYPE]],T_LEAVETYPE[#All],2,0),"")</f>
        <v>VL</v>
      </c>
    </row>
    <row r="219" spans="2:14" x14ac:dyDescent="0.25">
      <c r="B219" s="93">
        <v>43817</v>
      </c>
      <c r="C219" s="48" t="s">
        <v>219</v>
      </c>
      <c r="D219" s="48" t="s">
        <v>208</v>
      </c>
      <c r="E219" s="4" t="s">
        <v>88</v>
      </c>
      <c r="F219" s="49">
        <v>1</v>
      </c>
      <c r="G219" s="4" t="s">
        <v>220</v>
      </c>
      <c r="I219" s="4" t="s">
        <v>149</v>
      </c>
      <c r="K219" s="4" t="str">
        <f>IFERROR(LEFT(T_LEAVE[[#This Row],[EMPLOYEE NAME]],LEN(T_LEAVE[[#This Row],[EMPLOYEE NAME]])-3),"")</f>
        <v>AQUINO, RODEL</v>
      </c>
      <c r="L219" s="48">
        <f>IFERROR(DATEVALUE(TEXT(RIGHT(T_LEAVE[[#This Row],[LEAVE DATE]],LEN(T_LEAVE[[#This Row],[LEAVE DATE]])-6),"[$-en-US]d-mmm-yyyy;@")),"")</f>
        <v>43820</v>
      </c>
      <c r="M219" s="4" t="str">
        <f>IFERROR(TRIM(T_LEAVE[[#This Row],[TYPE]]),"")</f>
        <v>VACATION LEAVE</v>
      </c>
      <c r="N219" s="4" t="str">
        <f>IFERROR(VLOOKUP(T_LEAVE[[#This Row],[LEAVE TYPE]],T_LEAVETYPE[#All],2,0),"")</f>
        <v>VL</v>
      </c>
    </row>
    <row r="220" spans="2:14" x14ac:dyDescent="0.25">
      <c r="B220" s="93">
        <v>43817</v>
      </c>
      <c r="C220" s="48" t="s">
        <v>705</v>
      </c>
      <c r="D220" s="48" t="s">
        <v>777</v>
      </c>
      <c r="E220" s="4" t="s">
        <v>89</v>
      </c>
      <c r="F220" s="49">
        <v>1</v>
      </c>
      <c r="G220" s="4" t="s">
        <v>784</v>
      </c>
      <c r="I220" s="4" t="s">
        <v>149</v>
      </c>
      <c r="K220" s="4" t="str">
        <f>IFERROR(LEFT(T_LEAVE[[#This Row],[EMPLOYEE NAME]],LEN(T_LEAVE[[#This Row],[EMPLOYEE NAME]])-3),"")</f>
        <v>MACALALAD, ANAMARIE</v>
      </c>
      <c r="L220" s="48">
        <f>IFERROR(DATEVALUE(TEXT(RIGHT(T_LEAVE[[#This Row],[LEAVE DATE]],LEN(T_LEAVE[[#This Row],[LEAVE DATE]])-6),"[$-en-US]d-mmm-yyyy;@")),"")</f>
        <v>43815</v>
      </c>
      <c r="M220" s="4" t="str">
        <f>IFERROR(TRIM(T_LEAVE[[#This Row],[TYPE]]),"")</f>
        <v>SICK LEAVE</v>
      </c>
      <c r="N220" s="69" t="str">
        <f>IFERROR(VLOOKUP(T_LEAVE[[#This Row],[LEAVE TYPE]],T_LEAVETYPE[#All],2,0),"")</f>
        <v>SL</v>
      </c>
    </row>
    <row r="221" spans="2:14" x14ac:dyDescent="0.25">
      <c r="B221" s="93">
        <v>43817</v>
      </c>
      <c r="C221" s="48" t="s">
        <v>375</v>
      </c>
      <c r="D221" s="48" t="s">
        <v>777</v>
      </c>
      <c r="E221" s="4" t="s">
        <v>88</v>
      </c>
      <c r="F221" s="49">
        <v>1</v>
      </c>
      <c r="G221" s="4" t="s">
        <v>786</v>
      </c>
      <c r="I221" s="4" t="s">
        <v>149</v>
      </c>
      <c r="K221" s="4" t="str">
        <f>IFERROR(LEFT(T_LEAVE[[#This Row],[EMPLOYEE NAME]],LEN(T_LEAVE[[#This Row],[EMPLOYEE NAME]])-3),"")</f>
        <v>MACALALAD, ANAMARIE</v>
      </c>
      <c r="L221" s="48">
        <f>IFERROR(DATEVALUE(TEXT(RIGHT(T_LEAVE[[#This Row],[LEAVE DATE]],LEN(T_LEAVE[[#This Row],[LEAVE DATE]])-6),"[$-en-US]d-mmm-yyyy;@")),"")</f>
        <v>43826</v>
      </c>
      <c r="M221" s="4" t="str">
        <f>IFERROR(TRIM(T_LEAVE[[#This Row],[TYPE]]),"")</f>
        <v>VACATION LEAVE</v>
      </c>
      <c r="N221" s="69" t="str">
        <f>IFERROR(VLOOKUP(T_LEAVE[[#This Row],[LEAVE TYPE]],T_LEAVETYPE[#All],2,0),"")</f>
        <v>VL</v>
      </c>
    </row>
    <row r="222" spans="2:14" x14ac:dyDescent="0.25">
      <c r="B222" s="93">
        <v>43818</v>
      </c>
      <c r="C222" s="48" t="s">
        <v>705</v>
      </c>
      <c r="D222" s="48" t="s">
        <v>691</v>
      </c>
      <c r="E222" s="4" t="s">
        <v>698</v>
      </c>
      <c r="F222" s="49">
        <v>1</v>
      </c>
      <c r="G222" s="4" t="s">
        <v>706</v>
      </c>
      <c r="H222" s="4" t="s">
        <v>165</v>
      </c>
      <c r="I222" s="4" t="s">
        <v>149</v>
      </c>
      <c r="K222" s="4" t="str">
        <f>IFERROR(LEFT(T_LEAVE[[#This Row],[EMPLOYEE NAME]],LEN(T_LEAVE[[#This Row],[EMPLOYEE NAME]])-3),"")</f>
        <v>LATUGA, PHOEBE</v>
      </c>
      <c r="L222" s="48">
        <f>IFERROR(DATEVALUE(TEXT(RIGHT(T_LEAVE[[#This Row],[LEAVE DATE]],LEN(T_LEAVE[[#This Row],[LEAVE DATE]])-6),"[$-en-US]d-mmm-yyyy;@")),"")</f>
        <v>43815</v>
      </c>
      <c r="M222" s="4" t="str">
        <f>IFERROR(TRIM(T_LEAVE[[#This Row],[TYPE]]),"")</f>
        <v>SOLO PARENT LEAVE</v>
      </c>
      <c r="N222" s="69" t="str">
        <f>IFERROR(VLOOKUP(T_LEAVE[[#This Row],[LEAVE TYPE]],T_LEAVETYPE[#All],2,0),"")</f>
        <v/>
      </c>
    </row>
    <row r="223" spans="2:14" x14ac:dyDescent="0.25">
      <c r="B223" s="93">
        <v>43818</v>
      </c>
      <c r="C223" s="48" t="s">
        <v>219</v>
      </c>
      <c r="D223" s="48" t="s">
        <v>691</v>
      </c>
      <c r="E223" s="4" t="s">
        <v>88</v>
      </c>
      <c r="F223" s="49">
        <v>1</v>
      </c>
      <c r="G223" s="4" t="s">
        <v>707</v>
      </c>
      <c r="I223" s="4" t="s">
        <v>149</v>
      </c>
      <c r="K223" s="4" t="str">
        <f>IFERROR(LEFT(T_LEAVE[[#This Row],[EMPLOYEE NAME]],LEN(T_LEAVE[[#This Row],[EMPLOYEE NAME]])-3),"")</f>
        <v>LATUGA, PHOEBE</v>
      </c>
      <c r="L223" s="48">
        <f>IFERROR(DATEVALUE(TEXT(RIGHT(T_LEAVE[[#This Row],[LEAVE DATE]],LEN(T_LEAVE[[#This Row],[LEAVE DATE]])-6),"[$-en-US]d-mmm-yyyy;@")),"")</f>
        <v>43820</v>
      </c>
      <c r="M223" s="4" t="str">
        <f>IFERROR(TRIM(T_LEAVE[[#This Row],[TYPE]]),"")</f>
        <v>VACATION LEAVE</v>
      </c>
      <c r="N223" s="69" t="str">
        <f>IFERROR(VLOOKUP(T_LEAVE[[#This Row],[LEAVE TYPE]],T_LEAVETYPE[#All],2,0),"")</f>
        <v>VL</v>
      </c>
    </row>
    <row r="224" spans="2:14" x14ac:dyDescent="0.25">
      <c r="B224" s="93">
        <v>43818</v>
      </c>
      <c r="C224" s="48" t="s">
        <v>929</v>
      </c>
      <c r="D224" s="48" t="s">
        <v>923</v>
      </c>
      <c r="E224" s="4" t="s">
        <v>89</v>
      </c>
      <c r="F224" s="49">
        <v>1</v>
      </c>
      <c r="G224" s="4" t="s">
        <v>930</v>
      </c>
      <c r="I224" s="4" t="s">
        <v>149</v>
      </c>
      <c r="K224" s="4" t="str">
        <f>IFERROR(LEFT(T_LEAVE[[#This Row],[EMPLOYEE NAME]],LEN(T_LEAVE[[#This Row],[EMPLOYEE NAME]])-3),"")</f>
        <v>REOTIREZ, REYMONG</v>
      </c>
      <c r="L224" s="48">
        <f>IFERROR(DATEVALUE(TEXT(RIGHT(T_LEAVE[[#This Row],[LEAVE DATE]],LEN(T_LEAVE[[#This Row],[LEAVE DATE]])-6),"[$-en-US]d-mmm-yyyy;@")),"")</f>
        <v>43817</v>
      </c>
      <c r="M224" s="4" t="str">
        <f>IFERROR(TRIM(T_LEAVE[[#This Row],[TYPE]]),"")</f>
        <v>SICK LEAVE</v>
      </c>
      <c r="N224" s="69" t="str">
        <f>IFERROR(VLOOKUP(T_LEAVE[[#This Row],[LEAVE TYPE]],T_LEAVETYPE[#All],2,0),"")</f>
        <v>SL</v>
      </c>
    </row>
    <row r="225" spans="2:14" x14ac:dyDescent="0.25">
      <c r="B225" s="93">
        <v>43819</v>
      </c>
      <c r="C225" s="48" t="s">
        <v>161</v>
      </c>
      <c r="D225" s="48" t="s">
        <v>147</v>
      </c>
      <c r="E225" s="4" t="s">
        <v>88</v>
      </c>
      <c r="F225" s="49">
        <v>1</v>
      </c>
      <c r="G225" s="4" t="s">
        <v>162</v>
      </c>
      <c r="I225" s="4" t="s">
        <v>149</v>
      </c>
      <c r="K225" s="4" t="str">
        <f>IFERROR(LEFT(T_LEAVE[[#This Row],[EMPLOYEE NAME]],LEN(T_LEAVE[[#This Row],[EMPLOYEE NAME]])-3),"")</f>
        <v>ACOSTA, JOSEPH VAUGHN</v>
      </c>
      <c r="L225" s="48">
        <f>IFERROR(DATEVALUE(TEXT(RIGHT(T_LEAVE[[#This Row],[LEAVE DATE]],LEN(T_LEAVE[[#This Row],[LEAVE DATE]])-6),"[$-en-US]d-mmm-yyyy;@")),"")</f>
        <v>43822</v>
      </c>
      <c r="M225" s="4" t="str">
        <f>IFERROR(TRIM(T_LEAVE[[#This Row],[TYPE]]),"")</f>
        <v>VACATION LEAVE</v>
      </c>
      <c r="N225" s="4" t="str">
        <f>IFERROR(VLOOKUP(T_LEAVE[[#This Row],[LEAVE TYPE]],T_LEAVETYPE[#All],2,0),"")</f>
        <v>VL</v>
      </c>
    </row>
    <row r="226" spans="2:14" x14ac:dyDescent="0.25">
      <c r="B226" s="93">
        <v>43819</v>
      </c>
      <c r="C226" s="48" t="s">
        <v>219</v>
      </c>
      <c r="D226" s="48" t="s">
        <v>1131</v>
      </c>
      <c r="E226" s="4" t="s">
        <v>88</v>
      </c>
      <c r="F226" s="49">
        <v>1</v>
      </c>
      <c r="G226" s="4" t="s">
        <v>521</v>
      </c>
      <c r="I226" s="4" t="s">
        <v>149</v>
      </c>
      <c r="K226" s="4" t="str">
        <f>IFERROR(LEFT(T_LEAVE[[#This Row],[EMPLOYEE NAME]],LEN(T_LEAVE[[#This Row],[EMPLOYEE NAME]])-3),"")</f>
        <v>WAMBANGCO, JAN TOBEY</v>
      </c>
      <c r="L226" s="48">
        <f>IFERROR(DATEVALUE(TEXT(RIGHT(T_LEAVE[[#This Row],[LEAVE DATE]],LEN(T_LEAVE[[#This Row],[LEAVE DATE]])-6),"[$-en-US]d-mmm-yyyy;@")),"")</f>
        <v>43820</v>
      </c>
      <c r="M226" s="4" t="str">
        <f>IFERROR(TRIM(T_LEAVE[[#This Row],[TYPE]]),"")</f>
        <v>VACATION LEAVE</v>
      </c>
      <c r="N226" s="69" t="str">
        <f>IFERROR(VLOOKUP(T_LEAVE[[#This Row],[LEAVE TYPE]],T_LEAVETYPE[#All],2,0),"")</f>
        <v>VL</v>
      </c>
    </row>
    <row r="227" spans="2:14" x14ac:dyDescent="0.25">
      <c r="B227" s="93">
        <v>43823</v>
      </c>
      <c r="C227" s="48" t="s">
        <v>673</v>
      </c>
      <c r="D227" s="48" t="s">
        <v>950</v>
      </c>
      <c r="E227" s="4" t="s">
        <v>88</v>
      </c>
      <c r="F227" s="49">
        <v>1</v>
      </c>
      <c r="G227" s="4" t="s">
        <v>955</v>
      </c>
      <c r="I227" s="4" t="s">
        <v>149</v>
      </c>
      <c r="K227" s="4" t="str">
        <f>IFERROR(LEFT(T_LEAVE[[#This Row],[EMPLOYEE NAME]],LEN(T_LEAVE[[#This Row],[EMPLOYEE NAME]])-3),"")</f>
        <v>SANTOS, JERICK</v>
      </c>
      <c r="L227" s="48">
        <f>IFERROR(DATEVALUE(TEXT(RIGHT(T_LEAVE[[#This Row],[LEAVE DATE]],LEN(T_LEAVE[[#This Row],[LEAVE DATE]])-6),"[$-en-US]d-mmm-yyyy;@")),"")</f>
        <v>43857</v>
      </c>
      <c r="M227" s="4" t="str">
        <f>IFERROR(TRIM(T_LEAVE[[#This Row],[TYPE]]),"")</f>
        <v>VACATION LEAVE</v>
      </c>
      <c r="N227" s="69" t="str">
        <f>IFERROR(VLOOKUP(T_LEAVE[[#This Row],[LEAVE TYPE]],T_LEAVETYPE[#All],2,0),"")</f>
        <v>VL</v>
      </c>
    </row>
    <row r="228" spans="2:14" x14ac:dyDescent="0.25">
      <c r="B228" s="93">
        <v>43823</v>
      </c>
      <c r="C228" s="48" t="s">
        <v>855</v>
      </c>
      <c r="D228" s="48" t="s">
        <v>950</v>
      </c>
      <c r="E228" s="4" t="s">
        <v>88</v>
      </c>
      <c r="F228" s="49">
        <v>1</v>
      </c>
      <c r="G228" s="4" t="s">
        <v>955</v>
      </c>
      <c r="I228" s="4" t="s">
        <v>149</v>
      </c>
      <c r="K228" s="4" t="str">
        <f>IFERROR(LEFT(T_LEAVE[[#This Row],[EMPLOYEE NAME]],LEN(T_LEAVE[[#This Row],[EMPLOYEE NAME]])-3),"")</f>
        <v>SANTOS, JERICK</v>
      </c>
      <c r="L228" s="48">
        <f>IFERROR(DATEVALUE(TEXT(RIGHT(T_LEAVE[[#This Row],[LEAVE DATE]],LEN(T_LEAVE[[#This Row],[LEAVE DATE]])-6),"[$-en-US]d-mmm-yyyy;@")),"")</f>
        <v>43858</v>
      </c>
      <c r="M228" s="4" t="str">
        <f>IFERROR(TRIM(T_LEAVE[[#This Row],[TYPE]]),"")</f>
        <v>VACATION LEAVE</v>
      </c>
      <c r="N228" s="69" t="str">
        <f>IFERROR(VLOOKUP(T_LEAVE[[#This Row],[LEAVE TYPE]],T_LEAVETYPE[#All],2,0),"")</f>
        <v>VL</v>
      </c>
    </row>
    <row r="229" spans="2:14" x14ac:dyDescent="0.25">
      <c r="B229" s="93">
        <v>43824</v>
      </c>
      <c r="C229" s="48" t="s">
        <v>375</v>
      </c>
      <c r="D229" s="48" t="s">
        <v>1131</v>
      </c>
      <c r="E229" s="4" t="s">
        <v>88</v>
      </c>
      <c r="F229" s="49">
        <v>1</v>
      </c>
      <c r="G229" s="4" t="s">
        <v>1134</v>
      </c>
      <c r="I229" s="4" t="s">
        <v>149</v>
      </c>
      <c r="K229" s="4" t="str">
        <f>IFERROR(LEFT(T_LEAVE[[#This Row],[EMPLOYEE NAME]],LEN(T_LEAVE[[#This Row],[EMPLOYEE NAME]])-3),"")</f>
        <v>WAMBANGCO, JAN TOBEY</v>
      </c>
      <c r="L229" s="48">
        <f>IFERROR(DATEVALUE(TEXT(RIGHT(T_LEAVE[[#This Row],[LEAVE DATE]],LEN(T_LEAVE[[#This Row],[LEAVE DATE]])-6),"[$-en-US]d-mmm-yyyy;@")),"")</f>
        <v>43826</v>
      </c>
      <c r="M229" s="4" t="str">
        <f>IFERROR(TRIM(T_LEAVE[[#This Row],[TYPE]]),"")</f>
        <v>VACATION LEAVE</v>
      </c>
      <c r="N229" s="69" t="str">
        <f>IFERROR(VLOOKUP(T_LEAVE[[#This Row],[LEAVE TYPE]],T_LEAVETYPE[#All],2,0),"")</f>
        <v>VL</v>
      </c>
    </row>
    <row r="230" spans="2:14" x14ac:dyDescent="0.25">
      <c r="B230" s="93">
        <v>43829</v>
      </c>
      <c r="C230" s="48" t="s">
        <v>375</v>
      </c>
      <c r="D230" s="48" t="s">
        <v>989</v>
      </c>
      <c r="E230" s="4" t="s">
        <v>89</v>
      </c>
      <c r="F230" s="49">
        <v>1</v>
      </c>
      <c r="G230" s="4" t="s">
        <v>992</v>
      </c>
      <c r="I230" s="4" t="s">
        <v>149</v>
      </c>
      <c r="K230" s="4" t="str">
        <f>IFERROR(LEFT(T_LEAVE[[#This Row],[EMPLOYEE NAME]],LEN(T_LEAVE[[#This Row],[EMPLOYEE NAME]])-3),"")</f>
        <v>TABUNAN, LIZEL</v>
      </c>
      <c r="L230" s="48">
        <f>IFERROR(DATEVALUE(TEXT(RIGHT(T_LEAVE[[#This Row],[LEAVE DATE]],LEN(T_LEAVE[[#This Row],[LEAVE DATE]])-6),"[$-en-US]d-mmm-yyyy;@")),"")</f>
        <v>43826</v>
      </c>
      <c r="M230" s="4" t="str">
        <f>IFERROR(TRIM(T_LEAVE[[#This Row],[TYPE]]),"")</f>
        <v>SICK LEAVE</v>
      </c>
      <c r="N230" s="69" t="str">
        <f>IFERROR(VLOOKUP(T_LEAVE[[#This Row],[LEAVE TYPE]],T_LEAVETYPE[#All],2,0),"")</f>
        <v>SL</v>
      </c>
    </row>
    <row r="231" spans="2:14" x14ac:dyDescent="0.25">
      <c r="B231" s="93">
        <v>43829</v>
      </c>
      <c r="C231" s="48" t="s">
        <v>852</v>
      </c>
      <c r="D231" s="48" t="s">
        <v>1033</v>
      </c>
      <c r="E231" s="4" t="s">
        <v>88</v>
      </c>
      <c r="F231" s="49">
        <v>1</v>
      </c>
      <c r="G231" s="4" t="s">
        <v>1040</v>
      </c>
      <c r="I231" s="4" t="s">
        <v>149</v>
      </c>
      <c r="K231" s="4" t="str">
        <f>IFERROR(LEFT(T_LEAVE[[#This Row],[EMPLOYEE NAME]],LEN(T_LEAVE[[#This Row],[EMPLOYEE NAME]])-3),"")</f>
        <v>VALLADARES, ALLEN</v>
      </c>
      <c r="L231" s="48">
        <f>IFERROR(DATEVALUE(TEXT(RIGHT(T_LEAVE[[#This Row],[LEAVE DATE]],LEN(T_LEAVE[[#This Row],[LEAVE DATE]])-6),"[$-en-US]d-mmm-yyyy;@")),"")</f>
        <v>43846</v>
      </c>
      <c r="M231" s="4" t="str">
        <f>IFERROR(TRIM(T_LEAVE[[#This Row],[TYPE]]),"")</f>
        <v>VACATION LEAVE</v>
      </c>
      <c r="N231" s="69" t="str">
        <f>IFERROR(VLOOKUP(T_LEAVE[[#This Row],[LEAVE TYPE]],T_LEAVETYPE[#All],2,0),"")</f>
        <v>VL</v>
      </c>
    </row>
    <row r="232" spans="2:14" x14ac:dyDescent="0.25">
      <c r="B232" s="93">
        <v>43829</v>
      </c>
      <c r="C232" s="48" t="s">
        <v>333</v>
      </c>
      <c r="D232" s="48" t="s">
        <v>1033</v>
      </c>
      <c r="E232" s="4" t="s">
        <v>88</v>
      </c>
      <c r="F232" s="49">
        <v>1</v>
      </c>
      <c r="G232" s="4" t="s">
        <v>1040</v>
      </c>
      <c r="I232" s="4" t="s">
        <v>149</v>
      </c>
      <c r="K232" s="4" t="str">
        <f>IFERROR(LEFT(T_LEAVE[[#This Row],[EMPLOYEE NAME]],LEN(T_LEAVE[[#This Row],[EMPLOYEE NAME]])-3),"")</f>
        <v>VALLADARES, ALLEN</v>
      </c>
      <c r="L232" s="48">
        <f>IFERROR(DATEVALUE(TEXT(RIGHT(T_LEAVE[[#This Row],[LEAVE DATE]],LEN(T_LEAVE[[#This Row],[LEAVE DATE]])-6),"[$-en-US]d-mmm-yyyy;@")),"")</f>
        <v>43847</v>
      </c>
      <c r="M232" s="4" t="str">
        <f>IFERROR(TRIM(T_LEAVE[[#This Row],[TYPE]]),"")</f>
        <v>VACATION LEAVE</v>
      </c>
      <c r="N232" s="69" t="str">
        <f>IFERROR(VLOOKUP(T_LEAVE[[#This Row],[LEAVE TYPE]],T_LEAVETYPE[#All],2,0),"")</f>
        <v>VL</v>
      </c>
    </row>
    <row r="233" spans="2:14" x14ac:dyDescent="0.25">
      <c r="B233" s="93">
        <v>43829</v>
      </c>
      <c r="C233" s="48" t="s">
        <v>335</v>
      </c>
      <c r="D233" s="48" t="s">
        <v>1033</v>
      </c>
      <c r="E233" s="4" t="s">
        <v>88</v>
      </c>
      <c r="F233" s="49">
        <v>1</v>
      </c>
      <c r="G233" s="4" t="s">
        <v>1040</v>
      </c>
      <c r="I233" s="4" t="s">
        <v>149</v>
      </c>
      <c r="K233" s="4" t="str">
        <f>IFERROR(LEFT(T_LEAVE[[#This Row],[EMPLOYEE NAME]],LEN(T_LEAVE[[#This Row],[EMPLOYEE NAME]])-3),"")</f>
        <v>VALLADARES, ALLEN</v>
      </c>
      <c r="L233" s="48">
        <f>IFERROR(DATEVALUE(TEXT(RIGHT(T_LEAVE[[#This Row],[LEAVE DATE]],LEN(T_LEAVE[[#This Row],[LEAVE DATE]])-6),"[$-en-US]d-mmm-yyyy;@")),"")</f>
        <v>43848</v>
      </c>
      <c r="M233" s="4" t="str">
        <f>IFERROR(TRIM(T_LEAVE[[#This Row],[TYPE]]),"")</f>
        <v>VACATION LEAVE</v>
      </c>
      <c r="N233" s="69" t="str">
        <f>IFERROR(VLOOKUP(T_LEAVE[[#This Row],[LEAVE TYPE]],T_LEAVETYPE[#All],2,0),"")</f>
        <v>VL</v>
      </c>
    </row>
    <row r="234" spans="2:14" x14ac:dyDescent="0.25">
      <c r="B234" s="93">
        <v>43829</v>
      </c>
      <c r="C234" s="48" t="s">
        <v>1041</v>
      </c>
      <c r="D234" s="48" t="s">
        <v>1033</v>
      </c>
      <c r="E234" s="4" t="s">
        <v>88</v>
      </c>
      <c r="F234" s="49">
        <v>1</v>
      </c>
      <c r="G234" s="4" t="s">
        <v>1040</v>
      </c>
      <c r="I234" s="4" t="s">
        <v>149</v>
      </c>
      <c r="K234" s="4" t="str">
        <f>IFERROR(LEFT(T_LEAVE[[#This Row],[EMPLOYEE NAME]],LEN(T_LEAVE[[#This Row],[EMPLOYEE NAME]])-3),"")</f>
        <v>VALLADARES, ALLEN</v>
      </c>
      <c r="L234" s="48">
        <f>IFERROR(DATEVALUE(TEXT(RIGHT(T_LEAVE[[#This Row],[LEAVE DATE]],LEN(T_LEAVE[[#This Row],[LEAVE DATE]])-6),"[$-en-US]d-mmm-yyyy;@")),"")</f>
        <v>43849</v>
      </c>
      <c r="M234" s="4" t="str">
        <f>IFERROR(TRIM(T_LEAVE[[#This Row],[TYPE]]),"")</f>
        <v>VACATION LEAVE</v>
      </c>
      <c r="N234" s="69" t="str">
        <f>IFERROR(VLOOKUP(T_LEAVE[[#This Row],[LEAVE TYPE]],T_LEAVETYPE[#All],2,0),"")</f>
        <v>VL</v>
      </c>
    </row>
    <row r="235" spans="2:14" x14ac:dyDescent="0.25">
      <c r="B235" s="93">
        <v>43829</v>
      </c>
      <c r="C235" s="48" t="s">
        <v>658</v>
      </c>
      <c r="D235" s="48" t="s">
        <v>1033</v>
      </c>
      <c r="E235" s="4" t="s">
        <v>88</v>
      </c>
      <c r="F235" s="49">
        <v>1</v>
      </c>
      <c r="G235" s="4" t="s">
        <v>1040</v>
      </c>
      <c r="I235" s="4" t="s">
        <v>149</v>
      </c>
      <c r="K235" s="4" t="str">
        <f>IFERROR(LEFT(T_LEAVE[[#This Row],[EMPLOYEE NAME]],LEN(T_LEAVE[[#This Row],[EMPLOYEE NAME]])-3),"")</f>
        <v>VALLADARES, ALLEN</v>
      </c>
      <c r="L235" s="48">
        <f>IFERROR(DATEVALUE(TEXT(RIGHT(T_LEAVE[[#This Row],[LEAVE DATE]],LEN(T_LEAVE[[#This Row],[LEAVE DATE]])-6),"[$-en-US]d-mmm-yyyy;@")),"")</f>
        <v>43850</v>
      </c>
      <c r="M235" s="4" t="str">
        <f>IFERROR(TRIM(T_LEAVE[[#This Row],[TYPE]]),"")</f>
        <v>VACATION LEAVE</v>
      </c>
      <c r="N235" s="69" t="str">
        <f>IFERROR(VLOOKUP(T_LEAVE[[#This Row],[LEAVE TYPE]],T_LEAVETYPE[#All],2,0),"")</f>
        <v>VL</v>
      </c>
    </row>
    <row r="236" spans="2:14" x14ac:dyDescent="0.25">
      <c r="B236" s="93">
        <v>43832</v>
      </c>
      <c r="C236" s="48" t="s">
        <v>640</v>
      </c>
      <c r="D236" s="48" t="s">
        <v>1142</v>
      </c>
      <c r="E236" s="4" t="s">
        <v>88</v>
      </c>
      <c r="F236" s="49">
        <v>1</v>
      </c>
      <c r="G236" s="4" t="s">
        <v>1145</v>
      </c>
      <c r="I236" s="4" t="s">
        <v>149</v>
      </c>
      <c r="K236" s="4" t="str">
        <f>IFERROR(LEFT(T_LEAVE[[#This Row],[EMPLOYEE NAME]],LEN(T_LEAVE[[#This Row],[EMPLOYEE NAME]])-3),"")</f>
        <v>WENCESLAO, JOHN GLENN</v>
      </c>
      <c r="L236" s="48">
        <f>IFERROR(DATEVALUE(TEXT(RIGHT(T_LEAVE[[#This Row],[LEAVE DATE]],LEN(T_LEAVE[[#This Row],[LEAVE DATE]])-6),"[$-en-US]d-mmm-yyyy;@")),"")</f>
        <v>43838</v>
      </c>
      <c r="M236" s="4" t="str">
        <f>IFERROR(TRIM(T_LEAVE[[#This Row],[TYPE]]),"")</f>
        <v>VACATION LEAVE</v>
      </c>
      <c r="N236" s="69" t="str">
        <f>IFERROR(VLOOKUP(T_LEAVE[[#This Row],[LEAVE TYPE]],T_LEAVETYPE[#All],2,0),"")</f>
        <v>VL</v>
      </c>
    </row>
    <row r="237" spans="2:14" x14ac:dyDescent="0.25">
      <c r="B237" s="93">
        <v>43832</v>
      </c>
      <c r="C237" s="48" t="s">
        <v>316</v>
      </c>
      <c r="D237" s="48" t="s">
        <v>1142</v>
      </c>
      <c r="E237" s="4" t="s">
        <v>88</v>
      </c>
      <c r="F237" s="49">
        <v>1</v>
      </c>
      <c r="G237" s="4" t="s">
        <v>1145</v>
      </c>
      <c r="I237" s="4" t="s">
        <v>149</v>
      </c>
      <c r="K237" s="4" t="str">
        <f>IFERROR(LEFT(T_LEAVE[[#This Row],[EMPLOYEE NAME]],LEN(T_LEAVE[[#This Row],[EMPLOYEE NAME]])-3),"")</f>
        <v>WENCESLAO, JOHN GLENN</v>
      </c>
      <c r="L237" s="48">
        <f>IFERROR(DATEVALUE(TEXT(RIGHT(T_LEAVE[[#This Row],[LEAVE DATE]],LEN(T_LEAVE[[#This Row],[LEAVE DATE]])-6),"[$-en-US]d-mmm-yyyy;@")),"")</f>
        <v>43839</v>
      </c>
      <c r="M237" s="4" t="str">
        <f>IFERROR(TRIM(T_LEAVE[[#This Row],[TYPE]]),"")</f>
        <v>VACATION LEAVE</v>
      </c>
      <c r="N237" s="69" t="str">
        <f>IFERROR(VLOOKUP(T_LEAVE[[#This Row],[LEAVE TYPE]],T_LEAVETYPE[#All],2,0),"")</f>
        <v>VL</v>
      </c>
    </row>
    <row r="238" spans="2:14" x14ac:dyDescent="0.25">
      <c r="B238" s="93">
        <v>43833</v>
      </c>
      <c r="C238" s="48" t="s">
        <v>316</v>
      </c>
      <c r="D238" s="48" t="s">
        <v>317</v>
      </c>
      <c r="E238" s="4" t="s">
        <v>88</v>
      </c>
      <c r="F238" s="49">
        <v>1</v>
      </c>
      <c r="G238" s="4" t="s">
        <v>318</v>
      </c>
      <c r="I238" s="4" t="s">
        <v>149</v>
      </c>
      <c r="K238" s="4" t="str">
        <f>IFERROR(LEFT(T_LEAVE[[#This Row],[EMPLOYEE NAME]],LEN(T_LEAVE[[#This Row],[EMPLOYEE NAME]])-3),"")</f>
        <v>BAUTISTA, JOY MARI</v>
      </c>
      <c r="L238" s="48">
        <f>IFERROR(DATEVALUE(TEXT(RIGHT(T_LEAVE[[#This Row],[LEAVE DATE]],LEN(T_LEAVE[[#This Row],[LEAVE DATE]])-6),"[$-en-US]d-mmm-yyyy;@")),"")</f>
        <v>43839</v>
      </c>
      <c r="M238" s="4" t="str">
        <f>IFERROR(TRIM(T_LEAVE[[#This Row],[TYPE]]),"")</f>
        <v>VACATION LEAVE</v>
      </c>
      <c r="N238" s="69" t="str">
        <f>IFERROR(VLOOKUP(T_LEAVE[[#This Row],[LEAVE TYPE]],T_LEAVETYPE[#All],2,0),"")</f>
        <v>VL</v>
      </c>
    </row>
    <row r="239" spans="2:14" x14ac:dyDescent="0.25">
      <c r="B239" s="93">
        <v>43833</v>
      </c>
      <c r="C239" s="48" t="s">
        <v>269</v>
      </c>
      <c r="D239" s="48" t="s">
        <v>317</v>
      </c>
      <c r="E239" s="4" t="s">
        <v>88</v>
      </c>
      <c r="F239" s="49">
        <v>1</v>
      </c>
      <c r="G239" s="4" t="s">
        <v>318</v>
      </c>
      <c r="I239" s="4" t="s">
        <v>149</v>
      </c>
      <c r="K239" s="4" t="str">
        <f>IFERROR(LEFT(T_LEAVE[[#This Row],[EMPLOYEE NAME]],LEN(T_LEAVE[[#This Row],[EMPLOYEE NAME]])-3),"")</f>
        <v>BAUTISTA, JOY MARI</v>
      </c>
      <c r="L239" s="48">
        <f>IFERROR(DATEVALUE(TEXT(RIGHT(T_LEAVE[[#This Row],[LEAVE DATE]],LEN(T_LEAVE[[#This Row],[LEAVE DATE]])-6),"[$-en-US]d-mmm-yyyy;@")),"")</f>
        <v>43840</v>
      </c>
      <c r="M239" s="4" t="str">
        <f>IFERROR(TRIM(T_LEAVE[[#This Row],[TYPE]]),"")</f>
        <v>VACATION LEAVE</v>
      </c>
      <c r="N239" s="69" t="str">
        <f>IFERROR(VLOOKUP(T_LEAVE[[#This Row],[LEAVE TYPE]],T_LEAVETYPE[#All],2,0),"")</f>
        <v>VL</v>
      </c>
    </row>
    <row r="240" spans="2:14" x14ac:dyDescent="0.25">
      <c r="B240" s="93">
        <v>43835</v>
      </c>
      <c r="C240" s="48" t="s">
        <v>221</v>
      </c>
      <c r="D240" s="48" t="s">
        <v>208</v>
      </c>
      <c r="E240" s="4" t="s">
        <v>89</v>
      </c>
      <c r="F240" s="49">
        <v>1</v>
      </c>
      <c r="G240" s="4" t="s">
        <v>222</v>
      </c>
      <c r="I240" s="4" t="s">
        <v>149</v>
      </c>
      <c r="K240" s="4" t="str">
        <f>IFERROR(LEFT(T_LEAVE[[#This Row],[EMPLOYEE NAME]],LEN(T_LEAVE[[#This Row],[EMPLOYEE NAME]])-3),"")</f>
        <v>AQUINO, RODEL</v>
      </c>
      <c r="L240" s="48">
        <f>IFERROR(DATEVALUE(TEXT(RIGHT(T_LEAVE[[#This Row],[LEAVE DATE]],LEN(T_LEAVE[[#This Row],[LEAVE DATE]])-6),"[$-en-US]d-mmm-yyyy;@")),"")</f>
        <v>43834</v>
      </c>
      <c r="M240" s="4" t="str">
        <f>IFERROR(TRIM(T_LEAVE[[#This Row],[TYPE]]),"")</f>
        <v>SICK LEAVE</v>
      </c>
      <c r="N240" s="4" t="str">
        <f>IFERROR(VLOOKUP(T_LEAVE[[#This Row],[LEAVE TYPE]],T_LEAVETYPE[#All],2,0),"")</f>
        <v>SL</v>
      </c>
    </row>
    <row r="241" spans="2:14" x14ac:dyDescent="0.25">
      <c r="B241" s="93">
        <v>43835</v>
      </c>
      <c r="C241" s="48" t="s">
        <v>223</v>
      </c>
      <c r="D241" s="48" t="s">
        <v>691</v>
      </c>
      <c r="E241" s="4" t="s">
        <v>698</v>
      </c>
      <c r="F241" s="49">
        <v>1</v>
      </c>
      <c r="G241" s="4" t="s">
        <v>709</v>
      </c>
      <c r="H241" s="4" t="s">
        <v>165</v>
      </c>
      <c r="I241" s="4" t="s">
        <v>149</v>
      </c>
      <c r="K241" s="4" t="str">
        <f>IFERROR(LEFT(T_LEAVE[[#This Row],[EMPLOYEE NAME]],LEN(T_LEAVE[[#This Row],[EMPLOYEE NAME]])-3),"")</f>
        <v>LATUGA, PHOEBE</v>
      </c>
      <c r="L241" s="48">
        <f>IFERROR(DATEVALUE(TEXT(RIGHT(T_LEAVE[[#This Row],[LEAVE DATE]],LEN(T_LEAVE[[#This Row],[LEAVE DATE]])-6),"[$-en-US]d-mmm-yyyy;@")),"")</f>
        <v>43841</v>
      </c>
      <c r="M241" s="4" t="str">
        <f>IFERROR(TRIM(T_LEAVE[[#This Row],[TYPE]]),"")</f>
        <v>SOLO PARENT LEAVE</v>
      </c>
      <c r="N241" s="69" t="str">
        <f>IFERROR(VLOOKUP(T_LEAVE[[#This Row],[LEAVE TYPE]],T_LEAVETYPE[#All],2,0),"")</f>
        <v/>
      </c>
    </row>
    <row r="242" spans="2:14" x14ac:dyDescent="0.25">
      <c r="B242" s="93">
        <v>43835</v>
      </c>
      <c r="C242" s="48" t="s">
        <v>710</v>
      </c>
      <c r="D242" s="48" t="s">
        <v>691</v>
      </c>
      <c r="E242" s="4" t="s">
        <v>698</v>
      </c>
      <c r="F242" s="49">
        <v>1</v>
      </c>
      <c r="G242" s="4" t="s">
        <v>709</v>
      </c>
      <c r="H242" s="4" t="s">
        <v>165</v>
      </c>
      <c r="I242" s="4" t="s">
        <v>149</v>
      </c>
      <c r="K242" s="4" t="str">
        <f>IFERROR(LEFT(T_LEAVE[[#This Row],[EMPLOYEE NAME]],LEN(T_LEAVE[[#This Row],[EMPLOYEE NAME]])-3),"")</f>
        <v>LATUGA, PHOEBE</v>
      </c>
      <c r="L242" s="48">
        <f>IFERROR(DATEVALUE(TEXT(RIGHT(T_LEAVE[[#This Row],[LEAVE DATE]],LEN(T_LEAVE[[#This Row],[LEAVE DATE]])-6),"[$-en-US]d-mmm-yyyy;@")),"")</f>
        <v>43842</v>
      </c>
      <c r="M242" s="4" t="str">
        <f>IFERROR(TRIM(T_LEAVE[[#This Row],[TYPE]]),"")</f>
        <v>SOLO PARENT LEAVE</v>
      </c>
      <c r="N242" s="69" t="str">
        <f>IFERROR(VLOOKUP(T_LEAVE[[#This Row],[LEAVE TYPE]],T_LEAVETYPE[#All],2,0),"")</f>
        <v/>
      </c>
    </row>
    <row r="243" spans="2:14" x14ac:dyDescent="0.25">
      <c r="B243" s="93">
        <v>43835</v>
      </c>
      <c r="C243" s="48" t="s">
        <v>853</v>
      </c>
      <c r="D243" s="48" t="s">
        <v>847</v>
      </c>
      <c r="E243" s="4" t="s">
        <v>88</v>
      </c>
      <c r="F243" s="49">
        <v>1</v>
      </c>
      <c r="G243" s="4" t="s">
        <v>854</v>
      </c>
      <c r="I243" s="4" t="s">
        <v>149</v>
      </c>
      <c r="K243" s="4" t="str">
        <f>IFERROR(LEFT(T_LEAVE[[#This Row],[EMPLOYEE NAME]],LEN(T_LEAVE[[#This Row],[EMPLOYEE NAME]])-3),"")</f>
        <v>MATIGNAS, JAYDEE</v>
      </c>
      <c r="L243" s="48">
        <f>IFERROR(DATEVALUE(TEXT(RIGHT(T_LEAVE[[#This Row],[LEAVE DATE]],LEN(T_LEAVE[[#This Row],[LEAVE DATE]])-6),"[$-en-US]d-mmm-yyyy;@")),"")</f>
        <v>43852</v>
      </c>
      <c r="M243" s="4" t="str">
        <f>IFERROR(TRIM(T_LEAVE[[#This Row],[TYPE]]),"")</f>
        <v>VACATION LEAVE</v>
      </c>
      <c r="N243" s="69" t="str">
        <f>IFERROR(VLOOKUP(T_LEAVE[[#This Row],[LEAVE TYPE]],T_LEAVETYPE[#All],2,0),"")</f>
        <v>VL</v>
      </c>
    </row>
    <row r="244" spans="2:14" x14ac:dyDescent="0.25">
      <c r="B244" s="93">
        <v>43835</v>
      </c>
      <c r="C244" s="48" t="s">
        <v>858</v>
      </c>
      <c r="D244" s="48" t="s">
        <v>847</v>
      </c>
      <c r="E244" s="4" t="s">
        <v>88</v>
      </c>
      <c r="F244" s="49">
        <v>1</v>
      </c>
      <c r="G244" s="4" t="s">
        <v>859</v>
      </c>
      <c r="I244" s="4" t="s">
        <v>149</v>
      </c>
      <c r="J244" s="4" t="s">
        <v>860</v>
      </c>
      <c r="K244" s="4" t="str">
        <f>IFERROR(LEFT(T_LEAVE[[#This Row],[EMPLOYEE NAME]],LEN(T_LEAVE[[#This Row],[EMPLOYEE NAME]])-3),"")</f>
        <v>MATIGNAS, JAYDEE</v>
      </c>
      <c r="L244" s="48">
        <f>IFERROR(DATEVALUE(TEXT(RIGHT(T_LEAVE[[#This Row],[LEAVE DATE]],LEN(T_LEAVE[[#This Row],[LEAVE DATE]])-6),"[$-en-US]d-mmm-yyyy;@")),"")</f>
        <v>43865</v>
      </c>
      <c r="M244" s="4" t="str">
        <f>IFERROR(TRIM(T_LEAVE[[#This Row],[TYPE]]),"")</f>
        <v>VACATION LEAVE</v>
      </c>
      <c r="N244" s="69" t="str">
        <f>IFERROR(VLOOKUP(T_LEAVE[[#This Row],[LEAVE TYPE]],T_LEAVETYPE[#All],2,0),"")</f>
        <v>VL</v>
      </c>
    </row>
    <row r="245" spans="2:14" x14ac:dyDescent="0.25">
      <c r="B245" s="93">
        <v>43835</v>
      </c>
      <c r="C245" s="48" t="s">
        <v>710</v>
      </c>
      <c r="D245" s="48" t="s">
        <v>1004</v>
      </c>
      <c r="E245" s="4" t="s">
        <v>88</v>
      </c>
      <c r="F245" s="49">
        <v>1</v>
      </c>
      <c r="G245" s="4" t="s">
        <v>1012</v>
      </c>
      <c r="I245" s="4" t="s">
        <v>149</v>
      </c>
      <c r="K245" s="4" t="str">
        <f>IFERROR(LEFT(T_LEAVE[[#This Row],[EMPLOYEE NAME]],LEN(T_LEAVE[[#This Row],[EMPLOYEE NAME]])-3),"")</f>
        <v>VALENCIA, WINDSOR ROBERT</v>
      </c>
      <c r="L245" s="48">
        <f>IFERROR(DATEVALUE(TEXT(RIGHT(T_LEAVE[[#This Row],[LEAVE DATE]],LEN(T_LEAVE[[#This Row],[LEAVE DATE]])-6),"[$-en-US]d-mmm-yyyy;@")),"")</f>
        <v>43842</v>
      </c>
      <c r="M245" s="4" t="str">
        <f>IFERROR(TRIM(T_LEAVE[[#This Row],[TYPE]]),"")</f>
        <v>VACATION LEAVE</v>
      </c>
      <c r="N245" s="69" t="str">
        <f>IFERROR(VLOOKUP(T_LEAVE[[#This Row],[LEAVE TYPE]],T_LEAVETYPE[#All],2,0),"")</f>
        <v>VL</v>
      </c>
    </row>
    <row r="246" spans="2:14" x14ac:dyDescent="0.25">
      <c r="B246" s="93">
        <v>43837</v>
      </c>
      <c r="C246" s="48" t="s">
        <v>223</v>
      </c>
      <c r="D246" s="48" t="s">
        <v>208</v>
      </c>
      <c r="E246" s="4" t="s">
        <v>88</v>
      </c>
      <c r="F246" s="49">
        <v>1</v>
      </c>
      <c r="G246" s="4" t="s">
        <v>224</v>
      </c>
      <c r="I246" s="4" t="s">
        <v>149</v>
      </c>
      <c r="K246" s="4" t="str">
        <f>IFERROR(LEFT(T_LEAVE[[#This Row],[EMPLOYEE NAME]],LEN(T_LEAVE[[#This Row],[EMPLOYEE NAME]])-3),"")</f>
        <v>AQUINO, RODEL</v>
      </c>
      <c r="L246" s="48">
        <f>IFERROR(DATEVALUE(TEXT(RIGHT(T_LEAVE[[#This Row],[LEAVE DATE]],LEN(T_LEAVE[[#This Row],[LEAVE DATE]])-6),"[$-en-US]d-mmm-yyyy;@")),"")</f>
        <v>43841</v>
      </c>
      <c r="M246" s="4" t="str">
        <f>IFERROR(TRIM(T_LEAVE[[#This Row],[TYPE]]),"")</f>
        <v>VACATION LEAVE</v>
      </c>
      <c r="N246" s="4" t="str">
        <f>IFERROR(VLOOKUP(T_LEAVE[[#This Row],[LEAVE TYPE]],T_LEAVETYPE[#All],2,0),"")</f>
        <v>VL</v>
      </c>
    </row>
    <row r="247" spans="2:14" x14ac:dyDescent="0.25">
      <c r="B247" s="93">
        <v>43837</v>
      </c>
      <c r="C247" s="48" t="s">
        <v>167</v>
      </c>
      <c r="D247" s="48" t="s">
        <v>777</v>
      </c>
      <c r="E247" s="4" t="s">
        <v>88</v>
      </c>
      <c r="F247" s="49">
        <v>1</v>
      </c>
      <c r="G247" s="4" t="s">
        <v>233</v>
      </c>
      <c r="I247" s="4" t="s">
        <v>149</v>
      </c>
      <c r="K247" s="4" t="str">
        <f>IFERROR(LEFT(T_LEAVE[[#This Row],[EMPLOYEE NAME]],LEN(T_LEAVE[[#This Row],[EMPLOYEE NAME]])-3),"")</f>
        <v>MACALALAD, ANAMARIE</v>
      </c>
      <c r="L247" s="48">
        <f>IFERROR(DATEVALUE(TEXT(RIGHT(T_LEAVE[[#This Row],[LEAVE DATE]],LEN(T_LEAVE[[#This Row],[LEAVE DATE]])-6),"[$-en-US]d-mmm-yyyy;@")),"")</f>
        <v>43861</v>
      </c>
      <c r="M247" s="4" t="str">
        <f>IFERROR(TRIM(T_LEAVE[[#This Row],[TYPE]]),"")</f>
        <v>VACATION LEAVE</v>
      </c>
      <c r="N247" s="69" t="str">
        <f>IFERROR(VLOOKUP(T_LEAVE[[#This Row],[LEAVE TYPE]],T_LEAVETYPE[#All],2,0),"")</f>
        <v>VL</v>
      </c>
    </row>
    <row r="248" spans="2:14" x14ac:dyDescent="0.25">
      <c r="B248" s="93">
        <v>43837</v>
      </c>
      <c r="C248" s="48" t="s">
        <v>243</v>
      </c>
      <c r="D248" s="48" t="s">
        <v>899</v>
      </c>
      <c r="E248" s="4" t="s">
        <v>89</v>
      </c>
      <c r="F248" s="49">
        <v>1</v>
      </c>
      <c r="G248" s="4" t="s">
        <v>667</v>
      </c>
      <c r="I248" s="4" t="s">
        <v>149</v>
      </c>
      <c r="K248" s="4" t="str">
        <f>IFERROR(LEFT(T_LEAVE[[#This Row],[EMPLOYEE NAME]],LEN(T_LEAVE[[#This Row],[EMPLOYEE NAME]])-3),"")</f>
        <v>PATULOT, MARIROSE</v>
      </c>
      <c r="L248" s="48">
        <f>IFERROR(DATEVALUE(TEXT(RIGHT(T_LEAVE[[#This Row],[LEAVE DATE]],LEN(T_LEAVE[[#This Row],[LEAVE DATE]])-6),"[$-en-US]d-mmm-yyyy;@")),"")</f>
        <v>43833</v>
      </c>
      <c r="M248" s="4" t="str">
        <f>IFERROR(TRIM(T_LEAVE[[#This Row],[TYPE]]),"")</f>
        <v>SICK LEAVE</v>
      </c>
      <c r="N248" s="69" t="str">
        <f>IFERROR(VLOOKUP(T_LEAVE[[#This Row],[LEAVE TYPE]],T_LEAVETYPE[#All],2,0),"")</f>
        <v>SL</v>
      </c>
    </row>
    <row r="249" spans="2:14" x14ac:dyDescent="0.25">
      <c r="B249" s="93">
        <v>43838</v>
      </c>
      <c r="C249" s="48" t="s">
        <v>673</v>
      </c>
      <c r="D249" s="48" t="s">
        <v>989</v>
      </c>
      <c r="E249" s="4" t="s">
        <v>88</v>
      </c>
      <c r="F249" s="49">
        <v>1</v>
      </c>
      <c r="G249" s="4" t="s">
        <v>993</v>
      </c>
      <c r="I249" s="4" t="s">
        <v>149</v>
      </c>
      <c r="K249" s="4" t="str">
        <f>IFERROR(LEFT(T_LEAVE[[#This Row],[EMPLOYEE NAME]],LEN(T_LEAVE[[#This Row],[EMPLOYEE NAME]])-3),"")</f>
        <v>TABUNAN, LIZEL</v>
      </c>
      <c r="L249" s="48">
        <f>IFERROR(DATEVALUE(TEXT(RIGHT(T_LEAVE[[#This Row],[LEAVE DATE]],LEN(T_LEAVE[[#This Row],[LEAVE DATE]])-6),"[$-en-US]d-mmm-yyyy;@")),"")</f>
        <v>43857</v>
      </c>
      <c r="M249" s="4" t="str">
        <f>IFERROR(TRIM(T_LEAVE[[#This Row],[TYPE]]),"")</f>
        <v>VACATION LEAVE</v>
      </c>
      <c r="N249" s="69" t="str">
        <f>IFERROR(VLOOKUP(T_LEAVE[[#This Row],[LEAVE TYPE]],T_LEAVETYPE[#All],2,0),"")</f>
        <v>VL</v>
      </c>
    </row>
    <row r="250" spans="2:14" x14ac:dyDescent="0.25">
      <c r="B250" s="93">
        <v>43841</v>
      </c>
      <c r="C250" s="48" t="s">
        <v>527</v>
      </c>
      <c r="D250" s="48" t="s">
        <v>517</v>
      </c>
      <c r="E250" s="4" t="s">
        <v>88</v>
      </c>
      <c r="F250" s="49">
        <v>1</v>
      </c>
      <c r="G250" s="4" t="s">
        <v>528</v>
      </c>
      <c r="I250" s="4" t="s">
        <v>149</v>
      </c>
      <c r="J250" s="4" t="s">
        <v>524</v>
      </c>
      <c r="K250" s="4" t="str">
        <f>IFERROR(LEFT(T_LEAVE[[#This Row],[EMPLOYEE NAME]],LEN(T_LEAVE[[#This Row],[EMPLOYEE NAME]])-3),"")</f>
        <v>FESTEJO, ABIEL CAMBYSES</v>
      </c>
      <c r="L250" s="48">
        <f>IFERROR(DATEVALUE(TEXT(RIGHT(T_LEAVE[[#This Row],[LEAVE DATE]],LEN(T_LEAVE[[#This Row],[LEAVE DATE]])-6),"[$-en-US]d-mmm-yyyy;@")),"")</f>
        <v>43885</v>
      </c>
      <c r="M250" s="4" t="str">
        <f>IFERROR(TRIM(T_LEAVE[[#This Row],[TYPE]]),"")</f>
        <v>VACATION LEAVE</v>
      </c>
      <c r="N250" s="69" t="str">
        <f>IFERROR(VLOOKUP(T_LEAVE[[#This Row],[LEAVE TYPE]],T_LEAVETYPE[#All],2,0),"")</f>
        <v>VL</v>
      </c>
    </row>
    <row r="251" spans="2:14" x14ac:dyDescent="0.25">
      <c r="B251" s="93">
        <v>43843</v>
      </c>
      <c r="C251" s="48" t="s">
        <v>269</v>
      </c>
      <c r="D251" s="48" t="s">
        <v>256</v>
      </c>
      <c r="E251" s="4" t="s">
        <v>89</v>
      </c>
      <c r="F251" s="49">
        <v>1</v>
      </c>
      <c r="G251" s="4" t="s">
        <v>270</v>
      </c>
      <c r="I251" s="4" t="s">
        <v>149</v>
      </c>
      <c r="K251" s="4" t="str">
        <f>IFERROR(LEFT(T_LEAVE[[#This Row],[EMPLOYEE NAME]],LEN(T_LEAVE[[#This Row],[EMPLOYEE NAME]])-3),"")</f>
        <v>BALICAS, IRISH ANN</v>
      </c>
      <c r="L251" s="48">
        <f>IFERROR(DATEVALUE(TEXT(RIGHT(T_LEAVE[[#This Row],[LEAVE DATE]],LEN(T_LEAVE[[#This Row],[LEAVE DATE]])-6),"[$-en-US]d-mmm-yyyy;@")),"")</f>
        <v>43840</v>
      </c>
      <c r="M251" s="4" t="str">
        <f>IFERROR(TRIM(T_LEAVE[[#This Row],[TYPE]]),"")</f>
        <v>SICK LEAVE</v>
      </c>
      <c r="N251" s="69" t="str">
        <f>IFERROR(VLOOKUP(T_LEAVE[[#This Row],[LEAVE TYPE]],T_LEAVETYPE[#All],2,0),"")</f>
        <v>SL</v>
      </c>
    </row>
    <row r="252" spans="2:14" x14ac:dyDescent="0.25">
      <c r="B252" s="93">
        <v>43844</v>
      </c>
      <c r="C252" s="48" t="s">
        <v>763</v>
      </c>
      <c r="D252" s="48" t="s">
        <v>834</v>
      </c>
      <c r="E252" s="4" t="s">
        <v>88</v>
      </c>
      <c r="F252" s="49">
        <v>1</v>
      </c>
      <c r="G252" s="4" t="s">
        <v>835</v>
      </c>
      <c r="I252" s="4" t="s">
        <v>149</v>
      </c>
      <c r="K252" s="4" t="str">
        <f>IFERROR(LEFT(T_LEAVE[[#This Row],[EMPLOYEE NAME]],LEN(T_LEAVE[[#This Row],[EMPLOYEE NAME]])-3),"")</f>
        <v>MARINAS, ELMERA</v>
      </c>
      <c r="L252" s="48">
        <f>IFERROR(DATEVALUE(TEXT(RIGHT(T_LEAVE[[#This Row],[LEAVE DATE]],LEN(T_LEAVE[[#This Row],[LEAVE DATE]])-6),"[$-en-US]d-mmm-yyyy;@")),"")</f>
        <v>43855</v>
      </c>
      <c r="M252" s="4" t="str">
        <f>IFERROR(TRIM(T_LEAVE[[#This Row],[TYPE]]),"")</f>
        <v>VACATION LEAVE</v>
      </c>
      <c r="N252" s="69" t="str">
        <f>IFERROR(VLOOKUP(T_LEAVE[[#This Row],[LEAVE TYPE]],T_LEAVETYPE[#All],2,0),"")</f>
        <v>VL</v>
      </c>
    </row>
    <row r="253" spans="2:14" x14ac:dyDescent="0.25">
      <c r="B253" s="93">
        <v>43846</v>
      </c>
      <c r="C253" s="48" t="s">
        <v>333</v>
      </c>
      <c r="D253" s="48" t="s">
        <v>330</v>
      </c>
      <c r="E253" s="4" t="s">
        <v>88</v>
      </c>
      <c r="F253" s="49">
        <v>1</v>
      </c>
      <c r="G253" s="4" t="s">
        <v>334</v>
      </c>
      <c r="I253" s="4" t="s">
        <v>149</v>
      </c>
      <c r="K253" s="4" t="str">
        <f>IFERROR(LEFT(T_LEAVE[[#This Row],[EMPLOYEE NAME]],LEN(T_LEAVE[[#This Row],[EMPLOYEE NAME]])-3),"")</f>
        <v>BELMONTE, JOSE MARI</v>
      </c>
      <c r="L253" s="48">
        <f>IFERROR(DATEVALUE(TEXT(RIGHT(T_LEAVE[[#This Row],[LEAVE DATE]],LEN(T_LEAVE[[#This Row],[LEAVE DATE]])-6),"[$-en-US]d-mmm-yyyy;@")),"")</f>
        <v>43847</v>
      </c>
      <c r="M253" s="4" t="str">
        <f>IFERROR(TRIM(T_LEAVE[[#This Row],[TYPE]]),"")</f>
        <v>VACATION LEAVE</v>
      </c>
      <c r="N253" s="69" t="str">
        <f>IFERROR(VLOOKUP(T_LEAVE[[#This Row],[LEAVE TYPE]],T_LEAVETYPE[#All],2,0),"")</f>
        <v>VL</v>
      </c>
    </row>
    <row r="254" spans="2:14" x14ac:dyDescent="0.25">
      <c r="B254" s="93">
        <v>43846</v>
      </c>
      <c r="C254" s="48" t="s">
        <v>335</v>
      </c>
      <c r="D254" s="48" t="s">
        <v>330</v>
      </c>
      <c r="E254" s="4" t="s">
        <v>88</v>
      </c>
      <c r="F254" s="49">
        <v>1</v>
      </c>
      <c r="G254" s="4" t="s">
        <v>334</v>
      </c>
      <c r="I254" s="4" t="s">
        <v>149</v>
      </c>
      <c r="K254" s="4" t="str">
        <f>IFERROR(LEFT(T_LEAVE[[#This Row],[EMPLOYEE NAME]],LEN(T_LEAVE[[#This Row],[EMPLOYEE NAME]])-3),"")</f>
        <v>BELMONTE, JOSE MARI</v>
      </c>
      <c r="L254" s="48">
        <f>IFERROR(DATEVALUE(TEXT(RIGHT(T_LEAVE[[#This Row],[LEAVE DATE]],LEN(T_LEAVE[[#This Row],[LEAVE DATE]])-6),"[$-en-US]d-mmm-yyyy;@")),"")</f>
        <v>43848</v>
      </c>
      <c r="M254" s="4" t="str">
        <f>IFERROR(TRIM(T_LEAVE[[#This Row],[TYPE]]),"")</f>
        <v>VACATION LEAVE</v>
      </c>
      <c r="N254" s="69" t="str">
        <f>IFERROR(VLOOKUP(T_LEAVE[[#This Row],[LEAVE TYPE]],T_LEAVETYPE[#All],2,0),"")</f>
        <v>VL</v>
      </c>
    </row>
    <row r="255" spans="2:14" x14ac:dyDescent="0.25">
      <c r="B255" s="93">
        <v>43846</v>
      </c>
      <c r="C255" s="48" t="s">
        <v>641</v>
      </c>
      <c r="D255" s="48" t="s">
        <v>629</v>
      </c>
      <c r="E255" s="4" t="s">
        <v>89</v>
      </c>
      <c r="F255" s="49">
        <v>1</v>
      </c>
      <c r="G255" s="4" t="s">
        <v>89</v>
      </c>
      <c r="I255" s="4" t="s">
        <v>149</v>
      </c>
      <c r="K255" s="4" t="str">
        <f>IFERROR(LEFT(T_LEAVE[[#This Row],[EMPLOYEE NAME]],LEN(T_LEAVE[[#This Row],[EMPLOYEE NAME]])-3),"")</f>
        <v>JAIME, JACYLYN</v>
      </c>
      <c r="L255" s="48">
        <f>IFERROR(DATEVALUE(TEXT(RIGHT(T_LEAVE[[#This Row],[LEAVE DATE]],LEN(T_LEAVE[[#This Row],[LEAVE DATE]])-6),"[$-en-US]d-mmm-yyyy;@")),"")</f>
        <v>43844</v>
      </c>
      <c r="M255" s="4" t="str">
        <f>IFERROR(TRIM(T_LEAVE[[#This Row],[TYPE]]),"")</f>
        <v>SICK LEAVE</v>
      </c>
      <c r="N255" s="69" t="str">
        <f>IFERROR(VLOOKUP(T_LEAVE[[#This Row],[LEAVE TYPE]],T_LEAVETYPE[#All],2,0),"")</f>
        <v>SL</v>
      </c>
    </row>
    <row r="256" spans="2:14" x14ac:dyDescent="0.25">
      <c r="B256" s="93">
        <v>43846</v>
      </c>
      <c r="C256" s="48" t="s">
        <v>763</v>
      </c>
      <c r="D256" s="48" t="s">
        <v>753</v>
      </c>
      <c r="E256" s="4" t="s">
        <v>88</v>
      </c>
      <c r="F256" s="49">
        <v>1</v>
      </c>
      <c r="G256" s="4" t="s">
        <v>764</v>
      </c>
      <c r="I256" s="4" t="s">
        <v>149</v>
      </c>
      <c r="K256" s="4" t="str">
        <f>IFERROR(LEFT(T_LEAVE[[#This Row],[EMPLOYEE NAME]],LEN(T_LEAVE[[#This Row],[EMPLOYEE NAME]])-3),"")</f>
        <v>LEGASPI, ARABELLE</v>
      </c>
      <c r="L256" s="48">
        <f>IFERROR(DATEVALUE(TEXT(RIGHT(T_LEAVE[[#This Row],[LEAVE DATE]],LEN(T_LEAVE[[#This Row],[LEAVE DATE]])-6),"[$-en-US]d-mmm-yyyy;@")),"")</f>
        <v>43855</v>
      </c>
      <c r="M256" s="4" t="str">
        <f>IFERROR(TRIM(T_LEAVE[[#This Row],[TYPE]]),"")</f>
        <v>VACATION LEAVE</v>
      </c>
      <c r="N256" s="69" t="str">
        <f>IFERROR(VLOOKUP(T_LEAVE[[#This Row],[LEAVE TYPE]],T_LEAVETYPE[#All],2,0),"")</f>
        <v>VL</v>
      </c>
    </row>
    <row r="257" spans="2:14" x14ac:dyDescent="0.25">
      <c r="B257" s="93">
        <v>43847</v>
      </c>
      <c r="C257" s="48" t="s">
        <v>975</v>
      </c>
      <c r="D257" s="48" t="s">
        <v>971</v>
      </c>
      <c r="E257" s="4" t="s">
        <v>88</v>
      </c>
      <c r="F257" s="49">
        <v>1</v>
      </c>
      <c r="G257" s="4" t="s">
        <v>976</v>
      </c>
      <c r="I257" s="4" t="s">
        <v>149</v>
      </c>
      <c r="K257" s="4" t="str">
        <f>IFERROR(LEFT(T_LEAVE[[#This Row],[EMPLOYEE NAME]],LEN(T_LEAVE[[#This Row],[EMPLOYEE NAME]])-3),"")</f>
        <v>TABIA, JENNIFER</v>
      </c>
      <c r="L257" s="48">
        <f>IFERROR(DATEVALUE(TEXT(RIGHT(T_LEAVE[[#This Row],[LEAVE DATE]],LEN(T_LEAVE[[#This Row],[LEAVE DATE]])-6),"[$-en-US]d-mmm-yyyy;@")),"")</f>
        <v>43856</v>
      </c>
      <c r="M257" s="4" t="str">
        <f>IFERROR(TRIM(T_LEAVE[[#This Row],[TYPE]]),"")</f>
        <v>VACATION LEAVE</v>
      </c>
      <c r="N257" s="69" t="str">
        <f>IFERROR(VLOOKUP(T_LEAVE[[#This Row],[LEAVE TYPE]],T_LEAVETYPE[#All],2,0),"")</f>
        <v>VL</v>
      </c>
    </row>
    <row r="258" spans="2:14" x14ac:dyDescent="0.25">
      <c r="B258" s="93">
        <v>43847</v>
      </c>
      <c r="C258" s="48" t="s">
        <v>673</v>
      </c>
      <c r="D258" s="48" t="s">
        <v>971</v>
      </c>
      <c r="E258" s="4" t="s">
        <v>88</v>
      </c>
      <c r="F258" s="49">
        <v>1</v>
      </c>
      <c r="G258" s="4" t="s">
        <v>976</v>
      </c>
      <c r="I258" s="4" t="s">
        <v>149</v>
      </c>
      <c r="K258" s="4" t="str">
        <f>IFERROR(LEFT(T_LEAVE[[#This Row],[EMPLOYEE NAME]],LEN(T_LEAVE[[#This Row],[EMPLOYEE NAME]])-3),"")</f>
        <v>TABIA, JENNIFER</v>
      </c>
      <c r="L258" s="48">
        <f>IFERROR(DATEVALUE(TEXT(RIGHT(T_LEAVE[[#This Row],[LEAVE DATE]],LEN(T_LEAVE[[#This Row],[LEAVE DATE]])-6),"[$-en-US]d-mmm-yyyy;@")),"")</f>
        <v>43857</v>
      </c>
      <c r="M258" s="4" t="str">
        <f>IFERROR(TRIM(T_LEAVE[[#This Row],[TYPE]]),"")</f>
        <v>VACATION LEAVE</v>
      </c>
      <c r="N258" s="69" t="str">
        <f>IFERROR(VLOOKUP(T_LEAVE[[#This Row],[LEAVE TYPE]],T_LEAVETYPE[#All],2,0),"")</f>
        <v>VL</v>
      </c>
    </row>
    <row r="259" spans="2:14" x14ac:dyDescent="0.25">
      <c r="B259" s="93">
        <v>43848</v>
      </c>
      <c r="C259" s="48" t="s">
        <v>641</v>
      </c>
      <c r="D259" s="48" t="s">
        <v>847</v>
      </c>
      <c r="E259" s="4" t="s">
        <v>89</v>
      </c>
      <c r="F259" s="49">
        <v>1</v>
      </c>
      <c r="G259" s="4" t="s">
        <v>850</v>
      </c>
      <c r="I259" s="4" t="s">
        <v>149</v>
      </c>
      <c r="K259" s="4" t="str">
        <f>IFERROR(LEFT(T_LEAVE[[#This Row],[EMPLOYEE NAME]],LEN(T_LEAVE[[#This Row],[EMPLOYEE NAME]])-3),"")</f>
        <v>MATIGNAS, JAYDEE</v>
      </c>
      <c r="L259" s="48">
        <f>IFERROR(DATEVALUE(TEXT(RIGHT(T_LEAVE[[#This Row],[LEAVE DATE]],LEN(T_LEAVE[[#This Row],[LEAVE DATE]])-6),"[$-en-US]d-mmm-yyyy;@")),"")</f>
        <v>43844</v>
      </c>
      <c r="M259" s="4" t="str">
        <f>IFERROR(TRIM(T_LEAVE[[#This Row],[TYPE]]),"")</f>
        <v>SICK LEAVE</v>
      </c>
      <c r="N259" s="69" t="str">
        <f>IFERROR(VLOOKUP(T_LEAVE[[#This Row],[LEAVE TYPE]],T_LEAVETYPE[#All],2,0),"")</f>
        <v>SL</v>
      </c>
    </row>
    <row r="260" spans="2:14" x14ac:dyDescent="0.25">
      <c r="B260" s="93">
        <v>43848</v>
      </c>
      <c r="C260" s="48" t="s">
        <v>851</v>
      </c>
      <c r="D260" s="48" t="s">
        <v>847</v>
      </c>
      <c r="E260" s="4" t="s">
        <v>89</v>
      </c>
      <c r="F260" s="49">
        <v>1</v>
      </c>
      <c r="G260" s="4" t="s">
        <v>850</v>
      </c>
      <c r="I260" s="4" t="s">
        <v>149</v>
      </c>
      <c r="K260" s="4" t="str">
        <f>IFERROR(LEFT(T_LEAVE[[#This Row],[EMPLOYEE NAME]],LEN(T_LEAVE[[#This Row],[EMPLOYEE NAME]])-3),"")</f>
        <v>MATIGNAS, JAYDEE</v>
      </c>
      <c r="L260" s="48">
        <f>IFERROR(DATEVALUE(TEXT(RIGHT(T_LEAVE[[#This Row],[LEAVE DATE]],LEN(T_LEAVE[[#This Row],[LEAVE DATE]])-6),"[$-en-US]d-mmm-yyyy;@")),"")</f>
        <v>43845</v>
      </c>
      <c r="M260" s="4" t="str">
        <f>IFERROR(TRIM(T_LEAVE[[#This Row],[TYPE]]),"")</f>
        <v>SICK LEAVE</v>
      </c>
      <c r="N260" s="69" t="str">
        <f>IFERROR(VLOOKUP(T_LEAVE[[#This Row],[LEAVE TYPE]],T_LEAVETYPE[#All],2,0),"")</f>
        <v>SL</v>
      </c>
    </row>
    <row r="261" spans="2:14" x14ac:dyDescent="0.25">
      <c r="B261" s="93">
        <v>43848</v>
      </c>
      <c r="C261" s="48" t="s">
        <v>852</v>
      </c>
      <c r="D261" s="48" t="s">
        <v>847</v>
      </c>
      <c r="E261" s="4" t="s">
        <v>89</v>
      </c>
      <c r="F261" s="49">
        <v>1</v>
      </c>
      <c r="G261" s="4" t="s">
        <v>850</v>
      </c>
      <c r="I261" s="4" t="s">
        <v>149</v>
      </c>
      <c r="K261" s="4" t="str">
        <f>IFERROR(LEFT(T_LEAVE[[#This Row],[EMPLOYEE NAME]],LEN(T_LEAVE[[#This Row],[EMPLOYEE NAME]])-3),"")</f>
        <v>MATIGNAS, JAYDEE</v>
      </c>
      <c r="L261" s="48">
        <f>IFERROR(DATEVALUE(TEXT(RIGHT(T_LEAVE[[#This Row],[LEAVE DATE]],LEN(T_LEAVE[[#This Row],[LEAVE DATE]])-6),"[$-en-US]d-mmm-yyyy;@")),"")</f>
        <v>43846</v>
      </c>
      <c r="M261" s="4" t="str">
        <f>IFERROR(TRIM(T_LEAVE[[#This Row],[TYPE]]),"")</f>
        <v>SICK LEAVE</v>
      </c>
      <c r="N261" s="69" t="str">
        <f>IFERROR(VLOOKUP(T_LEAVE[[#This Row],[LEAVE TYPE]],T_LEAVETYPE[#All],2,0),"")</f>
        <v>SL</v>
      </c>
    </row>
    <row r="262" spans="2:14" x14ac:dyDescent="0.25">
      <c r="B262" s="93">
        <v>43850</v>
      </c>
      <c r="C262" s="48" t="s">
        <v>522</v>
      </c>
      <c r="D262" s="48" t="s">
        <v>517</v>
      </c>
      <c r="E262" s="4" t="s">
        <v>88</v>
      </c>
      <c r="F262" s="49">
        <v>1</v>
      </c>
      <c r="G262" s="4" t="s">
        <v>523</v>
      </c>
      <c r="I262" s="4" t="s">
        <v>149</v>
      </c>
      <c r="J262" s="4" t="s">
        <v>524</v>
      </c>
      <c r="K262" s="4" t="str">
        <f>IFERROR(LEFT(T_LEAVE[[#This Row],[EMPLOYEE NAME]],LEN(T_LEAVE[[#This Row],[EMPLOYEE NAME]])-3),"")</f>
        <v>FESTEJO, ABIEL CAMBYSES</v>
      </c>
      <c r="L262" s="48">
        <f>IFERROR(DATEVALUE(TEXT(RIGHT(T_LEAVE[[#This Row],[LEAVE DATE]],LEN(T_LEAVE[[#This Row],[LEAVE DATE]])-6),"[$-en-US]d-mmm-yyyy;@")),"")</f>
        <v>43854</v>
      </c>
      <c r="M262" s="4" t="str">
        <f>IFERROR(TRIM(T_LEAVE[[#This Row],[TYPE]]),"")</f>
        <v>VACATION LEAVE</v>
      </c>
      <c r="N262" s="69" t="str">
        <f>IFERROR(VLOOKUP(T_LEAVE[[#This Row],[LEAVE TYPE]],T_LEAVETYPE[#All],2,0),"")</f>
        <v>VL</v>
      </c>
    </row>
    <row r="263" spans="2:14" x14ac:dyDescent="0.25">
      <c r="B263" s="93">
        <v>43852</v>
      </c>
      <c r="C263" s="48" t="s">
        <v>658</v>
      </c>
      <c r="D263" s="48" t="s">
        <v>655</v>
      </c>
      <c r="E263" s="4" t="s">
        <v>89</v>
      </c>
      <c r="F263" s="49">
        <v>1</v>
      </c>
      <c r="G263" s="4" t="s">
        <v>659</v>
      </c>
      <c r="I263" s="4" t="s">
        <v>149</v>
      </c>
      <c r="K263" s="4" t="str">
        <f>IFERROR(LEFT(T_LEAVE[[#This Row],[EMPLOYEE NAME]],LEN(T_LEAVE[[#This Row],[EMPLOYEE NAME]])-3),"")</f>
        <v>JUANILLO, ROELYN DELA PIZA</v>
      </c>
      <c r="L263" s="48">
        <f>IFERROR(DATEVALUE(TEXT(RIGHT(T_LEAVE[[#This Row],[LEAVE DATE]],LEN(T_LEAVE[[#This Row],[LEAVE DATE]])-6),"[$-en-US]d-mmm-yyyy;@")),"")</f>
        <v>43850</v>
      </c>
      <c r="M263" s="4" t="str">
        <f>IFERROR(TRIM(T_LEAVE[[#This Row],[TYPE]]),"")</f>
        <v>SICK LEAVE</v>
      </c>
      <c r="N263" s="69" t="str">
        <f>IFERROR(VLOOKUP(T_LEAVE[[#This Row],[LEAVE TYPE]],T_LEAVETYPE[#All],2,0),"")</f>
        <v>SL</v>
      </c>
    </row>
    <row r="264" spans="2:14" x14ac:dyDescent="0.25">
      <c r="B264" s="93">
        <v>43852</v>
      </c>
      <c r="C264" s="48" t="s">
        <v>658</v>
      </c>
      <c r="D264" s="48" t="s">
        <v>889</v>
      </c>
      <c r="E264" s="4" t="s">
        <v>89</v>
      </c>
      <c r="F264" s="49">
        <v>1</v>
      </c>
      <c r="G264" s="4" t="s">
        <v>288</v>
      </c>
      <c r="I264" s="4" t="s">
        <v>149</v>
      </c>
      <c r="K264" s="4" t="str">
        <f>IFERROR(LEFT(T_LEAVE[[#This Row],[EMPLOYEE NAME]],LEN(T_LEAVE[[#This Row],[EMPLOYEE NAME]])-3),"")</f>
        <v>MONTIEL, HEIZEL</v>
      </c>
      <c r="L264" s="48">
        <f>IFERROR(DATEVALUE(TEXT(RIGHT(T_LEAVE[[#This Row],[LEAVE DATE]],LEN(T_LEAVE[[#This Row],[LEAVE DATE]])-6),"[$-en-US]d-mmm-yyyy;@")),"")</f>
        <v>43850</v>
      </c>
      <c r="M264" s="4" t="str">
        <f>IFERROR(TRIM(T_LEAVE[[#This Row],[TYPE]]),"")</f>
        <v>SICK LEAVE</v>
      </c>
      <c r="N264" s="69" t="str">
        <f>IFERROR(VLOOKUP(T_LEAVE[[#This Row],[LEAVE TYPE]],T_LEAVETYPE[#All],2,0),"")</f>
        <v>SL</v>
      </c>
    </row>
    <row r="265" spans="2:14" x14ac:dyDescent="0.25">
      <c r="B265" s="93">
        <v>43852</v>
      </c>
      <c r="C265" s="48" t="s">
        <v>891</v>
      </c>
      <c r="D265" s="48" t="s">
        <v>889</v>
      </c>
      <c r="E265" s="4" t="s">
        <v>89</v>
      </c>
      <c r="F265" s="49">
        <v>1</v>
      </c>
      <c r="G265" s="4" t="s">
        <v>288</v>
      </c>
      <c r="I265" s="4" t="s">
        <v>149</v>
      </c>
      <c r="K265" s="4" t="str">
        <f>IFERROR(LEFT(T_LEAVE[[#This Row],[EMPLOYEE NAME]],LEN(T_LEAVE[[#This Row],[EMPLOYEE NAME]])-3),"")</f>
        <v>MONTIEL, HEIZEL</v>
      </c>
      <c r="L265" s="48">
        <f>IFERROR(DATEVALUE(TEXT(RIGHT(T_LEAVE[[#This Row],[LEAVE DATE]],LEN(T_LEAVE[[#This Row],[LEAVE DATE]])-6),"[$-en-US]d-mmm-yyyy;@")),"")</f>
        <v>43851</v>
      </c>
      <c r="M265" s="4" t="str">
        <f>IFERROR(TRIM(T_LEAVE[[#This Row],[TYPE]]),"")</f>
        <v>SICK LEAVE</v>
      </c>
      <c r="N265" s="69" t="str">
        <f>IFERROR(VLOOKUP(T_LEAVE[[#This Row],[LEAVE TYPE]],T_LEAVETYPE[#All],2,0),"")</f>
        <v>SL</v>
      </c>
    </row>
    <row r="266" spans="2:14" x14ac:dyDescent="0.25">
      <c r="B266" s="93">
        <v>43853</v>
      </c>
      <c r="C266" s="48" t="s">
        <v>225</v>
      </c>
      <c r="D266" s="48" t="s">
        <v>317</v>
      </c>
      <c r="E266" s="4" t="s">
        <v>88</v>
      </c>
      <c r="F266" s="49">
        <v>1</v>
      </c>
      <c r="G266" s="4" t="s">
        <v>319</v>
      </c>
      <c r="I266" s="4" t="s">
        <v>149</v>
      </c>
      <c r="J266" s="4" t="s">
        <v>320</v>
      </c>
      <c r="K266" s="4" t="str">
        <f>IFERROR(LEFT(T_LEAVE[[#This Row],[EMPLOYEE NAME]],LEN(T_LEAVE[[#This Row],[EMPLOYEE NAME]])-3),"")</f>
        <v>BAUTISTA, JOY MARI</v>
      </c>
      <c r="L266" s="48">
        <f>IFERROR(DATEVALUE(TEXT(RIGHT(T_LEAVE[[#This Row],[LEAVE DATE]],LEN(T_LEAVE[[#This Row],[LEAVE DATE]])-6),"[$-en-US]d-mmm-yyyy;@")),"")</f>
        <v>43875</v>
      </c>
      <c r="M266" s="4" t="str">
        <f>IFERROR(TRIM(T_LEAVE[[#This Row],[TYPE]]),"")</f>
        <v>VACATION LEAVE</v>
      </c>
      <c r="N266" s="69" t="str">
        <f>IFERROR(VLOOKUP(T_LEAVE[[#This Row],[LEAVE TYPE]],T_LEAVETYPE[#All],2,0),"")</f>
        <v>VL</v>
      </c>
    </row>
    <row r="267" spans="2:14" x14ac:dyDescent="0.25">
      <c r="B267" s="93">
        <v>43853</v>
      </c>
      <c r="C267" s="48" t="s">
        <v>321</v>
      </c>
      <c r="D267" s="48" t="s">
        <v>317</v>
      </c>
      <c r="E267" s="4" t="s">
        <v>88</v>
      </c>
      <c r="F267" s="49">
        <v>1</v>
      </c>
      <c r="G267" s="4" t="s">
        <v>319</v>
      </c>
      <c r="I267" s="4" t="s">
        <v>149</v>
      </c>
      <c r="J267" s="4" t="s">
        <v>320</v>
      </c>
      <c r="K267" s="4" t="str">
        <f>IFERROR(LEFT(T_LEAVE[[#This Row],[EMPLOYEE NAME]],LEN(T_LEAVE[[#This Row],[EMPLOYEE NAME]])-3),"")</f>
        <v>BAUTISTA, JOY MARI</v>
      </c>
      <c r="L267" s="48">
        <f>IFERROR(DATEVALUE(TEXT(RIGHT(T_LEAVE[[#This Row],[LEAVE DATE]],LEN(T_LEAVE[[#This Row],[LEAVE DATE]])-6),"[$-en-US]d-mmm-yyyy;@")),"")</f>
        <v>43878</v>
      </c>
      <c r="M267" s="4" t="str">
        <f>IFERROR(TRIM(T_LEAVE[[#This Row],[TYPE]]),"")</f>
        <v>VACATION LEAVE</v>
      </c>
      <c r="N267" s="69" t="str">
        <f>IFERROR(VLOOKUP(T_LEAVE[[#This Row],[LEAVE TYPE]],T_LEAVETYPE[#All],2,0),"")</f>
        <v>VL</v>
      </c>
    </row>
    <row r="268" spans="2:14" x14ac:dyDescent="0.25">
      <c r="B268" s="93">
        <v>43853</v>
      </c>
      <c r="C268" s="48" t="s">
        <v>168</v>
      </c>
      <c r="D268" s="48" t="s">
        <v>691</v>
      </c>
      <c r="E268" s="4" t="s">
        <v>88</v>
      </c>
      <c r="F268" s="49">
        <v>1</v>
      </c>
      <c r="G268" s="4" t="s">
        <v>711</v>
      </c>
      <c r="I268" s="4" t="s">
        <v>149</v>
      </c>
      <c r="J268" s="4" t="s">
        <v>675</v>
      </c>
      <c r="K268" s="4" t="str">
        <f>IFERROR(LEFT(T_LEAVE[[#This Row],[EMPLOYEE NAME]],LEN(T_LEAVE[[#This Row],[EMPLOYEE NAME]])-3),"")</f>
        <v>LATUGA, PHOEBE</v>
      </c>
      <c r="L268" s="48">
        <f>IFERROR(DATEVALUE(TEXT(RIGHT(T_LEAVE[[#This Row],[LEAVE DATE]],LEN(T_LEAVE[[#This Row],[LEAVE DATE]])-6),"[$-en-US]d-mmm-yyyy;@")),"")</f>
        <v>43862</v>
      </c>
      <c r="M268" s="4" t="str">
        <f>IFERROR(TRIM(T_LEAVE[[#This Row],[TYPE]]),"")</f>
        <v>VACATION LEAVE</v>
      </c>
      <c r="N268" s="69" t="str">
        <f>IFERROR(VLOOKUP(T_LEAVE[[#This Row],[LEAVE TYPE]],T_LEAVETYPE[#All],2,0),"")</f>
        <v>VL</v>
      </c>
    </row>
    <row r="269" spans="2:14" x14ac:dyDescent="0.25">
      <c r="B269" s="93">
        <v>43853</v>
      </c>
      <c r="C269" s="48" t="s">
        <v>169</v>
      </c>
      <c r="D269" s="48" t="s">
        <v>691</v>
      </c>
      <c r="E269" s="4" t="s">
        <v>88</v>
      </c>
      <c r="F269" s="49">
        <v>1</v>
      </c>
      <c r="G269" s="4" t="s">
        <v>711</v>
      </c>
      <c r="I269" s="4" t="s">
        <v>149</v>
      </c>
      <c r="J269" s="4" t="s">
        <v>675</v>
      </c>
      <c r="K269" s="4" t="str">
        <f>IFERROR(LEFT(T_LEAVE[[#This Row],[EMPLOYEE NAME]],LEN(T_LEAVE[[#This Row],[EMPLOYEE NAME]])-3),"")</f>
        <v>LATUGA, PHOEBE</v>
      </c>
      <c r="L269" s="48">
        <f>IFERROR(DATEVALUE(TEXT(RIGHT(T_LEAVE[[#This Row],[LEAVE DATE]],LEN(T_LEAVE[[#This Row],[LEAVE DATE]])-6),"[$-en-US]d-mmm-yyyy;@")),"")</f>
        <v>43863</v>
      </c>
      <c r="M269" s="4" t="str">
        <f>IFERROR(TRIM(T_LEAVE[[#This Row],[TYPE]]),"")</f>
        <v>VACATION LEAVE</v>
      </c>
      <c r="N269" s="69" t="str">
        <f>IFERROR(VLOOKUP(T_LEAVE[[#This Row],[LEAVE TYPE]],T_LEAVETYPE[#All],2,0),"")</f>
        <v>VL</v>
      </c>
    </row>
    <row r="270" spans="2:14" x14ac:dyDescent="0.25">
      <c r="B270" s="93">
        <v>43853</v>
      </c>
      <c r="C270" s="48" t="s">
        <v>466</v>
      </c>
      <c r="D270" s="48" t="s">
        <v>691</v>
      </c>
      <c r="E270" s="4" t="s">
        <v>88</v>
      </c>
      <c r="F270" s="49">
        <v>1</v>
      </c>
      <c r="G270" s="4" t="s">
        <v>711</v>
      </c>
      <c r="I270" s="4" t="s">
        <v>149</v>
      </c>
      <c r="J270" s="4" t="s">
        <v>675</v>
      </c>
      <c r="K270" s="4" t="str">
        <f>IFERROR(LEFT(T_LEAVE[[#This Row],[EMPLOYEE NAME]],LEN(T_LEAVE[[#This Row],[EMPLOYEE NAME]])-3),"")</f>
        <v>LATUGA, PHOEBE</v>
      </c>
      <c r="L270" s="48">
        <f>IFERROR(DATEVALUE(TEXT(RIGHT(T_LEAVE[[#This Row],[LEAVE DATE]],LEN(T_LEAVE[[#This Row],[LEAVE DATE]])-6),"[$-en-US]d-mmm-yyyy;@")),"")</f>
        <v>43864</v>
      </c>
      <c r="M270" s="4" t="str">
        <f>IFERROR(TRIM(T_LEAVE[[#This Row],[TYPE]]),"")</f>
        <v>VACATION LEAVE</v>
      </c>
      <c r="N270" s="69" t="str">
        <f>IFERROR(VLOOKUP(T_LEAVE[[#This Row],[LEAVE TYPE]],T_LEAVETYPE[#All],2,0),"")</f>
        <v>VL</v>
      </c>
    </row>
    <row r="271" spans="2:14" x14ac:dyDescent="0.25">
      <c r="B271" s="93">
        <v>43853</v>
      </c>
      <c r="C271" s="48" t="s">
        <v>168</v>
      </c>
      <c r="D271" s="48" t="s">
        <v>811</v>
      </c>
      <c r="E271" s="4" t="s">
        <v>88</v>
      </c>
      <c r="F271" s="49">
        <v>1</v>
      </c>
      <c r="G271" s="4" t="s">
        <v>812</v>
      </c>
      <c r="I271" s="4" t="s">
        <v>149</v>
      </c>
      <c r="J271" s="4" t="s">
        <v>813</v>
      </c>
      <c r="K271" s="4" t="str">
        <f>IFERROR(LEFT(T_LEAVE[[#This Row],[EMPLOYEE NAME]],LEN(T_LEAVE[[#This Row],[EMPLOYEE NAME]])-3),"")</f>
        <v>MAGNO, ALVIN</v>
      </c>
      <c r="L271" s="48">
        <f>IFERROR(DATEVALUE(TEXT(RIGHT(T_LEAVE[[#This Row],[LEAVE DATE]],LEN(T_LEAVE[[#This Row],[LEAVE DATE]])-6),"[$-en-US]d-mmm-yyyy;@")),"")</f>
        <v>43862</v>
      </c>
      <c r="M271" s="4" t="str">
        <f>IFERROR(TRIM(T_LEAVE[[#This Row],[TYPE]]),"")</f>
        <v>VACATION LEAVE</v>
      </c>
      <c r="N271" s="69" t="str">
        <f>IFERROR(VLOOKUP(T_LEAVE[[#This Row],[LEAVE TYPE]],T_LEAVETYPE[#All],2,0),"")</f>
        <v>VL</v>
      </c>
    </row>
    <row r="272" spans="2:14" x14ac:dyDescent="0.25">
      <c r="B272" s="93">
        <v>43854</v>
      </c>
      <c r="C272" s="48" t="s">
        <v>335</v>
      </c>
      <c r="D272" s="48" t="s">
        <v>753</v>
      </c>
      <c r="E272" s="4" t="s">
        <v>88</v>
      </c>
      <c r="F272" s="49">
        <v>1</v>
      </c>
      <c r="G272" s="4" t="s">
        <v>762</v>
      </c>
      <c r="I272" s="4" t="s">
        <v>149</v>
      </c>
      <c r="K272" s="4" t="str">
        <f>IFERROR(LEFT(T_LEAVE[[#This Row],[EMPLOYEE NAME]],LEN(T_LEAVE[[#This Row],[EMPLOYEE NAME]])-3),"")</f>
        <v>LEGASPI, ARABELLE</v>
      </c>
      <c r="L272" s="48">
        <f>IFERROR(DATEVALUE(TEXT(RIGHT(T_LEAVE[[#This Row],[LEAVE DATE]],LEN(T_LEAVE[[#This Row],[LEAVE DATE]])-6),"[$-en-US]d-mmm-yyyy;@")),"")</f>
        <v>43848</v>
      </c>
      <c r="M272" s="4" t="str">
        <f>IFERROR(TRIM(T_LEAVE[[#This Row],[TYPE]]),"")</f>
        <v>VACATION LEAVE</v>
      </c>
      <c r="N272" s="69" t="str">
        <f>IFERROR(VLOOKUP(T_LEAVE[[#This Row],[LEAVE TYPE]],T_LEAVETYPE[#All],2,0),"")</f>
        <v>VL</v>
      </c>
    </row>
    <row r="273" spans="2:14" x14ac:dyDescent="0.25">
      <c r="B273" s="93">
        <v>43854</v>
      </c>
      <c r="C273" s="48" t="s">
        <v>168</v>
      </c>
      <c r="D273" s="48" t="s">
        <v>1033</v>
      </c>
      <c r="E273" s="4" t="s">
        <v>88</v>
      </c>
      <c r="F273" s="49">
        <v>1</v>
      </c>
      <c r="G273" s="4" t="s">
        <v>52</v>
      </c>
      <c r="I273" s="4" t="s">
        <v>149</v>
      </c>
      <c r="J273" s="4" t="s">
        <v>1044</v>
      </c>
      <c r="K273" s="4" t="str">
        <f>IFERROR(LEFT(T_LEAVE[[#This Row],[EMPLOYEE NAME]],LEN(T_LEAVE[[#This Row],[EMPLOYEE NAME]])-3),"")</f>
        <v>VALLADARES, ALLEN</v>
      </c>
      <c r="L273" s="48">
        <f>IFERROR(DATEVALUE(TEXT(RIGHT(T_LEAVE[[#This Row],[LEAVE DATE]],LEN(T_LEAVE[[#This Row],[LEAVE DATE]])-6),"[$-en-US]d-mmm-yyyy;@")),"")</f>
        <v>43862</v>
      </c>
      <c r="M273" s="4" t="str">
        <f>IFERROR(TRIM(T_LEAVE[[#This Row],[TYPE]]),"")</f>
        <v>VACATION LEAVE</v>
      </c>
      <c r="N273" s="69" t="str">
        <f>IFERROR(VLOOKUP(T_LEAVE[[#This Row],[LEAVE TYPE]],T_LEAVETYPE[#All],2,0),"")</f>
        <v>VL</v>
      </c>
    </row>
    <row r="274" spans="2:14" x14ac:dyDescent="0.25">
      <c r="B274" s="93">
        <v>43858</v>
      </c>
      <c r="C274" s="48" t="s">
        <v>525</v>
      </c>
      <c r="D274" s="48" t="s">
        <v>517</v>
      </c>
      <c r="E274" s="4" t="s">
        <v>88</v>
      </c>
      <c r="F274" s="49">
        <v>1</v>
      </c>
      <c r="G274" s="4" t="s">
        <v>526</v>
      </c>
      <c r="I274" s="4" t="s">
        <v>149</v>
      </c>
      <c r="J274" s="4" t="s">
        <v>524</v>
      </c>
      <c r="K274" s="4" t="str">
        <f>IFERROR(LEFT(T_LEAVE[[#This Row],[EMPLOYEE NAME]],LEN(T_LEAVE[[#This Row],[EMPLOYEE NAME]])-3),"")</f>
        <v>FESTEJO, ABIEL CAMBYSES</v>
      </c>
      <c r="L274" s="48">
        <f>IFERROR(DATEVALUE(TEXT(RIGHT(T_LEAVE[[#This Row],[LEAVE DATE]],LEN(T_LEAVE[[#This Row],[LEAVE DATE]])-6),"[$-en-US]d-mmm-yyyy;@")),"")</f>
        <v>43882</v>
      </c>
      <c r="M274" s="4" t="str">
        <f>IFERROR(TRIM(T_LEAVE[[#This Row],[TYPE]]),"")</f>
        <v>VACATION LEAVE</v>
      </c>
      <c r="N274" s="69" t="str">
        <f>IFERROR(VLOOKUP(T_LEAVE[[#This Row],[LEAVE TYPE]],T_LEAVETYPE[#All],2,0),"")</f>
        <v>VL</v>
      </c>
    </row>
    <row r="275" spans="2:14" x14ac:dyDescent="0.25">
      <c r="B275" s="93">
        <v>43858</v>
      </c>
      <c r="C275" s="48" t="s">
        <v>504</v>
      </c>
      <c r="D275" s="48" t="s">
        <v>923</v>
      </c>
      <c r="E275" s="4" t="s">
        <v>88</v>
      </c>
      <c r="F275" s="49">
        <v>1</v>
      </c>
      <c r="G275" s="4" t="s">
        <v>931</v>
      </c>
      <c r="I275" s="4" t="s">
        <v>149</v>
      </c>
      <c r="J275" s="4" t="s">
        <v>932</v>
      </c>
      <c r="K275" s="4" t="str">
        <f>IFERROR(LEFT(T_LEAVE[[#This Row],[EMPLOYEE NAME]],LEN(T_LEAVE[[#This Row],[EMPLOYEE NAME]])-3),"")</f>
        <v>REOTIREZ, REYMONG</v>
      </c>
      <c r="L275" s="48">
        <f>IFERROR(DATEVALUE(TEXT(RIGHT(T_LEAVE[[#This Row],[LEAVE DATE]],LEN(T_LEAVE[[#This Row],[LEAVE DATE]])-6),"[$-en-US]d-mmm-yyyy;@")),"")</f>
        <v>43874</v>
      </c>
      <c r="M275" s="4" t="str">
        <f>IFERROR(TRIM(T_LEAVE[[#This Row],[TYPE]]),"")</f>
        <v>VACATION LEAVE</v>
      </c>
      <c r="N275" s="69" t="str">
        <f>IFERROR(VLOOKUP(T_LEAVE[[#This Row],[LEAVE TYPE]],T_LEAVETYPE[#All],2,0),"")</f>
        <v>VL</v>
      </c>
    </row>
    <row r="276" spans="2:14" x14ac:dyDescent="0.25">
      <c r="B276" s="93">
        <v>43858</v>
      </c>
      <c r="C276" s="48" t="s">
        <v>225</v>
      </c>
      <c r="D276" s="48" t="s">
        <v>923</v>
      </c>
      <c r="E276" s="4" t="s">
        <v>88</v>
      </c>
      <c r="F276" s="49">
        <v>1</v>
      </c>
      <c r="G276" s="4" t="s">
        <v>931</v>
      </c>
      <c r="I276" s="4" t="s">
        <v>149</v>
      </c>
      <c r="J276" s="4" t="s">
        <v>932</v>
      </c>
      <c r="K276" s="4" t="str">
        <f>IFERROR(LEFT(T_LEAVE[[#This Row],[EMPLOYEE NAME]],LEN(T_LEAVE[[#This Row],[EMPLOYEE NAME]])-3),"")</f>
        <v>REOTIREZ, REYMONG</v>
      </c>
      <c r="L276" s="48">
        <f>IFERROR(DATEVALUE(TEXT(RIGHT(T_LEAVE[[#This Row],[LEAVE DATE]],LEN(T_LEAVE[[#This Row],[LEAVE DATE]])-6),"[$-en-US]d-mmm-yyyy;@")),"")</f>
        <v>43875</v>
      </c>
      <c r="M276" s="4" t="str">
        <f>IFERROR(TRIM(T_LEAVE[[#This Row],[TYPE]]),"")</f>
        <v>VACATION LEAVE</v>
      </c>
      <c r="N276" s="69" t="str">
        <f>IFERROR(VLOOKUP(T_LEAVE[[#This Row],[LEAVE TYPE]],T_LEAVETYPE[#All],2,0),"")</f>
        <v>VL</v>
      </c>
    </row>
    <row r="277" spans="2:14" x14ac:dyDescent="0.25">
      <c r="B277" s="93">
        <v>43858</v>
      </c>
      <c r="C277" s="48" t="s">
        <v>228</v>
      </c>
      <c r="D277" s="48" t="s">
        <v>923</v>
      </c>
      <c r="E277" s="4" t="s">
        <v>88</v>
      </c>
      <c r="F277" s="49">
        <v>1</v>
      </c>
      <c r="G277" s="4" t="s">
        <v>931</v>
      </c>
      <c r="I277" s="4" t="s">
        <v>149</v>
      </c>
      <c r="J277" s="4" t="s">
        <v>932</v>
      </c>
      <c r="K277" s="4" t="str">
        <f>IFERROR(LEFT(T_LEAVE[[#This Row],[EMPLOYEE NAME]],LEN(T_LEAVE[[#This Row],[EMPLOYEE NAME]])-3),"")</f>
        <v>REOTIREZ, REYMONG</v>
      </c>
      <c r="L277" s="48">
        <f>IFERROR(DATEVALUE(TEXT(RIGHT(T_LEAVE[[#This Row],[LEAVE DATE]],LEN(T_LEAVE[[#This Row],[LEAVE DATE]])-6),"[$-en-US]d-mmm-yyyy;@")),"")</f>
        <v>43876</v>
      </c>
      <c r="M277" s="4" t="str">
        <f>IFERROR(TRIM(T_LEAVE[[#This Row],[TYPE]]),"")</f>
        <v>VACATION LEAVE</v>
      </c>
      <c r="N277" s="69" t="str">
        <f>IFERROR(VLOOKUP(T_LEAVE[[#This Row],[LEAVE TYPE]],T_LEAVETYPE[#All],2,0),"")</f>
        <v>VL</v>
      </c>
    </row>
    <row r="278" spans="2:14" x14ac:dyDescent="0.25">
      <c r="B278" s="93">
        <v>43859</v>
      </c>
      <c r="C278" s="48" t="s">
        <v>229</v>
      </c>
      <c r="D278" s="48" t="s">
        <v>480</v>
      </c>
      <c r="E278" s="4" t="s">
        <v>88</v>
      </c>
      <c r="F278" s="49">
        <v>1</v>
      </c>
      <c r="G278" s="4" t="s">
        <v>484</v>
      </c>
      <c r="I278" s="4" t="s">
        <v>149</v>
      </c>
      <c r="J278" s="4" t="s">
        <v>485</v>
      </c>
      <c r="K278" s="4" t="str">
        <f>IFERROR(LEFT(T_LEAVE[[#This Row],[EMPLOYEE NAME]],LEN(T_LEAVE[[#This Row],[EMPLOYEE NAME]])-3),"")</f>
        <v>DELA CRUZ, R-JOHN</v>
      </c>
      <c r="L278" s="48">
        <f>IFERROR(DATEVALUE(TEXT(RIGHT(T_LEAVE[[#This Row],[LEAVE DATE]],LEN(T_LEAVE[[#This Row],[LEAVE DATE]])-6),"[$-en-US]d-mmm-yyyy;@")),"")</f>
        <v>43879</v>
      </c>
      <c r="M278" s="4" t="str">
        <f>IFERROR(TRIM(T_LEAVE[[#This Row],[TYPE]]),"")</f>
        <v>VACATION LEAVE</v>
      </c>
      <c r="N278" s="69" t="str">
        <f>IFERROR(VLOOKUP(T_LEAVE[[#This Row],[LEAVE TYPE]],T_LEAVETYPE[#All],2,0),"")</f>
        <v>VL</v>
      </c>
    </row>
    <row r="279" spans="2:14" x14ac:dyDescent="0.25">
      <c r="B279" s="93">
        <v>43859</v>
      </c>
      <c r="C279" s="48" t="s">
        <v>486</v>
      </c>
      <c r="D279" s="48" t="s">
        <v>480</v>
      </c>
      <c r="E279" s="4" t="s">
        <v>88</v>
      </c>
      <c r="F279" s="49">
        <v>1</v>
      </c>
      <c r="G279" s="4" t="s">
        <v>484</v>
      </c>
      <c r="I279" s="4" t="s">
        <v>149</v>
      </c>
      <c r="J279" s="4" t="s">
        <v>485</v>
      </c>
      <c r="K279" s="4" t="str">
        <f>IFERROR(LEFT(T_LEAVE[[#This Row],[EMPLOYEE NAME]],LEN(T_LEAVE[[#This Row],[EMPLOYEE NAME]])-3),"")</f>
        <v>DELA CRUZ, R-JOHN</v>
      </c>
      <c r="L279" s="48">
        <f>IFERROR(DATEVALUE(TEXT(RIGHT(T_LEAVE[[#This Row],[LEAVE DATE]],LEN(T_LEAVE[[#This Row],[LEAVE DATE]])-6),"[$-en-US]d-mmm-yyyy;@")),"")</f>
        <v>43880</v>
      </c>
      <c r="M279" s="4" t="str">
        <f>IFERROR(TRIM(T_LEAVE[[#This Row],[TYPE]]),"")</f>
        <v>VACATION LEAVE</v>
      </c>
      <c r="N279" s="69" t="str">
        <f>IFERROR(VLOOKUP(T_LEAVE[[#This Row],[LEAVE TYPE]],T_LEAVETYPE[#All],2,0),"")</f>
        <v>VL</v>
      </c>
    </row>
    <row r="280" spans="2:14" x14ac:dyDescent="0.25">
      <c r="B280" s="93">
        <v>43859</v>
      </c>
      <c r="C280" s="48" t="s">
        <v>673</v>
      </c>
      <c r="D280" s="48" t="s">
        <v>666</v>
      </c>
      <c r="E280" s="4" t="s">
        <v>89</v>
      </c>
      <c r="F280" s="49">
        <v>1</v>
      </c>
      <c r="G280" s="4" t="s">
        <v>674</v>
      </c>
      <c r="I280" s="4" t="s">
        <v>149</v>
      </c>
      <c r="J280" s="4" t="s">
        <v>675</v>
      </c>
      <c r="K280" s="4" t="str">
        <f>IFERROR(LEFT(T_LEAVE[[#This Row],[EMPLOYEE NAME]],LEN(T_LEAVE[[#This Row],[EMPLOYEE NAME]])-3),"")</f>
        <v>LARIZA, MELANIE DELA CRUZ</v>
      </c>
      <c r="L280" s="48">
        <f>IFERROR(DATEVALUE(TEXT(RIGHT(T_LEAVE[[#This Row],[LEAVE DATE]],LEN(T_LEAVE[[#This Row],[LEAVE DATE]])-6),"[$-en-US]d-mmm-yyyy;@")),"")</f>
        <v>43857</v>
      </c>
      <c r="M280" s="4" t="str">
        <f>IFERROR(TRIM(T_LEAVE[[#This Row],[TYPE]]),"")</f>
        <v>SICK LEAVE</v>
      </c>
      <c r="N280" s="69" t="str">
        <f>IFERROR(VLOOKUP(T_LEAVE[[#This Row],[LEAVE TYPE]],T_LEAVETYPE[#All],2,0),"")</f>
        <v>SL</v>
      </c>
    </row>
    <row r="281" spans="2:14" x14ac:dyDescent="0.25">
      <c r="B281" s="93">
        <v>43859</v>
      </c>
      <c r="C281" s="48" t="s">
        <v>225</v>
      </c>
      <c r="D281" s="48" t="s">
        <v>666</v>
      </c>
      <c r="E281" s="4" t="s">
        <v>88</v>
      </c>
      <c r="F281" s="49">
        <v>1</v>
      </c>
      <c r="G281" s="4" t="s">
        <v>676</v>
      </c>
      <c r="I281" s="4" t="s">
        <v>149</v>
      </c>
      <c r="J281" s="4" t="s">
        <v>677</v>
      </c>
      <c r="K281" s="4" t="str">
        <f>IFERROR(LEFT(T_LEAVE[[#This Row],[EMPLOYEE NAME]],LEN(T_LEAVE[[#This Row],[EMPLOYEE NAME]])-3),"")</f>
        <v>LARIZA, MELANIE DELA CRUZ</v>
      </c>
      <c r="L281" s="48">
        <f>IFERROR(DATEVALUE(TEXT(RIGHT(T_LEAVE[[#This Row],[LEAVE DATE]],LEN(T_LEAVE[[#This Row],[LEAVE DATE]])-6),"[$-en-US]d-mmm-yyyy;@")),"")</f>
        <v>43875</v>
      </c>
      <c r="M281" s="4" t="str">
        <f>IFERROR(TRIM(T_LEAVE[[#This Row],[TYPE]]),"")</f>
        <v>VACATION LEAVE</v>
      </c>
      <c r="N281" s="69" t="str">
        <f>IFERROR(VLOOKUP(T_LEAVE[[#This Row],[LEAVE TYPE]],T_LEAVETYPE[#All],2,0),"")</f>
        <v>VL</v>
      </c>
    </row>
    <row r="282" spans="2:14" x14ac:dyDescent="0.25">
      <c r="B282" s="93">
        <v>43859</v>
      </c>
      <c r="C282" s="48" t="s">
        <v>673</v>
      </c>
      <c r="D282" s="48" t="s">
        <v>939</v>
      </c>
      <c r="E282" s="4" t="s">
        <v>89</v>
      </c>
      <c r="F282" s="49">
        <v>1</v>
      </c>
      <c r="G282" s="4" t="s">
        <v>943</v>
      </c>
      <c r="I282" s="4" t="s">
        <v>149</v>
      </c>
      <c r="J282" s="4" t="s">
        <v>944</v>
      </c>
      <c r="K282" s="4" t="str">
        <f>IFERROR(LEFT(T_LEAVE[[#This Row],[EMPLOYEE NAME]],LEN(T_LEAVE[[#This Row],[EMPLOYEE NAME]])-3),"")</f>
        <v>ROCA, SHARON</v>
      </c>
      <c r="L282" s="48">
        <f>IFERROR(DATEVALUE(TEXT(RIGHT(T_LEAVE[[#This Row],[LEAVE DATE]],LEN(T_LEAVE[[#This Row],[LEAVE DATE]])-6),"[$-en-US]d-mmm-yyyy;@")),"")</f>
        <v>43857</v>
      </c>
      <c r="M282" s="4" t="str">
        <f>IFERROR(TRIM(T_LEAVE[[#This Row],[TYPE]]),"")</f>
        <v>SICK LEAVE</v>
      </c>
      <c r="N282" s="69" t="str">
        <f>IFERROR(VLOOKUP(T_LEAVE[[#This Row],[LEAVE TYPE]],T_LEAVETYPE[#All],2,0),"")</f>
        <v>SL</v>
      </c>
    </row>
    <row r="283" spans="2:14" x14ac:dyDescent="0.25">
      <c r="B283" s="93">
        <v>43860</v>
      </c>
      <c r="C283" s="48" t="s">
        <v>663</v>
      </c>
      <c r="D283" s="48" t="s">
        <v>1142</v>
      </c>
      <c r="E283" s="4" t="s">
        <v>88</v>
      </c>
      <c r="F283" s="49">
        <v>1</v>
      </c>
      <c r="G283" s="4" t="s">
        <v>895</v>
      </c>
      <c r="I283" s="4" t="s">
        <v>149</v>
      </c>
      <c r="J283" s="4" t="s">
        <v>1044</v>
      </c>
      <c r="K283" s="4" t="str">
        <f>IFERROR(LEFT(T_LEAVE[[#This Row],[EMPLOYEE NAME]],LEN(T_LEAVE[[#This Row],[EMPLOYEE NAME]])-3),"")</f>
        <v>WENCESLAO, JOHN GLENN</v>
      </c>
      <c r="L283" s="48">
        <f>IFERROR(DATEVALUE(TEXT(RIGHT(T_LEAVE[[#This Row],[LEAVE DATE]],LEN(T_LEAVE[[#This Row],[LEAVE DATE]])-6),"[$-en-US]d-mmm-yyyy;@")),"")</f>
        <v>43883</v>
      </c>
      <c r="M283" s="4" t="str">
        <f>IFERROR(TRIM(T_LEAVE[[#This Row],[TYPE]]),"")</f>
        <v>VACATION LEAVE</v>
      </c>
      <c r="N283" s="69" t="str">
        <f>IFERROR(VLOOKUP(T_LEAVE[[#This Row],[LEAVE TYPE]],T_LEAVETYPE[#All],2,0),"")</f>
        <v>VL</v>
      </c>
    </row>
    <row r="284" spans="2:14" x14ac:dyDescent="0.25">
      <c r="B284" s="93">
        <v>43861</v>
      </c>
      <c r="C284" s="48" t="s">
        <v>225</v>
      </c>
      <c r="D284" s="48" t="s">
        <v>208</v>
      </c>
      <c r="E284" s="4" t="s">
        <v>88</v>
      </c>
      <c r="F284" s="49">
        <v>1</v>
      </c>
      <c r="G284" s="4" t="s">
        <v>226</v>
      </c>
      <c r="I284" s="4" t="s">
        <v>149</v>
      </c>
      <c r="J284" s="4" t="s">
        <v>227</v>
      </c>
      <c r="K284" s="4" t="str">
        <f>IFERROR(LEFT(T_LEAVE[[#This Row],[EMPLOYEE NAME]],LEN(T_LEAVE[[#This Row],[EMPLOYEE NAME]])-3),"")</f>
        <v>AQUINO, RODEL</v>
      </c>
      <c r="L284" s="48">
        <f>IFERROR(DATEVALUE(TEXT(RIGHT(T_LEAVE[[#This Row],[LEAVE DATE]],LEN(T_LEAVE[[#This Row],[LEAVE DATE]])-6),"[$-en-US]d-mmm-yyyy;@")),"")</f>
        <v>43875</v>
      </c>
      <c r="M284" s="4" t="str">
        <f>IFERROR(TRIM(T_LEAVE[[#This Row],[TYPE]]),"")</f>
        <v>VACATION LEAVE</v>
      </c>
      <c r="N284" s="4" t="str">
        <f>IFERROR(VLOOKUP(T_LEAVE[[#This Row],[LEAVE TYPE]],T_LEAVETYPE[#All],2,0),"")</f>
        <v>VL</v>
      </c>
    </row>
    <row r="285" spans="2:14" x14ac:dyDescent="0.25">
      <c r="B285" s="93">
        <v>43861</v>
      </c>
      <c r="C285" s="48" t="s">
        <v>228</v>
      </c>
      <c r="D285" s="48" t="s">
        <v>208</v>
      </c>
      <c r="E285" s="4" t="s">
        <v>88</v>
      </c>
      <c r="F285" s="49">
        <v>1</v>
      </c>
      <c r="G285" s="4" t="s">
        <v>226</v>
      </c>
      <c r="I285" s="4" t="s">
        <v>149</v>
      </c>
      <c r="J285" s="4" t="s">
        <v>227</v>
      </c>
      <c r="K285" s="4" t="str">
        <f>IFERROR(LEFT(T_LEAVE[[#This Row],[EMPLOYEE NAME]],LEN(T_LEAVE[[#This Row],[EMPLOYEE NAME]])-3),"")</f>
        <v>AQUINO, RODEL</v>
      </c>
      <c r="L285" s="48">
        <f>IFERROR(DATEVALUE(TEXT(RIGHT(T_LEAVE[[#This Row],[LEAVE DATE]],LEN(T_LEAVE[[#This Row],[LEAVE DATE]])-6),"[$-en-US]d-mmm-yyyy;@")),"")</f>
        <v>43876</v>
      </c>
      <c r="M285" s="4" t="str">
        <f>IFERROR(TRIM(T_LEAVE[[#This Row],[TYPE]]),"")</f>
        <v>VACATION LEAVE</v>
      </c>
      <c r="N285" s="4" t="str">
        <f>IFERROR(VLOOKUP(T_LEAVE[[#This Row],[LEAVE TYPE]],T_LEAVETYPE[#All],2,0),"")</f>
        <v>VL</v>
      </c>
    </row>
    <row r="286" spans="2:14" x14ac:dyDescent="0.25">
      <c r="B286" s="93">
        <v>43862</v>
      </c>
      <c r="C286" s="48" t="s">
        <v>504</v>
      </c>
      <c r="D286" s="48" t="s">
        <v>496</v>
      </c>
      <c r="E286" s="4" t="s">
        <v>88</v>
      </c>
      <c r="F286" s="49">
        <v>1</v>
      </c>
      <c r="G286" s="4" t="s">
        <v>501</v>
      </c>
      <c r="I286" s="4" t="s">
        <v>149</v>
      </c>
      <c r="J286" s="4" t="s">
        <v>505</v>
      </c>
      <c r="K286" s="4" t="str">
        <f>IFERROR(LEFT(T_LEAVE[[#This Row],[EMPLOYEE NAME]],LEN(T_LEAVE[[#This Row],[EMPLOYEE NAME]])-3),"")</f>
        <v>FACTO, SHANICE</v>
      </c>
      <c r="L286" s="48">
        <f>IFERROR(DATEVALUE(TEXT(RIGHT(T_LEAVE[[#This Row],[LEAVE DATE]],LEN(T_LEAVE[[#This Row],[LEAVE DATE]])-6),"[$-en-US]d-mmm-yyyy;@")),"")</f>
        <v>43874</v>
      </c>
      <c r="M286" s="4" t="str">
        <f>IFERROR(TRIM(T_LEAVE[[#This Row],[TYPE]]),"")</f>
        <v>VACATION LEAVE</v>
      </c>
      <c r="N286" s="69" t="str">
        <f>IFERROR(VLOOKUP(T_LEAVE[[#This Row],[LEAVE TYPE]],T_LEAVETYPE[#All],2,0),"")</f>
        <v>VL</v>
      </c>
    </row>
    <row r="287" spans="2:14" x14ac:dyDescent="0.25">
      <c r="B287" s="93">
        <v>43862</v>
      </c>
      <c r="C287" s="48" t="s">
        <v>225</v>
      </c>
      <c r="D287" s="48" t="s">
        <v>496</v>
      </c>
      <c r="E287" s="4" t="s">
        <v>88</v>
      </c>
      <c r="F287" s="49">
        <v>1</v>
      </c>
      <c r="G287" s="4" t="s">
        <v>501</v>
      </c>
      <c r="I287" s="4" t="s">
        <v>149</v>
      </c>
      <c r="J287" s="4" t="s">
        <v>505</v>
      </c>
      <c r="K287" s="4" t="str">
        <f>IFERROR(LEFT(T_LEAVE[[#This Row],[EMPLOYEE NAME]],LEN(T_LEAVE[[#This Row],[EMPLOYEE NAME]])-3),"")</f>
        <v>FACTO, SHANICE</v>
      </c>
      <c r="L287" s="48">
        <f>IFERROR(DATEVALUE(TEXT(RIGHT(T_LEAVE[[#This Row],[LEAVE DATE]],LEN(T_LEAVE[[#This Row],[LEAVE DATE]])-6),"[$-en-US]d-mmm-yyyy;@")),"")</f>
        <v>43875</v>
      </c>
      <c r="M287" s="4" t="str">
        <f>IFERROR(TRIM(T_LEAVE[[#This Row],[TYPE]]),"")</f>
        <v>VACATION LEAVE</v>
      </c>
      <c r="N287" s="69" t="str">
        <f>IFERROR(VLOOKUP(T_LEAVE[[#This Row],[LEAVE TYPE]],T_LEAVETYPE[#All],2,0),"")</f>
        <v>VL</v>
      </c>
    </row>
    <row r="288" spans="2:14" x14ac:dyDescent="0.25">
      <c r="B288" s="93">
        <v>43862</v>
      </c>
      <c r="C288" s="48" t="s">
        <v>855</v>
      </c>
      <c r="D288" s="48" t="s">
        <v>847</v>
      </c>
      <c r="E288" s="4" t="s">
        <v>89</v>
      </c>
      <c r="F288" s="49">
        <v>1</v>
      </c>
      <c r="G288" s="4" t="s">
        <v>856</v>
      </c>
      <c r="I288" s="4" t="s">
        <v>149</v>
      </c>
      <c r="J288" s="4" t="s">
        <v>857</v>
      </c>
      <c r="K288" s="4" t="str">
        <f>IFERROR(LEFT(T_LEAVE[[#This Row],[EMPLOYEE NAME]],LEN(T_LEAVE[[#This Row],[EMPLOYEE NAME]])-3),"")</f>
        <v>MATIGNAS, JAYDEE</v>
      </c>
      <c r="L288" s="48">
        <f>IFERROR(DATEVALUE(TEXT(RIGHT(T_LEAVE[[#This Row],[LEAVE DATE]],LEN(T_LEAVE[[#This Row],[LEAVE DATE]])-6),"[$-en-US]d-mmm-yyyy;@")),"")</f>
        <v>43858</v>
      </c>
      <c r="M288" s="4" t="str">
        <f>IFERROR(TRIM(T_LEAVE[[#This Row],[TYPE]]),"")</f>
        <v>SICK LEAVE</v>
      </c>
      <c r="N288" s="69" t="str">
        <f>IFERROR(VLOOKUP(T_LEAVE[[#This Row],[LEAVE TYPE]],T_LEAVETYPE[#All],2,0),"")</f>
        <v>SL</v>
      </c>
    </row>
    <row r="289" spans="2:14" x14ac:dyDescent="0.25">
      <c r="B289" s="93">
        <v>43862</v>
      </c>
      <c r="C289" s="48" t="s">
        <v>660</v>
      </c>
      <c r="D289" s="48" t="s">
        <v>847</v>
      </c>
      <c r="E289" s="4" t="s">
        <v>89</v>
      </c>
      <c r="F289" s="49">
        <v>1</v>
      </c>
      <c r="G289" s="4" t="s">
        <v>856</v>
      </c>
      <c r="I289" s="4" t="s">
        <v>149</v>
      </c>
      <c r="J289" s="4" t="s">
        <v>857</v>
      </c>
      <c r="K289" s="4" t="str">
        <f>IFERROR(LEFT(T_LEAVE[[#This Row],[EMPLOYEE NAME]],LEN(T_LEAVE[[#This Row],[EMPLOYEE NAME]])-3),"")</f>
        <v>MATIGNAS, JAYDEE</v>
      </c>
      <c r="L289" s="48">
        <f>IFERROR(DATEVALUE(TEXT(RIGHT(T_LEAVE[[#This Row],[LEAVE DATE]],LEN(T_LEAVE[[#This Row],[LEAVE DATE]])-6),"[$-en-US]d-mmm-yyyy;@")),"")</f>
        <v>43859</v>
      </c>
      <c r="M289" s="4" t="str">
        <f>IFERROR(TRIM(T_LEAVE[[#This Row],[TYPE]]),"")</f>
        <v>SICK LEAVE</v>
      </c>
      <c r="N289" s="69" t="str">
        <f>IFERROR(VLOOKUP(T_LEAVE[[#This Row],[LEAVE TYPE]],T_LEAVETYPE[#All],2,0),"")</f>
        <v>SL</v>
      </c>
    </row>
    <row r="290" spans="2:14" x14ac:dyDescent="0.25">
      <c r="B290" s="93">
        <v>43863</v>
      </c>
      <c r="C290" s="48" t="s">
        <v>271</v>
      </c>
      <c r="D290" s="48" t="s">
        <v>256</v>
      </c>
      <c r="E290" s="4" t="s">
        <v>88</v>
      </c>
      <c r="F290" s="49">
        <v>1</v>
      </c>
      <c r="G290" s="4" t="s">
        <v>272</v>
      </c>
      <c r="I290" s="4" t="s">
        <v>149</v>
      </c>
      <c r="J290" s="4" t="s">
        <v>273</v>
      </c>
      <c r="K290" s="4" t="str">
        <f>IFERROR(LEFT(T_LEAVE[[#This Row],[EMPLOYEE NAME]],LEN(T_LEAVE[[#This Row],[EMPLOYEE NAME]])-3),"")</f>
        <v>BALICAS, IRISH ANN</v>
      </c>
      <c r="L290" s="48">
        <f>IFERROR(DATEVALUE(TEXT(RIGHT(T_LEAVE[[#This Row],[LEAVE DATE]],LEN(T_LEAVE[[#This Row],[LEAVE DATE]])-6),"[$-en-US]d-mmm-yyyy;@")),"")</f>
        <v>43884</v>
      </c>
      <c r="M290" s="4" t="str">
        <f>IFERROR(TRIM(T_LEAVE[[#This Row],[TYPE]]),"")</f>
        <v>VACATION LEAVE</v>
      </c>
      <c r="N290" s="69" t="str">
        <f>IFERROR(VLOOKUP(T_LEAVE[[#This Row],[LEAVE TYPE]],T_LEAVETYPE[#All],2,0),"")</f>
        <v>VL</v>
      </c>
    </row>
    <row r="291" spans="2:14" x14ac:dyDescent="0.25">
      <c r="B291" s="93">
        <v>43863</v>
      </c>
      <c r="C291" s="48" t="s">
        <v>228</v>
      </c>
      <c r="D291" s="48" t="s">
        <v>691</v>
      </c>
      <c r="E291" s="4" t="s">
        <v>88</v>
      </c>
      <c r="F291" s="49">
        <v>1</v>
      </c>
      <c r="G291" s="4" t="s">
        <v>712</v>
      </c>
      <c r="I291" s="4" t="s">
        <v>149</v>
      </c>
      <c r="J291" s="4" t="s">
        <v>677</v>
      </c>
      <c r="K291" s="4" t="str">
        <f>IFERROR(LEFT(T_LEAVE[[#This Row],[EMPLOYEE NAME]],LEN(T_LEAVE[[#This Row],[EMPLOYEE NAME]])-3),"")</f>
        <v>LATUGA, PHOEBE</v>
      </c>
      <c r="L291" s="48">
        <f>IFERROR(DATEVALUE(TEXT(RIGHT(T_LEAVE[[#This Row],[LEAVE DATE]],LEN(T_LEAVE[[#This Row],[LEAVE DATE]])-6),"[$-en-US]d-mmm-yyyy;@")),"")</f>
        <v>43876</v>
      </c>
      <c r="M291" s="4" t="str">
        <f>IFERROR(TRIM(T_LEAVE[[#This Row],[TYPE]]),"")</f>
        <v>VACATION LEAVE</v>
      </c>
      <c r="N291" s="69" t="str">
        <f>IFERROR(VLOOKUP(T_LEAVE[[#This Row],[LEAVE TYPE]],T_LEAVETYPE[#All],2,0),"")</f>
        <v>VL</v>
      </c>
    </row>
    <row r="292" spans="2:14" x14ac:dyDescent="0.25">
      <c r="B292" s="93">
        <v>43863</v>
      </c>
      <c r="C292" s="48" t="s">
        <v>713</v>
      </c>
      <c r="D292" s="48" t="s">
        <v>691</v>
      </c>
      <c r="E292" s="4" t="s">
        <v>88</v>
      </c>
      <c r="F292" s="49">
        <v>1</v>
      </c>
      <c r="G292" s="4" t="s">
        <v>712</v>
      </c>
      <c r="I292" s="4" t="s">
        <v>149</v>
      </c>
      <c r="J292" s="4" t="s">
        <v>677</v>
      </c>
      <c r="K292" s="4" t="str">
        <f>IFERROR(LEFT(T_LEAVE[[#This Row],[EMPLOYEE NAME]],LEN(T_LEAVE[[#This Row],[EMPLOYEE NAME]])-3),"")</f>
        <v>LATUGA, PHOEBE</v>
      </c>
      <c r="L292" s="48">
        <f>IFERROR(DATEVALUE(TEXT(RIGHT(T_LEAVE[[#This Row],[LEAVE DATE]],LEN(T_LEAVE[[#This Row],[LEAVE DATE]])-6),"[$-en-US]d-mmm-yyyy;@")),"")</f>
        <v>43877</v>
      </c>
      <c r="M292" s="4" t="str">
        <f>IFERROR(TRIM(T_LEAVE[[#This Row],[TYPE]]),"")</f>
        <v>VACATION LEAVE</v>
      </c>
      <c r="N292" s="69" t="str">
        <f>IFERROR(VLOOKUP(T_LEAVE[[#This Row],[LEAVE TYPE]],T_LEAVETYPE[#All],2,0),"")</f>
        <v>VL</v>
      </c>
    </row>
    <row r="293" spans="2:14" x14ac:dyDescent="0.25">
      <c r="B293" s="93">
        <v>43863</v>
      </c>
      <c r="C293" s="48" t="s">
        <v>321</v>
      </c>
      <c r="D293" s="48" t="s">
        <v>691</v>
      </c>
      <c r="E293" s="4" t="s">
        <v>88</v>
      </c>
      <c r="F293" s="49">
        <v>1</v>
      </c>
      <c r="G293" s="4" t="s">
        <v>712</v>
      </c>
      <c r="I293" s="4" t="s">
        <v>149</v>
      </c>
      <c r="J293" s="4" t="s">
        <v>677</v>
      </c>
      <c r="K293" s="4" t="str">
        <f>IFERROR(LEFT(T_LEAVE[[#This Row],[EMPLOYEE NAME]],LEN(T_LEAVE[[#This Row],[EMPLOYEE NAME]])-3),"")</f>
        <v>LATUGA, PHOEBE</v>
      </c>
      <c r="L293" s="48">
        <f>IFERROR(DATEVALUE(TEXT(RIGHT(T_LEAVE[[#This Row],[LEAVE DATE]],LEN(T_LEAVE[[#This Row],[LEAVE DATE]])-6),"[$-en-US]d-mmm-yyyy;@")),"")</f>
        <v>43878</v>
      </c>
      <c r="M293" s="4" t="str">
        <f>IFERROR(TRIM(T_LEAVE[[#This Row],[TYPE]]),"")</f>
        <v>VACATION LEAVE</v>
      </c>
      <c r="N293" s="69" t="str">
        <f>IFERROR(VLOOKUP(T_LEAVE[[#This Row],[LEAVE TYPE]],T_LEAVETYPE[#All],2,0),"")</f>
        <v>VL</v>
      </c>
    </row>
    <row r="294" spans="2:14" x14ac:dyDescent="0.25">
      <c r="B294" s="93">
        <v>43864</v>
      </c>
      <c r="C294" s="48" t="s">
        <v>168</v>
      </c>
      <c r="D294" s="48" t="s">
        <v>971</v>
      </c>
      <c r="E294" s="4" t="s">
        <v>89</v>
      </c>
      <c r="F294" s="49">
        <v>1</v>
      </c>
      <c r="G294" s="4" t="s">
        <v>977</v>
      </c>
      <c r="I294" s="4" t="s">
        <v>149</v>
      </c>
      <c r="J294" s="4" t="s">
        <v>978</v>
      </c>
      <c r="K294" s="4" t="str">
        <f>IFERROR(LEFT(T_LEAVE[[#This Row],[EMPLOYEE NAME]],LEN(T_LEAVE[[#This Row],[EMPLOYEE NAME]])-3),"")</f>
        <v>TABIA, JENNIFER</v>
      </c>
      <c r="L294" s="48">
        <f>IFERROR(DATEVALUE(TEXT(RIGHT(T_LEAVE[[#This Row],[LEAVE DATE]],LEN(T_LEAVE[[#This Row],[LEAVE DATE]])-6),"[$-en-US]d-mmm-yyyy;@")),"")</f>
        <v>43862</v>
      </c>
      <c r="M294" s="4" t="str">
        <f>IFERROR(TRIM(T_LEAVE[[#This Row],[TYPE]]),"")</f>
        <v>SICK LEAVE</v>
      </c>
      <c r="N294" s="69" t="str">
        <f>IFERROR(VLOOKUP(T_LEAVE[[#This Row],[LEAVE TYPE]],T_LEAVETYPE[#All],2,0),"")</f>
        <v>SL</v>
      </c>
    </row>
    <row r="295" spans="2:14" x14ac:dyDescent="0.25">
      <c r="B295" s="93">
        <v>43865</v>
      </c>
      <c r="C295" s="48" t="s">
        <v>167</v>
      </c>
      <c r="D295" s="48" t="s">
        <v>989</v>
      </c>
      <c r="E295" s="4" t="s">
        <v>89</v>
      </c>
      <c r="F295" s="49">
        <v>1</v>
      </c>
      <c r="G295" s="4" t="s">
        <v>994</v>
      </c>
      <c r="I295" s="4" t="s">
        <v>149</v>
      </c>
      <c r="J295" s="4" t="s">
        <v>995</v>
      </c>
      <c r="K295" s="4" t="str">
        <f>IFERROR(LEFT(T_LEAVE[[#This Row],[EMPLOYEE NAME]],LEN(T_LEAVE[[#This Row],[EMPLOYEE NAME]])-3),"")</f>
        <v>TABUNAN, LIZEL</v>
      </c>
      <c r="L295" s="48">
        <f>IFERROR(DATEVALUE(TEXT(RIGHT(T_LEAVE[[#This Row],[LEAVE DATE]],LEN(T_LEAVE[[#This Row],[LEAVE DATE]])-6),"[$-en-US]d-mmm-yyyy;@")),"")</f>
        <v>43861</v>
      </c>
      <c r="M295" s="4" t="str">
        <f>IFERROR(TRIM(T_LEAVE[[#This Row],[TYPE]]),"")</f>
        <v>SICK LEAVE</v>
      </c>
      <c r="N295" s="69" t="str">
        <f>IFERROR(VLOOKUP(T_LEAVE[[#This Row],[LEAVE TYPE]],T_LEAVETYPE[#All],2,0),"")</f>
        <v>SL</v>
      </c>
    </row>
    <row r="296" spans="2:14" x14ac:dyDescent="0.25">
      <c r="B296" s="93">
        <v>43865</v>
      </c>
      <c r="C296" s="48" t="s">
        <v>466</v>
      </c>
      <c r="D296" s="48" t="s">
        <v>989</v>
      </c>
      <c r="E296" s="4" t="s">
        <v>89</v>
      </c>
      <c r="F296" s="49">
        <v>1</v>
      </c>
      <c r="G296" s="4" t="s">
        <v>994</v>
      </c>
      <c r="I296" s="4" t="s">
        <v>149</v>
      </c>
      <c r="J296" s="4" t="s">
        <v>996</v>
      </c>
      <c r="K296" s="4" t="str">
        <f>IFERROR(LEFT(T_LEAVE[[#This Row],[EMPLOYEE NAME]],LEN(T_LEAVE[[#This Row],[EMPLOYEE NAME]])-3),"")</f>
        <v>TABUNAN, LIZEL</v>
      </c>
      <c r="L296" s="48">
        <f>IFERROR(DATEVALUE(TEXT(RIGHT(T_LEAVE[[#This Row],[LEAVE DATE]],LEN(T_LEAVE[[#This Row],[LEAVE DATE]])-6),"[$-en-US]d-mmm-yyyy;@")),"")</f>
        <v>43864</v>
      </c>
      <c r="M296" s="4" t="str">
        <f>IFERROR(TRIM(T_LEAVE[[#This Row],[TYPE]]),"")</f>
        <v>SICK LEAVE</v>
      </c>
      <c r="N296" s="69" t="str">
        <f>IFERROR(VLOOKUP(T_LEAVE[[#This Row],[LEAVE TYPE]],T_LEAVETYPE[#All],2,0),"")</f>
        <v>SL</v>
      </c>
    </row>
    <row r="297" spans="2:14" x14ac:dyDescent="0.25">
      <c r="B297" s="93">
        <v>43866</v>
      </c>
      <c r="C297" s="48" t="s">
        <v>997</v>
      </c>
      <c r="D297" s="48" t="s">
        <v>989</v>
      </c>
      <c r="E297" s="4" t="s">
        <v>88</v>
      </c>
      <c r="F297" s="49">
        <v>1</v>
      </c>
      <c r="G297" s="4" t="s">
        <v>998</v>
      </c>
      <c r="I297" s="4" t="s">
        <v>149</v>
      </c>
      <c r="J297" s="4" t="s">
        <v>996</v>
      </c>
      <c r="K297" s="4" t="str">
        <f>IFERROR(LEFT(T_LEAVE[[#This Row],[EMPLOYEE NAME]],LEN(T_LEAVE[[#This Row],[EMPLOYEE NAME]])-3),"")</f>
        <v>TABUNAN, LIZEL</v>
      </c>
      <c r="L297" s="48">
        <f>IFERROR(DATEVALUE(TEXT(RIGHT(T_LEAVE[[#This Row],[LEAVE DATE]],LEN(T_LEAVE[[#This Row],[LEAVE DATE]])-6),"[$-en-US]d-mmm-yyyy;@")),"")</f>
        <v>43868</v>
      </c>
      <c r="M297" s="4" t="str">
        <f>IFERROR(TRIM(T_LEAVE[[#This Row],[TYPE]]),"")</f>
        <v>VACATION LEAVE</v>
      </c>
      <c r="N297" s="69" t="str">
        <f>IFERROR(VLOOKUP(T_LEAVE[[#This Row],[LEAVE TYPE]],T_LEAVETYPE[#All],2,0),"")</f>
        <v>VL</v>
      </c>
    </row>
    <row r="298" spans="2:14" x14ac:dyDescent="0.25">
      <c r="B298" s="93">
        <v>43867</v>
      </c>
      <c r="C298" s="48" t="s">
        <v>163</v>
      </c>
      <c r="D298" s="48" t="s">
        <v>147</v>
      </c>
      <c r="E298" s="4" t="s">
        <v>89</v>
      </c>
      <c r="F298" s="49">
        <v>1</v>
      </c>
      <c r="G298" s="4" t="s">
        <v>164</v>
      </c>
      <c r="H298" s="4" t="s">
        <v>165</v>
      </c>
      <c r="I298" s="4" t="s">
        <v>149</v>
      </c>
      <c r="J298" s="4" t="s">
        <v>166</v>
      </c>
      <c r="K298" s="4" t="str">
        <f>IFERROR(LEFT(T_LEAVE[[#This Row],[EMPLOYEE NAME]],LEN(T_LEAVE[[#This Row],[EMPLOYEE NAME]])-3),"")</f>
        <v>ACOSTA, JOSEPH VAUGHN</v>
      </c>
      <c r="L298" s="48">
        <f>IFERROR(DATEVALUE(TEXT(RIGHT(T_LEAVE[[#This Row],[LEAVE DATE]],LEN(T_LEAVE[[#This Row],[LEAVE DATE]])-6),"[$-en-US]d-mmm-yyyy;@")),"")</f>
        <v>43860</v>
      </c>
      <c r="M298" s="4" t="str">
        <f>IFERROR(TRIM(T_LEAVE[[#This Row],[TYPE]]),"")</f>
        <v>SICK LEAVE</v>
      </c>
      <c r="N298" s="4" t="str">
        <f>IFERROR(VLOOKUP(T_LEAVE[[#This Row],[LEAVE TYPE]],T_LEAVETYPE[#All],2,0),"")</f>
        <v>SL</v>
      </c>
    </row>
    <row r="299" spans="2:14" x14ac:dyDescent="0.25">
      <c r="B299" s="93">
        <v>43867</v>
      </c>
      <c r="C299" s="48" t="s">
        <v>167</v>
      </c>
      <c r="D299" s="48" t="s">
        <v>147</v>
      </c>
      <c r="E299" s="4" t="s">
        <v>89</v>
      </c>
      <c r="F299" s="49">
        <v>1</v>
      </c>
      <c r="G299" s="4" t="s">
        <v>164</v>
      </c>
      <c r="H299" s="4" t="s">
        <v>165</v>
      </c>
      <c r="I299" s="4" t="s">
        <v>149</v>
      </c>
      <c r="J299" s="4" t="s">
        <v>166</v>
      </c>
      <c r="K299" s="4" t="str">
        <f>IFERROR(LEFT(T_LEAVE[[#This Row],[EMPLOYEE NAME]],LEN(T_LEAVE[[#This Row],[EMPLOYEE NAME]])-3),"")</f>
        <v>ACOSTA, JOSEPH VAUGHN</v>
      </c>
      <c r="L299" s="48">
        <f>IFERROR(DATEVALUE(TEXT(RIGHT(T_LEAVE[[#This Row],[LEAVE DATE]],LEN(T_LEAVE[[#This Row],[LEAVE DATE]])-6),"[$-en-US]d-mmm-yyyy;@")),"")</f>
        <v>43861</v>
      </c>
      <c r="M299" s="4" t="str">
        <f>IFERROR(TRIM(T_LEAVE[[#This Row],[TYPE]]),"")</f>
        <v>SICK LEAVE</v>
      </c>
      <c r="N299" s="4" t="str">
        <f>IFERROR(VLOOKUP(T_LEAVE[[#This Row],[LEAVE TYPE]],T_LEAVETYPE[#All],2,0),"")</f>
        <v>SL</v>
      </c>
    </row>
    <row r="300" spans="2:14" x14ac:dyDescent="0.25">
      <c r="B300" s="93">
        <v>43867</v>
      </c>
      <c r="C300" s="48" t="s">
        <v>168</v>
      </c>
      <c r="D300" s="48" t="s">
        <v>147</v>
      </c>
      <c r="E300" s="4" t="s">
        <v>89</v>
      </c>
      <c r="F300" s="49">
        <v>1</v>
      </c>
      <c r="G300" s="4" t="s">
        <v>164</v>
      </c>
      <c r="H300" s="4" t="s">
        <v>165</v>
      </c>
      <c r="I300" s="4" t="s">
        <v>149</v>
      </c>
      <c r="J300" s="4" t="s">
        <v>166</v>
      </c>
      <c r="K300" s="4" t="str">
        <f>IFERROR(LEFT(T_LEAVE[[#This Row],[EMPLOYEE NAME]],LEN(T_LEAVE[[#This Row],[EMPLOYEE NAME]])-3),"")</f>
        <v>ACOSTA, JOSEPH VAUGHN</v>
      </c>
      <c r="L300" s="48">
        <f>IFERROR(DATEVALUE(TEXT(RIGHT(T_LEAVE[[#This Row],[LEAVE DATE]],LEN(T_LEAVE[[#This Row],[LEAVE DATE]])-6),"[$-en-US]d-mmm-yyyy;@")),"")</f>
        <v>43862</v>
      </c>
      <c r="M300" s="4" t="str">
        <f>IFERROR(TRIM(T_LEAVE[[#This Row],[TYPE]]),"")</f>
        <v>SICK LEAVE</v>
      </c>
      <c r="N300" s="4" t="str">
        <f>IFERROR(VLOOKUP(T_LEAVE[[#This Row],[LEAVE TYPE]],T_LEAVETYPE[#All],2,0),"")</f>
        <v>SL</v>
      </c>
    </row>
    <row r="301" spans="2:14" x14ac:dyDescent="0.25">
      <c r="B301" s="93">
        <v>43867</v>
      </c>
      <c r="C301" s="48" t="s">
        <v>169</v>
      </c>
      <c r="D301" s="48" t="s">
        <v>147</v>
      </c>
      <c r="E301" s="4" t="s">
        <v>89</v>
      </c>
      <c r="F301" s="49">
        <v>1</v>
      </c>
      <c r="G301" s="4" t="s">
        <v>170</v>
      </c>
      <c r="H301" s="4" t="s">
        <v>165</v>
      </c>
      <c r="I301" s="4" t="s">
        <v>149</v>
      </c>
      <c r="J301" s="4" t="s">
        <v>166</v>
      </c>
      <c r="K301" s="4" t="str">
        <f>IFERROR(LEFT(T_LEAVE[[#This Row],[EMPLOYEE NAME]],LEN(T_LEAVE[[#This Row],[EMPLOYEE NAME]])-3),"")</f>
        <v>ACOSTA, JOSEPH VAUGHN</v>
      </c>
      <c r="L301" s="48">
        <f>IFERROR(DATEVALUE(TEXT(RIGHT(T_LEAVE[[#This Row],[LEAVE DATE]],LEN(T_LEAVE[[#This Row],[LEAVE DATE]])-6),"[$-en-US]d-mmm-yyyy;@")),"")</f>
        <v>43863</v>
      </c>
      <c r="M301" s="4" t="str">
        <f>IFERROR(TRIM(T_LEAVE[[#This Row],[TYPE]]),"")</f>
        <v>SICK LEAVE</v>
      </c>
      <c r="N301" s="4" t="str">
        <f>IFERROR(VLOOKUP(T_LEAVE[[#This Row],[LEAVE TYPE]],T_LEAVETYPE[#All],2,0),"")</f>
        <v>SL</v>
      </c>
    </row>
    <row r="302" spans="2:14" x14ac:dyDescent="0.25">
      <c r="B302" s="93">
        <v>43867</v>
      </c>
      <c r="C302" s="48" t="s">
        <v>171</v>
      </c>
      <c r="D302" s="48" t="s">
        <v>602</v>
      </c>
      <c r="E302" s="4" t="s">
        <v>88</v>
      </c>
      <c r="F302" s="49">
        <v>1</v>
      </c>
      <c r="G302" s="4" t="s">
        <v>612</v>
      </c>
      <c r="I302" s="4" t="s">
        <v>149</v>
      </c>
      <c r="J302" s="4" t="s">
        <v>584</v>
      </c>
      <c r="K302" s="4" t="str">
        <f>IFERROR(LEFT(T_LEAVE[[#This Row],[EMPLOYEE NAME]],LEN(T_LEAVE[[#This Row],[EMPLOYEE NAME]])-3),"")</f>
        <v>HIPOLITO, JOYCE ANN KENETH</v>
      </c>
      <c r="L302" s="48">
        <f>IFERROR(DATEVALUE(TEXT(RIGHT(T_LEAVE[[#This Row],[LEAVE DATE]],LEN(T_LEAVE[[#This Row],[LEAVE DATE]])-6),"[$-en-US]d-mmm-yyyy;@")),"")</f>
        <v>43889</v>
      </c>
      <c r="M302" s="4" t="str">
        <f>IFERROR(TRIM(T_LEAVE[[#This Row],[TYPE]]),"")</f>
        <v>VACATION LEAVE</v>
      </c>
      <c r="N302" s="69" t="str">
        <f>IFERROR(VLOOKUP(T_LEAVE[[#This Row],[LEAVE TYPE]],T_LEAVETYPE[#All],2,0),"")</f>
        <v>VL</v>
      </c>
    </row>
    <row r="303" spans="2:14" x14ac:dyDescent="0.25">
      <c r="B303" s="93">
        <v>43868</v>
      </c>
      <c r="C303" s="48" t="s">
        <v>765</v>
      </c>
      <c r="D303" s="48" t="s">
        <v>753</v>
      </c>
      <c r="E303" s="4" t="s">
        <v>88</v>
      </c>
      <c r="F303" s="49">
        <v>1</v>
      </c>
      <c r="G303" s="4" t="s">
        <v>766</v>
      </c>
      <c r="I303" s="4" t="s">
        <v>149</v>
      </c>
      <c r="J303" s="4" t="s">
        <v>677</v>
      </c>
      <c r="K303" s="4" t="str">
        <f>IFERROR(LEFT(T_LEAVE[[#This Row],[EMPLOYEE NAME]],LEN(T_LEAVE[[#This Row],[EMPLOYEE NAME]])-3),"")</f>
        <v>LEGASPI, ARABELLE</v>
      </c>
      <c r="L303" s="48">
        <f>IFERROR(DATEVALUE(TEXT(RIGHT(T_LEAVE[[#This Row],[LEAVE DATE]],LEN(T_LEAVE[[#This Row],[LEAVE DATE]])-6),"[$-en-US]d-mmm-yyyy;@")),"")</f>
        <v>43881</v>
      </c>
      <c r="M303" s="4" t="str">
        <f>IFERROR(TRIM(T_LEAVE[[#This Row],[TYPE]]),"")</f>
        <v>VACATION LEAVE</v>
      </c>
      <c r="N303" s="69" t="str">
        <f>IFERROR(VLOOKUP(T_LEAVE[[#This Row],[LEAVE TYPE]],T_LEAVETYPE[#All],2,0),"")</f>
        <v>VL</v>
      </c>
    </row>
    <row r="304" spans="2:14" x14ac:dyDescent="0.25">
      <c r="B304" s="93">
        <v>43868</v>
      </c>
      <c r="C304" s="48" t="s">
        <v>236</v>
      </c>
      <c r="D304" s="48" t="s">
        <v>939</v>
      </c>
      <c r="E304" s="4" t="s">
        <v>88</v>
      </c>
      <c r="F304" s="49">
        <v>1</v>
      </c>
      <c r="G304" s="4" t="s">
        <v>946</v>
      </c>
      <c r="I304" s="4" t="s">
        <v>149</v>
      </c>
      <c r="J304" s="4" t="s">
        <v>947</v>
      </c>
      <c r="K304" s="4" t="str">
        <f>IFERROR(LEFT(T_LEAVE[[#This Row],[EMPLOYEE NAME]],LEN(T_LEAVE[[#This Row],[EMPLOYEE NAME]])-3),"")</f>
        <v>ROCA, SHARON</v>
      </c>
      <c r="L304" s="48">
        <f>IFERROR(DATEVALUE(TEXT(RIGHT(T_LEAVE[[#This Row],[LEAVE DATE]],LEN(T_LEAVE[[#This Row],[LEAVE DATE]])-6),"[$-en-US]d-mmm-yyyy;@")),"")</f>
        <v>43903</v>
      </c>
      <c r="M304" s="4" t="str">
        <f>IFERROR(TRIM(T_LEAVE[[#This Row],[TYPE]]),"")</f>
        <v>VACATION LEAVE</v>
      </c>
      <c r="N304" s="69" t="str">
        <f>IFERROR(VLOOKUP(T_LEAVE[[#This Row],[LEAVE TYPE]],T_LEAVETYPE[#All],2,0),"")</f>
        <v>VL</v>
      </c>
    </row>
    <row r="305" spans="2:14" x14ac:dyDescent="0.25">
      <c r="B305" s="93">
        <v>43869</v>
      </c>
      <c r="C305" s="48" t="s">
        <v>466</v>
      </c>
      <c r="D305" s="48" t="s">
        <v>463</v>
      </c>
      <c r="E305" s="4" t="s">
        <v>89</v>
      </c>
      <c r="F305" s="49">
        <v>1</v>
      </c>
      <c r="G305" s="4" t="s">
        <v>89</v>
      </c>
      <c r="I305" s="4" t="s">
        <v>149</v>
      </c>
      <c r="J305" s="4" t="s">
        <v>467</v>
      </c>
      <c r="K305" s="4" t="str">
        <f>IFERROR(LEFT(T_LEAVE[[#This Row],[EMPLOYEE NAME]],LEN(T_LEAVE[[#This Row],[EMPLOYEE NAME]])-3),"")</f>
        <v>DEDEL, BRIAN KOBE</v>
      </c>
      <c r="L305" s="48">
        <f>IFERROR(DATEVALUE(TEXT(RIGHT(T_LEAVE[[#This Row],[LEAVE DATE]],LEN(T_LEAVE[[#This Row],[LEAVE DATE]])-6),"[$-en-US]d-mmm-yyyy;@")),"")</f>
        <v>43864</v>
      </c>
      <c r="M305" s="4" t="str">
        <f>IFERROR(TRIM(T_LEAVE[[#This Row],[TYPE]]),"")</f>
        <v>SICK LEAVE</v>
      </c>
      <c r="N305" s="69" t="str">
        <f>IFERROR(VLOOKUP(T_LEAVE[[#This Row],[LEAVE TYPE]],T_LEAVETYPE[#All],2,0),"")</f>
        <v>SL</v>
      </c>
    </row>
    <row r="306" spans="2:14" x14ac:dyDescent="0.25">
      <c r="B306" s="93">
        <v>43869</v>
      </c>
      <c r="C306" s="48" t="s">
        <v>466</v>
      </c>
      <c r="D306" s="48" t="s">
        <v>541</v>
      </c>
      <c r="E306" s="4" t="s">
        <v>89</v>
      </c>
      <c r="F306" s="49">
        <v>1</v>
      </c>
      <c r="G306" s="4" t="s">
        <v>544</v>
      </c>
      <c r="I306" s="4" t="s">
        <v>149</v>
      </c>
      <c r="J306" s="4" t="s">
        <v>545</v>
      </c>
      <c r="K306" s="4" t="str">
        <f>IFERROR(LEFT(T_LEAVE[[#This Row],[EMPLOYEE NAME]],LEN(T_LEAVE[[#This Row],[EMPLOYEE NAME]])-3),"")</f>
        <v>GARCINES, SHENALD</v>
      </c>
      <c r="L306" s="48">
        <f>IFERROR(DATEVALUE(TEXT(RIGHT(T_LEAVE[[#This Row],[LEAVE DATE]],LEN(T_LEAVE[[#This Row],[LEAVE DATE]])-6),"[$-en-US]d-mmm-yyyy;@")),"")</f>
        <v>43864</v>
      </c>
      <c r="M306" s="4" t="str">
        <f>IFERROR(TRIM(T_LEAVE[[#This Row],[TYPE]]),"")</f>
        <v>SICK LEAVE</v>
      </c>
      <c r="N306" s="69" t="str">
        <f>IFERROR(VLOOKUP(T_LEAVE[[#This Row],[LEAVE TYPE]],T_LEAVETYPE[#All],2,0),"")</f>
        <v>SL</v>
      </c>
    </row>
    <row r="307" spans="2:14" x14ac:dyDescent="0.25">
      <c r="B307" s="93">
        <v>43869</v>
      </c>
      <c r="C307" s="48" t="s">
        <v>660</v>
      </c>
      <c r="D307" s="48" t="s">
        <v>655</v>
      </c>
      <c r="E307" s="4" t="s">
        <v>89</v>
      </c>
      <c r="F307" s="49">
        <v>1</v>
      </c>
      <c r="G307" s="4" t="s">
        <v>661</v>
      </c>
      <c r="H307" s="4" t="s">
        <v>165</v>
      </c>
      <c r="I307" s="4" t="s">
        <v>149</v>
      </c>
      <c r="J307" s="4" t="s">
        <v>662</v>
      </c>
      <c r="K307" s="4" t="str">
        <f>IFERROR(LEFT(T_LEAVE[[#This Row],[EMPLOYEE NAME]],LEN(T_LEAVE[[#This Row],[EMPLOYEE NAME]])-3),"")</f>
        <v>JUANILLO, ROELYN DELA PIZA</v>
      </c>
      <c r="L307" s="48">
        <f>IFERROR(DATEVALUE(TEXT(RIGHT(T_LEAVE[[#This Row],[LEAVE DATE]],LEN(T_LEAVE[[#This Row],[LEAVE DATE]])-6),"[$-en-US]d-mmm-yyyy;@")),"")</f>
        <v>43859</v>
      </c>
      <c r="M307" s="4" t="str">
        <f>IFERROR(TRIM(T_LEAVE[[#This Row],[TYPE]]),"")</f>
        <v>SICK LEAVE</v>
      </c>
      <c r="N307" s="69" t="str">
        <f>IFERROR(VLOOKUP(T_LEAVE[[#This Row],[LEAVE TYPE]],T_LEAVETYPE[#All],2,0),"")</f>
        <v>SL</v>
      </c>
    </row>
    <row r="308" spans="2:14" x14ac:dyDescent="0.25">
      <c r="B308" s="93">
        <v>43869</v>
      </c>
      <c r="C308" s="48" t="s">
        <v>168</v>
      </c>
      <c r="D308" s="48" t="s">
        <v>655</v>
      </c>
      <c r="E308" s="4" t="s">
        <v>89</v>
      </c>
      <c r="F308" s="49">
        <v>1</v>
      </c>
      <c r="G308" s="4" t="s">
        <v>661</v>
      </c>
      <c r="H308" s="4" t="s">
        <v>165</v>
      </c>
      <c r="I308" s="4" t="s">
        <v>149</v>
      </c>
      <c r="J308" s="4" t="s">
        <v>662</v>
      </c>
      <c r="K308" s="4" t="str">
        <f>IFERROR(LEFT(T_LEAVE[[#This Row],[EMPLOYEE NAME]],LEN(T_LEAVE[[#This Row],[EMPLOYEE NAME]])-3),"")</f>
        <v>JUANILLO, ROELYN DELA PIZA</v>
      </c>
      <c r="L308" s="48">
        <f>IFERROR(DATEVALUE(TEXT(RIGHT(T_LEAVE[[#This Row],[LEAVE DATE]],LEN(T_LEAVE[[#This Row],[LEAVE DATE]])-6),"[$-en-US]d-mmm-yyyy;@")),"")</f>
        <v>43862</v>
      </c>
      <c r="M308" s="4" t="str">
        <f>IFERROR(TRIM(T_LEAVE[[#This Row],[TYPE]]),"")</f>
        <v>SICK LEAVE</v>
      </c>
      <c r="N308" s="69" t="str">
        <f>IFERROR(VLOOKUP(T_LEAVE[[#This Row],[LEAVE TYPE]],T_LEAVETYPE[#All],2,0),"")</f>
        <v>SL</v>
      </c>
    </row>
    <row r="309" spans="2:14" x14ac:dyDescent="0.25">
      <c r="B309" s="93">
        <v>43869</v>
      </c>
      <c r="C309" s="48" t="s">
        <v>169</v>
      </c>
      <c r="D309" s="48" t="s">
        <v>655</v>
      </c>
      <c r="E309" s="4" t="s">
        <v>89</v>
      </c>
      <c r="F309" s="49">
        <v>1</v>
      </c>
      <c r="G309" s="4" t="s">
        <v>661</v>
      </c>
      <c r="H309" s="4" t="s">
        <v>165</v>
      </c>
      <c r="I309" s="4" t="s">
        <v>149</v>
      </c>
      <c r="J309" s="4" t="s">
        <v>662</v>
      </c>
      <c r="K309" s="4" t="str">
        <f>IFERROR(LEFT(T_LEAVE[[#This Row],[EMPLOYEE NAME]],LEN(T_LEAVE[[#This Row],[EMPLOYEE NAME]])-3),"")</f>
        <v>JUANILLO, ROELYN DELA PIZA</v>
      </c>
      <c r="L309" s="48">
        <f>IFERROR(DATEVALUE(TEXT(RIGHT(T_LEAVE[[#This Row],[LEAVE DATE]],LEN(T_LEAVE[[#This Row],[LEAVE DATE]])-6),"[$-en-US]d-mmm-yyyy;@")),"")</f>
        <v>43863</v>
      </c>
      <c r="M309" s="4" t="str">
        <f>IFERROR(TRIM(T_LEAVE[[#This Row],[TYPE]]),"")</f>
        <v>SICK LEAVE</v>
      </c>
      <c r="N309" s="69" t="str">
        <f>IFERROR(VLOOKUP(T_LEAVE[[#This Row],[LEAVE TYPE]],T_LEAVETYPE[#All],2,0),"")</f>
        <v>SL</v>
      </c>
    </row>
    <row r="310" spans="2:14" x14ac:dyDescent="0.25">
      <c r="B310" s="93">
        <v>43869</v>
      </c>
      <c r="C310" s="48" t="s">
        <v>466</v>
      </c>
      <c r="D310" s="48" t="s">
        <v>655</v>
      </c>
      <c r="E310" s="4" t="s">
        <v>89</v>
      </c>
      <c r="F310" s="49">
        <v>1</v>
      </c>
      <c r="G310" s="4" t="s">
        <v>661</v>
      </c>
      <c r="H310" s="4" t="s">
        <v>165</v>
      </c>
      <c r="I310" s="4" t="s">
        <v>149</v>
      </c>
      <c r="J310" s="4" t="s">
        <v>662</v>
      </c>
      <c r="K310" s="4" t="str">
        <f>IFERROR(LEFT(T_LEAVE[[#This Row],[EMPLOYEE NAME]],LEN(T_LEAVE[[#This Row],[EMPLOYEE NAME]])-3),"")</f>
        <v>JUANILLO, ROELYN DELA PIZA</v>
      </c>
      <c r="L310" s="48">
        <f>IFERROR(DATEVALUE(TEXT(RIGHT(T_LEAVE[[#This Row],[LEAVE DATE]],LEN(T_LEAVE[[#This Row],[LEAVE DATE]])-6),"[$-en-US]d-mmm-yyyy;@")),"")</f>
        <v>43864</v>
      </c>
      <c r="M310" s="4" t="str">
        <f>IFERROR(TRIM(T_LEAVE[[#This Row],[TYPE]]),"")</f>
        <v>SICK LEAVE</v>
      </c>
      <c r="N310" s="69" t="str">
        <f>IFERROR(VLOOKUP(T_LEAVE[[#This Row],[LEAVE TYPE]],T_LEAVETYPE[#All],2,0),"")</f>
        <v>SL</v>
      </c>
    </row>
    <row r="311" spans="2:14" x14ac:dyDescent="0.25">
      <c r="B311" s="93">
        <v>43869</v>
      </c>
      <c r="C311" s="48" t="s">
        <v>522</v>
      </c>
      <c r="D311" s="48" t="s">
        <v>1033</v>
      </c>
      <c r="E311" s="4" t="s">
        <v>89</v>
      </c>
      <c r="F311" s="49">
        <v>1</v>
      </c>
      <c r="G311" s="4" t="s">
        <v>1042</v>
      </c>
      <c r="I311" s="4" t="s">
        <v>149</v>
      </c>
      <c r="J311" s="4" t="s">
        <v>1043</v>
      </c>
      <c r="K311" s="4" t="str">
        <f>IFERROR(LEFT(T_LEAVE[[#This Row],[EMPLOYEE NAME]],LEN(T_LEAVE[[#This Row],[EMPLOYEE NAME]])-3),"")</f>
        <v>VALLADARES, ALLEN</v>
      </c>
      <c r="L311" s="48">
        <f>IFERROR(DATEVALUE(TEXT(RIGHT(T_LEAVE[[#This Row],[LEAVE DATE]],LEN(T_LEAVE[[#This Row],[LEAVE DATE]])-6),"[$-en-US]d-mmm-yyyy;@")),"")</f>
        <v>43854</v>
      </c>
      <c r="M311" s="4" t="str">
        <f>IFERROR(TRIM(T_LEAVE[[#This Row],[TYPE]]),"")</f>
        <v>SICK LEAVE</v>
      </c>
      <c r="N311" s="69" t="str">
        <f>IFERROR(VLOOKUP(T_LEAVE[[#This Row],[LEAVE TYPE]],T_LEAVETYPE[#All],2,0),"")</f>
        <v>SL</v>
      </c>
    </row>
    <row r="312" spans="2:14" x14ac:dyDescent="0.25">
      <c r="B312" s="93">
        <v>43870</v>
      </c>
      <c r="C312" s="48" t="s">
        <v>232</v>
      </c>
      <c r="D312" s="48" t="s">
        <v>208</v>
      </c>
      <c r="E312" s="4" t="s">
        <v>88</v>
      </c>
      <c r="F312" s="49">
        <v>1</v>
      </c>
      <c r="G312" s="4" t="s">
        <v>233</v>
      </c>
      <c r="I312" s="4" t="s">
        <v>149</v>
      </c>
      <c r="J312" s="4" t="s">
        <v>234</v>
      </c>
      <c r="K312" s="4" t="str">
        <f>IFERROR(LEFT(T_LEAVE[[#This Row],[EMPLOYEE NAME]],LEN(T_LEAVE[[#This Row],[EMPLOYEE NAME]])-3),"")</f>
        <v>AQUINO, RODEL</v>
      </c>
      <c r="L312" s="48">
        <f>IFERROR(DATEVALUE(TEXT(RIGHT(T_LEAVE[[#This Row],[LEAVE DATE]],LEN(T_LEAVE[[#This Row],[LEAVE DATE]])-6),"[$-en-US]d-mmm-yyyy;@")),"")</f>
        <v>43896</v>
      </c>
      <c r="M312" s="4" t="str">
        <f>IFERROR(TRIM(T_LEAVE[[#This Row],[TYPE]]),"")</f>
        <v>VACATION LEAVE</v>
      </c>
      <c r="N312" s="4" t="str">
        <f>IFERROR(VLOOKUP(T_LEAVE[[#This Row],[LEAVE TYPE]],T_LEAVETYPE[#All],2,0),"")</f>
        <v>VL</v>
      </c>
    </row>
    <row r="313" spans="2:14" x14ac:dyDescent="0.25">
      <c r="B313" s="93">
        <v>43870</v>
      </c>
      <c r="C313" s="48" t="s">
        <v>235</v>
      </c>
      <c r="D313" s="48" t="s">
        <v>208</v>
      </c>
      <c r="E313" s="4" t="s">
        <v>88</v>
      </c>
      <c r="F313" s="49">
        <v>1</v>
      </c>
      <c r="G313" s="4" t="s">
        <v>233</v>
      </c>
      <c r="I313" s="4" t="s">
        <v>149</v>
      </c>
      <c r="J313" s="4" t="s">
        <v>234</v>
      </c>
      <c r="K313" s="4" t="str">
        <f>IFERROR(LEFT(T_LEAVE[[#This Row],[EMPLOYEE NAME]],LEN(T_LEAVE[[#This Row],[EMPLOYEE NAME]])-3),"")</f>
        <v>AQUINO, RODEL</v>
      </c>
      <c r="L313" s="48">
        <f>IFERROR(DATEVALUE(TEXT(RIGHT(T_LEAVE[[#This Row],[LEAVE DATE]],LEN(T_LEAVE[[#This Row],[LEAVE DATE]])-6),"[$-en-US]d-mmm-yyyy;@")),"")</f>
        <v>43897</v>
      </c>
      <c r="M313" s="4" t="str">
        <f>IFERROR(TRIM(T_LEAVE[[#This Row],[TYPE]]),"")</f>
        <v>VACATION LEAVE</v>
      </c>
      <c r="N313" s="69" t="str">
        <f>IFERROR(VLOOKUP(T_LEAVE[[#This Row],[LEAVE TYPE]],T_LEAVETYPE[#All],2,0),"")</f>
        <v>VL</v>
      </c>
    </row>
    <row r="314" spans="2:14" x14ac:dyDescent="0.25">
      <c r="B314" s="93">
        <v>43871</v>
      </c>
      <c r="C314" s="48" t="s">
        <v>525</v>
      </c>
      <c r="D314" s="48" t="s">
        <v>579</v>
      </c>
      <c r="E314" s="4" t="s">
        <v>88</v>
      </c>
      <c r="F314" s="49">
        <v>1</v>
      </c>
      <c r="G314" s="4" t="s">
        <v>319</v>
      </c>
      <c r="I314" s="4" t="s">
        <v>149</v>
      </c>
      <c r="J314" s="4" t="s">
        <v>584</v>
      </c>
      <c r="K314" s="4" t="str">
        <f>IFERROR(LEFT(T_LEAVE[[#This Row],[EMPLOYEE NAME]],LEN(T_LEAVE[[#This Row],[EMPLOYEE NAME]])-3),"")</f>
        <v>GORDORA, AIREEN GRACE</v>
      </c>
      <c r="L314" s="48">
        <f>IFERROR(DATEVALUE(TEXT(RIGHT(T_LEAVE[[#This Row],[LEAVE DATE]],LEN(T_LEAVE[[#This Row],[LEAVE DATE]])-6),"[$-en-US]d-mmm-yyyy;@")),"")</f>
        <v>43882</v>
      </c>
      <c r="M314" s="4" t="str">
        <f>IFERROR(TRIM(T_LEAVE[[#This Row],[TYPE]]),"")</f>
        <v>VACATION LEAVE</v>
      </c>
      <c r="N314" s="69" t="str">
        <f>IFERROR(VLOOKUP(T_LEAVE[[#This Row],[LEAVE TYPE]],T_LEAVETYPE[#All],2,0),"")</f>
        <v>VL</v>
      </c>
    </row>
    <row r="315" spans="2:14" x14ac:dyDescent="0.25">
      <c r="B315" s="93">
        <v>43871</v>
      </c>
      <c r="C315" s="48" t="s">
        <v>1013</v>
      </c>
      <c r="D315" s="48" t="s">
        <v>1004</v>
      </c>
      <c r="E315" s="4" t="s">
        <v>88</v>
      </c>
      <c r="F315" s="49">
        <v>1</v>
      </c>
      <c r="G315" s="4" t="s">
        <v>1014</v>
      </c>
      <c r="I315" s="4" t="s">
        <v>149</v>
      </c>
      <c r="J315" s="4" t="s">
        <v>1015</v>
      </c>
      <c r="K315" s="4" t="str">
        <f>IFERROR(LEFT(T_LEAVE[[#This Row],[EMPLOYEE NAME]],LEN(T_LEAVE[[#This Row],[EMPLOYEE NAME]])-3),"")</f>
        <v>VALENCIA, WINDSOR ROBERT</v>
      </c>
      <c r="L315" s="48">
        <f>IFERROR(DATEVALUE(TEXT(RIGHT(T_LEAVE[[#This Row],[LEAVE DATE]],LEN(T_LEAVE[[#This Row],[LEAVE DATE]])-6),"[$-en-US]d-mmm-yyyy;@")),"")</f>
        <v>43871</v>
      </c>
      <c r="M315" s="4" t="str">
        <f>IFERROR(TRIM(T_LEAVE[[#This Row],[TYPE]]),"")</f>
        <v>VACATION LEAVE</v>
      </c>
      <c r="N315" s="69" t="str">
        <f>IFERROR(VLOOKUP(T_LEAVE[[#This Row],[LEAVE TYPE]],T_LEAVETYPE[#All],2,0),"")</f>
        <v>VL</v>
      </c>
    </row>
    <row r="316" spans="2:14" x14ac:dyDescent="0.25">
      <c r="B316" s="93">
        <v>43873</v>
      </c>
      <c r="C316" s="48" t="s">
        <v>525</v>
      </c>
      <c r="D316" s="48" t="s">
        <v>541</v>
      </c>
      <c r="E316" s="4" t="s">
        <v>88</v>
      </c>
      <c r="F316" s="49">
        <v>1</v>
      </c>
      <c r="G316" s="4" t="s">
        <v>546</v>
      </c>
      <c r="I316" s="4" t="s">
        <v>149</v>
      </c>
      <c r="J316" s="4" t="s">
        <v>469</v>
      </c>
      <c r="K316" s="4" t="str">
        <f>IFERROR(LEFT(T_LEAVE[[#This Row],[EMPLOYEE NAME]],LEN(T_LEAVE[[#This Row],[EMPLOYEE NAME]])-3),"")</f>
        <v>GARCINES, SHENALD</v>
      </c>
      <c r="L316" s="48">
        <f>IFERROR(DATEVALUE(TEXT(RIGHT(T_LEAVE[[#This Row],[LEAVE DATE]],LEN(T_LEAVE[[#This Row],[LEAVE DATE]])-6),"[$-en-US]d-mmm-yyyy;@")),"")</f>
        <v>43882</v>
      </c>
      <c r="M316" s="4" t="str">
        <f>IFERROR(TRIM(T_LEAVE[[#This Row],[TYPE]]),"")</f>
        <v>VACATION LEAVE</v>
      </c>
      <c r="N316" s="69" t="str">
        <f>IFERROR(VLOOKUP(T_LEAVE[[#This Row],[LEAVE TYPE]],T_LEAVETYPE[#All],2,0),"")</f>
        <v>VL</v>
      </c>
    </row>
    <row r="317" spans="2:14" x14ac:dyDescent="0.25">
      <c r="B317" s="93">
        <v>43874</v>
      </c>
      <c r="C317" s="48" t="s">
        <v>468</v>
      </c>
      <c r="D317" s="48" t="s">
        <v>463</v>
      </c>
      <c r="E317" s="4" t="s">
        <v>88</v>
      </c>
      <c r="F317" s="49">
        <v>1</v>
      </c>
      <c r="G317" s="4" t="s">
        <v>88</v>
      </c>
      <c r="I317" s="4" t="s">
        <v>149</v>
      </c>
      <c r="J317" s="4" t="s">
        <v>469</v>
      </c>
      <c r="K317" s="4" t="str">
        <f>IFERROR(LEFT(T_LEAVE[[#This Row],[EMPLOYEE NAME]],LEN(T_LEAVE[[#This Row],[EMPLOYEE NAME]])-3),"")</f>
        <v>DEDEL, BRIAN KOBE</v>
      </c>
      <c r="L317" s="48">
        <f>IFERROR(DATEVALUE(TEXT(RIGHT(T_LEAVE[[#This Row],[LEAVE DATE]],LEN(T_LEAVE[[#This Row],[LEAVE DATE]])-6),"[$-en-US]d-mmm-yyyy;@")),"")</f>
        <v>43887</v>
      </c>
      <c r="M317" s="4" t="str">
        <f>IFERROR(TRIM(T_LEAVE[[#This Row],[TYPE]]),"")</f>
        <v>VACATION LEAVE</v>
      </c>
      <c r="N317" s="69" t="str">
        <f>IFERROR(VLOOKUP(T_LEAVE[[#This Row],[LEAVE TYPE]],T_LEAVETYPE[#All],2,0),"")</f>
        <v>VL</v>
      </c>
    </row>
    <row r="318" spans="2:14" x14ac:dyDescent="0.25">
      <c r="B318" s="93">
        <v>43875</v>
      </c>
      <c r="C318" s="48" t="s">
        <v>321</v>
      </c>
      <c r="D318" s="48" t="s">
        <v>989</v>
      </c>
      <c r="E318" s="4" t="s">
        <v>89</v>
      </c>
      <c r="F318" s="49">
        <v>1</v>
      </c>
      <c r="G318" s="4" t="s">
        <v>999</v>
      </c>
      <c r="I318" s="4" t="s">
        <v>149</v>
      </c>
      <c r="J318" s="4" t="s">
        <v>1000</v>
      </c>
      <c r="K318" s="4" t="str">
        <f>IFERROR(LEFT(T_LEAVE[[#This Row],[EMPLOYEE NAME]],LEN(T_LEAVE[[#This Row],[EMPLOYEE NAME]])-3),"")</f>
        <v>TABUNAN, LIZEL</v>
      </c>
      <c r="L318" s="48">
        <f>IFERROR(DATEVALUE(TEXT(RIGHT(T_LEAVE[[#This Row],[LEAVE DATE]],LEN(T_LEAVE[[#This Row],[LEAVE DATE]])-6),"[$-en-US]d-mmm-yyyy;@")),"")</f>
        <v>43878</v>
      </c>
      <c r="M318" s="4" t="str">
        <f>IFERROR(TRIM(T_LEAVE[[#This Row],[TYPE]]),"")</f>
        <v>SICK LEAVE</v>
      </c>
      <c r="N318" s="69" t="str">
        <f>IFERROR(VLOOKUP(T_LEAVE[[#This Row],[LEAVE TYPE]],T_LEAVETYPE[#All],2,0),"")</f>
        <v>SL</v>
      </c>
    </row>
    <row r="319" spans="2:14" x14ac:dyDescent="0.25">
      <c r="B319" s="93">
        <v>43875</v>
      </c>
      <c r="C319" s="48" t="s">
        <v>229</v>
      </c>
      <c r="D319" s="48" t="s">
        <v>989</v>
      </c>
      <c r="E319" s="4" t="s">
        <v>89</v>
      </c>
      <c r="F319" s="49">
        <v>1</v>
      </c>
      <c r="G319" s="4" t="s">
        <v>999</v>
      </c>
      <c r="I319" s="4" t="s">
        <v>149</v>
      </c>
      <c r="J319" s="4" t="s">
        <v>1000</v>
      </c>
      <c r="K319" s="4" t="str">
        <f>IFERROR(LEFT(T_LEAVE[[#This Row],[EMPLOYEE NAME]],LEN(T_LEAVE[[#This Row],[EMPLOYEE NAME]])-3),"")</f>
        <v>TABUNAN, LIZEL</v>
      </c>
      <c r="L319" s="48">
        <f>IFERROR(DATEVALUE(TEXT(RIGHT(T_LEAVE[[#This Row],[LEAVE DATE]],LEN(T_LEAVE[[#This Row],[LEAVE DATE]])-6),"[$-en-US]d-mmm-yyyy;@")),"")</f>
        <v>43879</v>
      </c>
      <c r="M319" s="4" t="str">
        <f>IFERROR(TRIM(T_LEAVE[[#This Row],[TYPE]]),"")</f>
        <v>SICK LEAVE</v>
      </c>
      <c r="N319" s="69" t="str">
        <f>IFERROR(VLOOKUP(T_LEAVE[[#This Row],[LEAVE TYPE]],T_LEAVETYPE[#All],2,0),"")</f>
        <v>SL</v>
      </c>
    </row>
    <row r="320" spans="2:14" x14ac:dyDescent="0.25">
      <c r="B320" s="93">
        <v>43878</v>
      </c>
      <c r="C320" s="48" t="s">
        <v>663</v>
      </c>
      <c r="D320" s="48" t="s">
        <v>655</v>
      </c>
      <c r="E320" s="4" t="s">
        <v>88</v>
      </c>
      <c r="F320" s="49">
        <v>1</v>
      </c>
      <c r="G320" s="4" t="s">
        <v>664</v>
      </c>
      <c r="I320" s="4" t="s">
        <v>149</v>
      </c>
      <c r="J320" s="4" t="s">
        <v>665</v>
      </c>
      <c r="K320" s="4" t="str">
        <f>IFERROR(LEFT(T_LEAVE[[#This Row],[EMPLOYEE NAME]],LEN(T_LEAVE[[#This Row],[EMPLOYEE NAME]])-3),"")</f>
        <v>JUANILLO, ROELYN DELA PIZA</v>
      </c>
      <c r="L320" s="48">
        <f>IFERROR(DATEVALUE(TEXT(RIGHT(T_LEAVE[[#This Row],[LEAVE DATE]],LEN(T_LEAVE[[#This Row],[LEAVE DATE]])-6),"[$-en-US]d-mmm-yyyy;@")),"")</f>
        <v>43883</v>
      </c>
      <c r="M320" s="4" t="str">
        <f>IFERROR(TRIM(T_LEAVE[[#This Row],[TYPE]]),"")</f>
        <v>VACATION LEAVE</v>
      </c>
      <c r="N320" s="69" t="str">
        <f>IFERROR(VLOOKUP(T_LEAVE[[#This Row],[LEAVE TYPE]],T_LEAVETYPE[#All],2,0),"")</f>
        <v>VL</v>
      </c>
    </row>
    <row r="321" spans="2:14" x14ac:dyDescent="0.25">
      <c r="B321" s="93">
        <v>43878</v>
      </c>
      <c r="C321" s="48" t="s">
        <v>225</v>
      </c>
      <c r="D321" s="48" t="s">
        <v>899</v>
      </c>
      <c r="E321" s="4" t="s">
        <v>698</v>
      </c>
      <c r="F321" s="49">
        <v>1</v>
      </c>
      <c r="G321" s="4" t="s">
        <v>910</v>
      </c>
      <c r="H321" s="4" t="s">
        <v>165</v>
      </c>
      <c r="I321" s="4" t="s">
        <v>149</v>
      </c>
      <c r="J321" s="4" t="s">
        <v>911</v>
      </c>
      <c r="K321" s="4" t="str">
        <f>IFERROR(LEFT(T_LEAVE[[#This Row],[EMPLOYEE NAME]],LEN(T_LEAVE[[#This Row],[EMPLOYEE NAME]])-3),"")</f>
        <v>PATULOT, MARIROSE</v>
      </c>
      <c r="L321" s="48">
        <f>IFERROR(DATEVALUE(TEXT(RIGHT(T_LEAVE[[#This Row],[LEAVE DATE]],LEN(T_LEAVE[[#This Row],[LEAVE DATE]])-6),"[$-en-US]d-mmm-yyyy;@")),"")</f>
        <v>43875</v>
      </c>
      <c r="M321" s="4" t="str">
        <f>IFERROR(TRIM(T_LEAVE[[#This Row],[TYPE]]),"")</f>
        <v>SOLO PARENT LEAVE</v>
      </c>
      <c r="N321" s="69" t="str">
        <f>IFERROR(VLOOKUP(T_LEAVE[[#This Row],[LEAVE TYPE]],T_LEAVETYPE[#All],2,0),"")</f>
        <v/>
      </c>
    </row>
    <row r="322" spans="2:14" x14ac:dyDescent="0.25">
      <c r="B322" s="93">
        <v>43879</v>
      </c>
      <c r="C322" s="48" t="s">
        <v>321</v>
      </c>
      <c r="D322" s="48" t="s">
        <v>382</v>
      </c>
      <c r="E322" s="4" t="s">
        <v>89</v>
      </c>
      <c r="F322" s="49">
        <v>1</v>
      </c>
      <c r="G322" s="4" t="s">
        <v>398</v>
      </c>
      <c r="I322" s="4" t="s">
        <v>149</v>
      </c>
      <c r="J322" s="4" t="s">
        <v>399</v>
      </c>
      <c r="K322" s="4" t="str">
        <f>IFERROR(LEFT(T_LEAVE[[#This Row],[EMPLOYEE NAME]],LEN(T_LEAVE[[#This Row],[EMPLOYEE NAME]])-3),"")</f>
        <v>CONSTANTINO, IAN ARCHIMEDES</v>
      </c>
      <c r="L322" s="48">
        <f>IFERROR(DATEVALUE(TEXT(RIGHT(T_LEAVE[[#This Row],[LEAVE DATE]],LEN(T_LEAVE[[#This Row],[LEAVE DATE]])-6),"[$-en-US]d-mmm-yyyy;@")),"")</f>
        <v>43878</v>
      </c>
      <c r="M322" s="4" t="str">
        <f>IFERROR(TRIM(T_LEAVE[[#This Row],[TYPE]]),"")</f>
        <v>SICK LEAVE</v>
      </c>
      <c r="N322" s="69" t="str">
        <f>IFERROR(VLOOKUP(T_LEAVE[[#This Row],[LEAVE TYPE]],T_LEAVETYPE[#All],2,0),"")</f>
        <v>SL</v>
      </c>
    </row>
    <row r="323" spans="2:14" x14ac:dyDescent="0.25">
      <c r="B323" s="93">
        <v>43881</v>
      </c>
      <c r="C323" s="48" t="s">
        <v>229</v>
      </c>
      <c r="D323" s="48" t="s">
        <v>923</v>
      </c>
      <c r="E323" s="4" t="s">
        <v>89</v>
      </c>
      <c r="F323" s="49">
        <v>1</v>
      </c>
      <c r="G323" s="4" t="s">
        <v>933</v>
      </c>
      <c r="I323" s="4" t="s">
        <v>149</v>
      </c>
      <c r="J323" s="4" t="s">
        <v>934</v>
      </c>
      <c r="K323" s="4" t="str">
        <f>IFERROR(LEFT(T_LEAVE[[#This Row],[EMPLOYEE NAME]],LEN(T_LEAVE[[#This Row],[EMPLOYEE NAME]])-3),"")</f>
        <v>REOTIREZ, REYMONG</v>
      </c>
      <c r="L323" s="48">
        <f>IFERROR(DATEVALUE(TEXT(RIGHT(T_LEAVE[[#This Row],[LEAVE DATE]],LEN(T_LEAVE[[#This Row],[LEAVE DATE]])-6),"[$-en-US]d-mmm-yyyy;@")),"")</f>
        <v>43879</v>
      </c>
      <c r="M323" s="4" t="str">
        <f>IFERROR(TRIM(T_LEAVE[[#This Row],[TYPE]]),"")</f>
        <v>SICK LEAVE</v>
      </c>
      <c r="N323" s="69" t="str">
        <f>IFERROR(VLOOKUP(T_LEAVE[[#This Row],[LEAVE TYPE]],T_LEAVETYPE[#All],2,0),"")</f>
        <v>SL</v>
      </c>
    </row>
    <row r="324" spans="2:14" x14ac:dyDescent="0.25">
      <c r="B324" s="93">
        <v>43882</v>
      </c>
      <c r="C324" s="48" t="s">
        <v>765</v>
      </c>
      <c r="D324" s="48" t="s">
        <v>939</v>
      </c>
      <c r="E324" s="4" t="s">
        <v>89</v>
      </c>
      <c r="F324" s="49">
        <v>1</v>
      </c>
      <c r="G324" s="4" t="s">
        <v>945</v>
      </c>
      <c r="I324" s="4" t="s">
        <v>149</v>
      </c>
      <c r="J324" s="4" t="s">
        <v>934</v>
      </c>
      <c r="K324" s="4" t="str">
        <f>IFERROR(LEFT(T_LEAVE[[#This Row],[EMPLOYEE NAME]],LEN(T_LEAVE[[#This Row],[EMPLOYEE NAME]])-3),"")</f>
        <v>ROCA, SHARON</v>
      </c>
      <c r="L324" s="48">
        <f>IFERROR(DATEVALUE(TEXT(RIGHT(T_LEAVE[[#This Row],[LEAVE DATE]],LEN(T_LEAVE[[#This Row],[LEAVE DATE]])-6),"[$-en-US]d-mmm-yyyy;@")),"")</f>
        <v>43881</v>
      </c>
      <c r="M324" s="4" t="str">
        <f>IFERROR(TRIM(T_LEAVE[[#This Row],[TYPE]]),"")</f>
        <v>SICK LEAVE</v>
      </c>
      <c r="N324" s="69" t="str">
        <f>IFERROR(VLOOKUP(T_LEAVE[[#This Row],[LEAVE TYPE]],T_LEAVETYPE[#All],2,0),"")</f>
        <v>SL</v>
      </c>
    </row>
    <row r="325" spans="2:14" x14ac:dyDescent="0.25">
      <c r="B325" s="93">
        <v>43882</v>
      </c>
      <c r="C325" s="48" t="s">
        <v>765</v>
      </c>
      <c r="D325" s="48" t="s">
        <v>950</v>
      </c>
      <c r="E325" s="4" t="s">
        <v>89</v>
      </c>
      <c r="F325" s="49">
        <v>1</v>
      </c>
      <c r="G325" s="4" t="s">
        <v>956</v>
      </c>
      <c r="I325" s="4" t="s">
        <v>149</v>
      </c>
      <c r="J325" s="4" t="s">
        <v>957</v>
      </c>
      <c r="K325" s="4" t="str">
        <f>IFERROR(LEFT(T_LEAVE[[#This Row],[EMPLOYEE NAME]],LEN(T_LEAVE[[#This Row],[EMPLOYEE NAME]])-3),"")</f>
        <v>SANTOS, JERICK</v>
      </c>
      <c r="L325" s="48">
        <f>IFERROR(DATEVALUE(TEXT(RIGHT(T_LEAVE[[#This Row],[LEAVE DATE]],LEN(T_LEAVE[[#This Row],[LEAVE DATE]])-6),"[$-en-US]d-mmm-yyyy;@")),"")</f>
        <v>43881</v>
      </c>
      <c r="M325" s="4" t="str">
        <f>IFERROR(TRIM(T_LEAVE[[#This Row],[TYPE]]),"")</f>
        <v>SICK LEAVE</v>
      </c>
      <c r="N325" s="69" t="str">
        <f>IFERROR(VLOOKUP(T_LEAVE[[#This Row],[LEAVE TYPE]],T_LEAVETYPE[#All],2,0),"")</f>
        <v>SL</v>
      </c>
    </row>
    <row r="326" spans="2:14" x14ac:dyDescent="0.25">
      <c r="B326" s="93">
        <v>43882</v>
      </c>
      <c r="C326" s="48" t="s">
        <v>765</v>
      </c>
      <c r="D326" s="48" t="s">
        <v>1004</v>
      </c>
      <c r="E326" s="4" t="s">
        <v>89</v>
      </c>
      <c r="F326" s="49">
        <v>1</v>
      </c>
      <c r="G326" s="4" t="s">
        <v>674</v>
      </c>
      <c r="I326" s="4" t="s">
        <v>149</v>
      </c>
      <c r="J326" s="4" t="s">
        <v>957</v>
      </c>
      <c r="K326" s="4" t="str">
        <f>IFERROR(LEFT(T_LEAVE[[#This Row],[EMPLOYEE NAME]],LEN(T_LEAVE[[#This Row],[EMPLOYEE NAME]])-3),"")</f>
        <v>VALENCIA, WINDSOR ROBERT</v>
      </c>
      <c r="L326" s="48">
        <f>IFERROR(DATEVALUE(TEXT(RIGHT(T_LEAVE[[#This Row],[LEAVE DATE]],LEN(T_LEAVE[[#This Row],[LEAVE DATE]])-6),"[$-en-US]d-mmm-yyyy;@")),"")</f>
        <v>43881</v>
      </c>
      <c r="M326" s="4" t="str">
        <f>IFERROR(TRIM(T_LEAVE[[#This Row],[TYPE]]),"")</f>
        <v>SICK LEAVE</v>
      </c>
      <c r="N326" s="69" t="str">
        <f>IFERROR(VLOOKUP(T_LEAVE[[#This Row],[LEAVE TYPE]],T_LEAVETYPE[#All],2,0),"")</f>
        <v>SL</v>
      </c>
    </row>
    <row r="327" spans="2:14" x14ac:dyDescent="0.25">
      <c r="B327" s="93">
        <v>43883</v>
      </c>
      <c r="C327" s="48" t="s">
        <v>229</v>
      </c>
      <c r="D327" s="48" t="s">
        <v>208</v>
      </c>
      <c r="E327" s="4" t="s">
        <v>89</v>
      </c>
      <c r="F327" s="49">
        <v>1</v>
      </c>
      <c r="G327" s="4" t="s">
        <v>230</v>
      </c>
      <c r="I327" s="4" t="s">
        <v>149</v>
      </c>
      <c r="J327" s="4" t="s">
        <v>231</v>
      </c>
      <c r="K327" s="4" t="str">
        <f>IFERROR(LEFT(T_LEAVE[[#This Row],[EMPLOYEE NAME]],LEN(T_LEAVE[[#This Row],[EMPLOYEE NAME]])-3),"")</f>
        <v>AQUINO, RODEL</v>
      </c>
      <c r="L327" s="48">
        <f>IFERROR(DATEVALUE(TEXT(RIGHT(T_LEAVE[[#This Row],[LEAVE DATE]],LEN(T_LEAVE[[#This Row],[LEAVE DATE]])-6),"[$-en-US]d-mmm-yyyy;@")),"")</f>
        <v>43879</v>
      </c>
      <c r="M327" s="4" t="str">
        <f>IFERROR(TRIM(T_LEAVE[[#This Row],[TYPE]]),"")</f>
        <v>SICK LEAVE</v>
      </c>
      <c r="N327" s="4" t="str">
        <f>IFERROR(VLOOKUP(T_LEAVE[[#This Row],[LEAVE TYPE]],T_LEAVETYPE[#All],2,0),"")</f>
        <v>SL</v>
      </c>
    </row>
    <row r="328" spans="2:14" x14ac:dyDescent="0.25">
      <c r="B328" s="93">
        <v>43885</v>
      </c>
      <c r="C328" s="48" t="s">
        <v>814</v>
      </c>
      <c r="D328" s="48" t="s">
        <v>811</v>
      </c>
      <c r="E328" s="4" t="s">
        <v>88</v>
      </c>
      <c r="F328" s="49">
        <v>1</v>
      </c>
      <c r="G328" s="4" t="s">
        <v>815</v>
      </c>
      <c r="I328" s="4" t="s">
        <v>149</v>
      </c>
      <c r="J328" s="4" t="s">
        <v>816</v>
      </c>
      <c r="K328" s="4" t="str">
        <f>IFERROR(LEFT(T_LEAVE[[#This Row],[EMPLOYEE NAME]],LEN(T_LEAVE[[#This Row],[EMPLOYEE NAME]])-3),"")</f>
        <v>MAGNO, ALVIN</v>
      </c>
      <c r="L328" s="48">
        <f>IFERROR(DATEVALUE(TEXT(RIGHT(T_LEAVE[[#This Row],[LEAVE DATE]],LEN(T_LEAVE[[#This Row],[LEAVE DATE]])-6),"[$-en-US]d-mmm-yyyy;@")),"")</f>
        <v>43898</v>
      </c>
      <c r="M328" s="4" t="str">
        <f>IFERROR(TRIM(T_LEAVE[[#This Row],[TYPE]]),"")</f>
        <v>VACATION LEAVE</v>
      </c>
      <c r="N328" s="69" t="str">
        <f>IFERROR(VLOOKUP(T_LEAVE[[#This Row],[LEAVE TYPE]],T_LEAVETYPE[#All],2,0),"")</f>
        <v>VL</v>
      </c>
    </row>
    <row r="329" spans="2:14" x14ac:dyDescent="0.25">
      <c r="B329" s="93">
        <v>43886</v>
      </c>
      <c r="C329" s="48" t="s">
        <v>229</v>
      </c>
      <c r="D329" s="48" t="s">
        <v>629</v>
      </c>
      <c r="E329" s="4" t="s">
        <v>89</v>
      </c>
      <c r="F329" s="49">
        <v>1</v>
      </c>
      <c r="G329" s="4" t="s">
        <v>547</v>
      </c>
      <c r="I329" s="4" t="s">
        <v>149</v>
      </c>
      <c r="J329" s="4" t="s">
        <v>642</v>
      </c>
      <c r="K329" s="4" t="str">
        <f>IFERROR(LEFT(T_LEAVE[[#This Row],[EMPLOYEE NAME]],LEN(T_LEAVE[[#This Row],[EMPLOYEE NAME]])-3),"")</f>
        <v>JAIME, JACYLYN</v>
      </c>
      <c r="L329" s="48">
        <f>IFERROR(DATEVALUE(TEXT(RIGHT(T_LEAVE[[#This Row],[LEAVE DATE]],LEN(T_LEAVE[[#This Row],[LEAVE DATE]])-6),"[$-en-US]d-mmm-yyyy;@")),"")</f>
        <v>43879</v>
      </c>
      <c r="M329" s="4" t="str">
        <f>IFERROR(TRIM(T_LEAVE[[#This Row],[TYPE]]),"")</f>
        <v>SICK LEAVE</v>
      </c>
      <c r="N329" s="69" t="str">
        <f>IFERROR(VLOOKUP(T_LEAVE[[#This Row],[LEAVE TYPE]],T_LEAVETYPE[#All],2,0),"")</f>
        <v>SL</v>
      </c>
    </row>
    <row r="330" spans="2:14" x14ac:dyDescent="0.25">
      <c r="B330" s="93">
        <v>43887</v>
      </c>
      <c r="C330" s="48" t="s">
        <v>487</v>
      </c>
      <c r="D330" s="48" t="s">
        <v>480</v>
      </c>
      <c r="E330" s="4" t="s">
        <v>88</v>
      </c>
      <c r="F330" s="49">
        <v>1</v>
      </c>
      <c r="G330" s="4" t="s">
        <v>488</v>
      </c>
      <c r="I330" s="4" t="s">
        <v>149</v>
      </c>
      <c r="J330" s="4" t="s">
        <v>428</v>
      </c>
      <c r="K330" s="4" t="str">
        <f>IFERROR(LEFT(T_LEAVE[[#This Row],[EMPLOYEE NAME]],LEN(T_LEAVE[[#This Row],[EMPLOYEE NAME]])-3),"")</f>
        <v>DELA CRUZ, R-JOHN</v>
      </c>
      <c r="L330" s="48">
        <f>IFERROR(DATEVALUE(TEXT(RIGHT(T_LEAVE[[#This Row],[LEAVE DATE]],LEN(T_LEAVE[[#This Row],[LEAVE DATE]])-6),"[$-en-US]d-mmm-yyyy;@")),"")</f>
        <v>43907</v>
      </c>
      <c r="M330" s="4" t="str">
        <f>IFERROR(TRIM(T_LEAVE[[#This Row],[TYPE]]),"")</f>
        <v>VACATION LEAVE</v>
      </c>
      <c r="N330" s="69" t="str">
        <f>IFERROR(VLOOKUP(T_LEAVE[[#This Row],[LEAVE TYPE]],T_LEAVETYPE[#All],2,0),"")</f>
        <v>VL</v>
      </c>
    </row>
    <row r="331" spans="2:14" x14ac:dyDescent="0.25">
      <c r="B331" s="93">
        <v>43887</v>
      </c>
      <c r="C331" s="48" t="s">
        <v>274</v>
      </c>
      <c r="D331" s="48" t="s">
        <v>496</v>
      </c>
      <c r="E331" s="4" t="s">
        <v>88</v>
      </c>
      <c r="F331" s="49">
        <v>1</v>
      </c>
      <c r="G331" s="4" t="s">
        <v>506</v>
      </c>
      <c r="I331" s="4" t="s">
        <v>149</v>
      </c>
      <c r="J331" s="4" t="s">
        <v>428</v>
      </c>
      <c r="K331" s="4" t="str">
        <f>IFERROR(LEFT(T_LEAVE[[#This Row],[EMPLOYEE NAME]],LEN(T_LEAVE[[#This Row],[EMPLOYEE NAME]])-3),"")</f>
        <v>FACTO, SHANICE</v>
      </c>
      <c r="L331" s="48">
        <f>IFERROR(DATEVALUE(TEXT(RIGHT(T_LEAVE[[#This Row],[LEAVE DATE]],LEN(T_LEAVE[[#This Row],[LEAVE DATE]])-6),"[$-en-US]d-mmm-yyyy;@")),"")</f>
        <v>43895</v>
      </c>
      <c r="M331" s="4" t="str">
        <f>IFERROR(TRIM(T_LEAVE[[#This Row],[TYPE]]),"")</f>
        <v>VACATION LEAVE</v>
      </c>
      <c r="N331" s="69" t="str">
        <f>IFERROR(VLOOKUP(T_LEAVE[[#This Row],[LEAVE TYPE]],T_LEAVETYPE[#All],2,0),"")</f>
        <v>VL</v>
      </c>
    </row>
    <row r="332" spans="2:14" x14ac:dyDescent="0.25">
      <c r="B332" s="93">
        <v>43887</v>
      </c>
      <c r="C332" s="48" t="s">
        <v>232</v>
      </c>
      <c r="D332" s="48" t="s">
        <v>496</v>
      </c>
      <c r="E332" s="4" t="s">
        <v>88</v>
      </c>
      <c r="F332" s="49">
        <v>1</v>
      </c>
      <c r="G332" s="4" t="s">
        <v>506</v>
      </c>
      <c r="I332" s="4" t="s">
        <v>149</v>
      </c>
      <c r="J332" s="4" t="s">
        <v>507</v>
      </c>
      <c r="K332" s="4" t="str">
        <f>IFERROR(LEFT(T_LEAVE[[#This Row],[EMPLOYEE NAME]],LEN(T_LEAVE[[#This Row],[EMPLOYEE NAME]])-3),"")</f>
        <v>FACTO, SHANICE</v>
      </c>
      <c r="L332" s="48">
        <f>IFERROR(DATEVALUE(TEXT(RIGHT(T_LEAVE[[#This Row],[LEAVE DATE]],LEN(T_LEAVE[[#This Row],[LEAVE DATE]])-6),"[$-en-US]d-mmm-yyyy;@")),"")</f>
        <v>43896</v>
      </c>
      <c r="M332" s="4" t="str">
        <f>IFERROR(TRIM(T_LEAVE[[#This Row],[TYPE]]),"")</f>
        <v>VACATION LEAVE</v>
      </c>
      <c r="N332" s="69" t="str">
        <f>IFERROR(VLOOKUP(T_LEAVE[[#This Row],[LEAVE TYPE]],T_LEAVETYPE[#All],2,0),"")</f>
        <v>VL</v>
      </c>
    </row>
    <row r="333" spans="2:14" x14ac:dyDescent="0.25">
      <c r="B333" s="93">
        <v>43888</v>
      </c>
      <c r="C333" s="48" t="s">
        <v>376</v>
      </c>
      <c r="D333" s="48" t="s">
        <v>365</v>
      </c>
      <c r="E333" s="4" t="s">
        <v>89</v>
      </c>
      <c r="F333" s="49">
        <v>1</v>
      </c>
      <c r="G333" s="4" t="s">
        <v>377</v>
      </c>
      <c r="I333" s="4" t="s">
        <v>149</v>
      </c>
      <c r="J333" s="4" t="s">
        <v>378</v>
      </c>
      <c r="K333" s="4" t="str">
        <f>IFERROR(LEFT(T_LEAVE[[#This Row],[EMPLOYEE NAME]],LEN(T_LEAVE[[#This Row],[EMPLOYEE NAME]])-3),"")</f>
        <v>CASAS JR., BERNARDO</v>
      </c>
      <c r="L333" s="48">
        <f>IFERROR(DATEVALUE(TEXT(RIGHT(T_LEAVE[[#This Row],[LEAVE DATE]],LEN(T_LEAVE[[#This Row],[LEAVE DATE]])-6),"[$-en-US]d-mmm-yyyy;@")),"")</f>
        <v>43886</v>
      </c>
      <c r="M333" s="4" t="str">
        <f>IFERROR(TRIM(T_LEAVE[[#This Row],[TYPE]]),"")</f>
        <v>SICK LEAVE</v>
      </c>
      <c r="N333" s="69" t="str">
        <f>IFERROR(VLOOKUP(T_LEAVE[[#This Row],[LEAVE TYPE]],T_LEAVETYPE[#All],2,0),"")</f>
        <v>SL</v>
      </c>
    </row>
    <row r="334" spans="2:14" x14ac:dyDescent="0.25">
      <c r="B334" s="93">
        <v>43889</v>
      </c>
      <c r="C334" s="48" t="s">
        <v>472</v>
      </c>
      <c r="D334" s="48" t="s">
        <v>541</v>
      </c>
      <c r="E334" s="4" t="s">
        <v>88</v>
      </c>
      <c r="F334" s="49">
        <v>1</v>
      </c>
      <c r="G334" s="4" t="s">
        <v>555</v>
      </c>
      <c r="I334" s="4" t="s">
        <v>149</v>
      </c>
      <c r="J334" s="4" t="s">
        <v>507</v>
      </c>
      <c r="K334" s="4" t="str">
        <f>IFERROR(LEFT(T_LEAVE[[#This Row],[EMPLOYEE NAME]],LEN(T_LEAVE[[#This Row],[EMPLOYEE NAME]])-3),"")</f>
        <v>GARCINES, SHENALD</v>
      </c>
      <c r="L334" s="48">
        <f>IFERROR(DATEVALUE(TEXT(RIGHT(T_LEAVE[[#This Row],[LEAVE DATE]],LEN(T_LEAVE[[#This Row],[LEAVE DATE]])-6),"[$-en-US]d-mmm-yyyy;@")),"")</f>
        <v>43917</v>
      </c>
      <c r="M334" s="4" t="str">
        <f>IFERROR(TRIM(T_LEAVE[[#This Row],[TYPE]]),"")</f>
        <v>VACATION LEAVE</v>
      </c>
      <c r="N334" s="69" t="str">
        <f>IFERROR(VLOOKUP(T_LEAVE[[#This Row],[LEAVE TYPE]],T_LEAVETYPE[#All],2,0),"")</f>
        <v>VL</v>
      </c>
    </row>
    <row r="335" spans="2:14" x14ac:dyDescent="0.25">
      <c r="B335" s="93">
        <v>43889</v>
      </c>
      <c r="C335" s="48" t="s">
        <v>344</v>
      </c>
      <c r="D335" s="48" t="s">
        <v>541</v>
      </c>
      <c r="E335" s="4" t="s">
        <v>88</v>
      </c>
      <c r="F335" s="49">
        <v>1</v>
      </c>
      <c r="G335" s="4" t="s">
        <v>555</v>
      </c>
      <c r="I335" s="4" t="s">
        <v>149</v>
      </c>
      <c r="J335" s="4" t="s">
        <v>507</v>
      </c>
      <c r="K335" s="4" t="str">
        <f>IFERROR(LEFT(T_LEAVE[[#This Row],[EMPLOYEE NAME]],LEN(T_LEAVE[[#This Row],[EMPLOYEE NAME]])-3),"")</f>
        <v>GARCINES, SHENALD</v>
      </c>
      <c r="L335" s="48">
        <f>IFERROR(DATEVALUE(TEXT(RIGHT(T_LEAVE[[#This Row],[LEAVE DATE]],LEN(T_LEAVE[[#This Row],[LEAVE DATE]])-6),"[$-en-US]d-mmm-yyyy;@")),"")</f>
        <v>43920</v>
      </c>
      <c r="M335" s="4" t="str">
        <f>IFERROR(TRIM(T_LEAVE[[#This Row],[TYPE]]),"")</f>
        <v>VACATION LEAVE</v>
      </c>
      <c r="N335" s="69" t="str">
        <f>IFERROR(VLOOKUP(T_LEAVE[[#This Row],[LEAVE TYPE]],T_LEAVETYPE[#All],2,0),"")</f>
        <v>VL</v>
      </c>
    </row>
    <row r="336" spans="2:14" x14ac:dyDescent="0.25">
      <c r="B336" s="93">
        <v>43889</v>
      </c>
      <c r="C336" s="48" t="s">
        <v>171</v>
      </c>
      <c r="D336" s="48" t="s">
        <v>950</v>
      </c>
      <c r="E336" s="4" t="s">
        <v>88</v>
      </c>
      <c r="F336" s="49">
        <v>1</v>
      </c>
      <c r="G336" s="4" t="s">
        <v>88</v>
      </c>
      <c r="I336" s="4" t="s">
        <v>149</v>
      </c>
      <c r="J336" s="4" t="s">
        <v>958</v>
      </c>
      <c r="K336" s="4" t="str">
        <f>IFERROR(LEFT(T_LEAVE[[#This Row],[EMPLOYEE NAME]],LEN(T_LEAVE[[#This Row],[EMPLOYEE NAME]])-3),"")</f>
        <v>SANTOS, JERICK</v>
      </c>
      <c r="L336" s="48">
        <f>IFERROR(DATEVALUE(TEXT(RIGHT(T_LEAVE[[#This Row],[LEAVE DATE]],LEN(T_LEAVE[[#This Row],[LEAVE DATE]])-6),"[$-en-US]d-mmm-yyyy;@")),"")</f>
        <v>43889</v>
      </c>
      <c r="M336" s="4" t="str">
        <f>IFERROR(TRIM(T_LEAVE[[#This Row],[TYPE]]),"")</f>
        <v>VACATION LEAVE</v>
      </c>
      <c r="N336" s="69" t="str">
        <f>IFERROR(VLOOKUP(T_LEAVE[[#This Row],[LEAVE TYPE]],T_LEAVETYPE[#All],2,0),"")</f>
        <v>VL</v>
      </c>
    </row>
    <row r="337" spans="2:14" x14ac:dyDescent="0.25">
      <c r="B337" s="93">
        <v>43890</v>
      </c>
      <c r="C337" s="48" t="s">
        <v>468</v>
      </c>
      <c r="D337" s="48" t="s">
        <v>541</v>
      </c>
      <c r="E337" s="4" t="s">
        <v>89</v>
      </c>
      <c r="F337" s="49">
        <v>1</v>
      </c>
      <c r="G337" s="4" t="s">
        <v>547</v>
      </c>
      <c r="I337" s="4" t="s">
        <v>149</v>
      </c>
      <c r="J337" s="4" t="s">
        <v>548</v>
      </c>
      <c r="K337" s="4" t="str">
        <f>IFERROR(LEFT(T_LEAVE[[#This Row],[EMPLOYEE NAME]],LEN(T_LEAVE[[#This Row],[EMPLOYEE NAME]])-3),"")</f>
        <v>GARCINES, SHENALD</v>
      </c>
      <c r="L337" s="48">
        <f>IFERROR(DATEVALUE(TEXT(RIGHT(T_LEAVE[[#This Row],[LEAVE DATE]],LEN(T_LEAVE[[#This Row],[LEAVE DATE]])-6),"[$-en-US]d-mmm-yyyy;@")),"")</f>
        <v>43887</v>
      </c>
      <c r="M337" s="4" t="str">
        <f>IFERROR(TRIM(T_LEAVE[[#This Row],[TYPE]]),"")</f>
        <v>SICK LEAVE</v>
      </c>
      <c r="N337" s="69" t="str">
        <f>IFERROR(VLOOKUP(T_LEAVE[[#This Row],[LEAVE TYPE]],T_LEAVETYPE[#All],2,0),"")</f>
        <v>SL</v>
      </c>
    </row>
    <row r="338" spans="2:14" x14ac:dyDescent="0.25">
      <c r="B338" s="93">
        <v>43890</v>
      </c>
      <c r="C338" s="48" t="s">
        <v>817</v>
      </c>
      <c r="D338" s="48" t="s">
        <v>811</v>
      </c>
      <c r="E338" s="4" t="s">
        <v>88</v>
      </c>
      <c r="F338" s="49">
        <v>1</v>
      </c>
      <c r="G338" s="4" t="s">
        <v>818</v>
      </c>
      <c r="I338" s="4" t="s">
        <v>149</v>
      </c>
      <c r="J338" s="4" t="s">
        <v>816</v>
      </c>
      <c r="K338" s="4" t="str">
        <f>IFERROR(LEFT(T_LEAVE[[#This Row],[EMPLOYEE NAME]],LEN(T_LEAVE[[#This Row],[EMPLOYEE NAME]])-3),"")</f>
        <v>MAGNO, ALVIN</v>
      </c>
      <c r="L338" s="48">
        <f>IFERROR(DATEVALUE(TEXT(RIGHT(T_LEAVE[[#This Row],[LEAVE DATE]],LEN(T_LEAVE[[#This Row],[LEAVE DATE]])-6),"[$-en-US]d-mmm-yyyy;@")),"")</f>
        <v>43915</v>
      </c>
      <c r="M338" s="4" t="str">
        <f>IFERROR(TRIM(T_LEAVE[[#This Row],[TYPE]]),"")</f>
        <v>VACATION LEAVE</v>
      </c>
      <c r="N338" s="69" t="str">
        <f>IFERROR(VLOOKUP(T_LEAVE[[#This Row],[LEAVE TYPE]],T_LEAVETYPE[#All],2,0),"")</f>
        <v>VL</v>
      </c>
    </row>
    <row r="339" spans="2:14" x14ac:dyDescent="0.25">
      <c r="B339" s="93">
        <v>43891</v>
      </c>
      <c r="C339" s="48" t="s">
        <v>235</v>
      </c>
      <c r="D339" s="48" t="s">
        <v>602</v>
      </c>
      <c r="E339" s="4" t="s">
        <v>88</v>
      </c>
      <c r="F339" s="49">
        <v>1</v>
      </c>
      <c r="G339" s="4" t="s">
        <v>615</v>
      </c>
      <c r="I339" s="4" t="s">
        <v>149</v>
      </c>
      <c r="J339" s="4" t="s">
        <v>507</v>
      </c>
      <c r="K339" s="4" t="str">
        <f>IFERROR(LEFT(T_LEAVE[[#This Row],[EMPLOYEE NAME]],LEN(T_LEAVE[[#This Row],[EMPLOYEE NAME]])-3),"")</f>
        <v>HIPOLITO, JOYCE ANN KENETH</v>
      </c>
      <c r="L339" s="48">
        <f>IFERROR(DATEVALUE(TEXT(RIGHT(T_LEAVE[[#This Row],[LEAVE DATE]],LEN(T_LEAVE[[#This Row],[LEAVE DATE]])-6),"[$-en-US]d-mmm-yyyy;@")),"")</f>
        <v>43897</v>
      </c>
      <c r="M339" s="4" t="str">
        <f>IFERROR(TRIM(T_LEAVE[[#This Row],[TYPE]]),"")</f>
        <v>VACATION LEAVE</v>
      </c>
      <c r="N339" s="69" t="str">
        <f>IFERROR(VLOOKUP(T_LEAVE[[#This Row],[LEAVE TYPE]],T_LEAVETYPE[#All],2,0),"")</f>
        <v>VL</v>
      </c>
    </row>
    <row r="340" spans="2:14" x14ac:dyDescent="0.25">
      <c r="B340" s="93">
        <v>43893</v>
      </c>
      <c r="C340" s="48" t="s">
        <v>344</v>
      </c>
      <c r="D340" s="48" t="s">
        <v>330</v>
      </c>
      <c r="E340" s="4" t="s">
        <v>88</v>
      </c>
      <c r="F340" s="49">
        <v>1</v>
      </c>
      <c r="G340" s="4" t="s">
        <v>345</v>
      </c>
      <c r="I340" s="4" t="s">
        <v>149</v>
      </c>
      <c r="J340" s="4" t="s">
        <v>346</v>
      </c>
      <c r="K340" s="4" t="str">
        <f>IFERROR(LEFT(T_LEAVE[[#This Row],[EMPLOYEE NAME]],LEN(T_LEAVE[[#This Row],[EMPLOYEE NAME]])-3),"")</f>
        <v>BELMONTE, JOSE MARI</v>
      </c>
      <c r="L340" s="48">
        <f>IFERROR(DATEVALUE(TEXT(RIGHT(T_LEAVE[[#This Row],[LEAVE DATE]],LEN(T_LEAVE[[#This Row],[LEAVE DATE]])-6),"[$-en-US]d-mmm-yyyy;@")),"")</f>
        <v>43920</v>
      </c>
      <c r="M340" s="4" t="str">
        <f>IFERROR(TRIM(T_LEAVE[[#This Row],[TYPE]]),"")</f>
        <v>VACATION LEAVE</v>
      </c>
      <c r="N340" s="69" t="str">
        <f>IFERROR(VLOOKUP(T_LEAVE[[#This Row],[LEAVE TYPE]],T_LEAVETYPE[#All],2,0),"")</f>
        <v>VL</v>
      </c>
    </row>
    <row r="341" spans="2:14" x14ac:dyDescent="0.25">
      <c r="B341" s="93">
        <v>43893</v>
      </c>
      <c r="C341" s="48" t="s">
        <v>177</v>
      </c>
      <c r="D341" s="48" t="s">
        <v>421</v>
      </c>
      <c r="E341" s="4" t="s">
        <v>88</v>
      </c>
      <c r="F341" s="49">
        <v>1</v>
      </c>
      <c r="G341" s="4" t="s">
        <v>48</v>
      </c>
      <c r="I341" s="4" t="s">
        <v>149</v>
      </c>
      <c r="J341" s="4" t="s">
        <v>428</v>
      </c>
      <c r="K341" s="4" t="str">
        <f>IFERROR(LEFT(T_LEAVE[[#This Row],[EMPLOYEE NAME]],LEN(T_LEAVE[[#This Row],[EMPLOYEE NAME]])-3),"")</f>
        <v>DE LEON, JEFFREY</v>
      </c>
      <c r="L341" s="48">
        <f>IFERROR(DATEVALUE(TEXT(RIGHT(T_LEAVE[[#This Row],[LEAVE DATE]],LEN(T_LEAVE[[#This Row],[LEAVE DATE]])-6),"[$-en-US]d-mmm-yyyy;@")),"")</f>
        <v>43905</v>
      </c>
      <c r="M341" s="4" t="str">
        <f>IFERROR(TRIM(T_LEAVE[[#This Row],[TYPE]]),"")</f>
        <v>VACATION LEAVE</v>
      </c>
      <c r="N341" s="69" t="str">
        <f>IFERROR(VLOOKUP(T_LEAVE[[#This Row],[LEAVE TYPE]],T_LEAVETYPE[#All],2,0),"")</f>
        <v>VL</v>
      </c>
    </row>
    <row r="342" spans="2:14" x14ac:dyDescent="0.25">
      <c r="B342" s="93">
        <v>43894</v>
      </c>
      <c r="C342" s="48" t="s">
        <v>549</v>
      </c>
      <c r="D342" s="48" t="s">
        <v>541</v>
      </c>
      <c r="E342" s="4" t="s">
        <v>89</v>
      </c>
      <c r="F342" s="49">
        <v>1</v>
      </c>
      <c r="G342" s="4" t="s">
        <v>547</v>
      </c>
      <c r="I342" s="4" t="s">
        <v>149</v>
      </c>
      <c r="J342" s="4" t="s">
        <v>550</v>
      </c>
      <c r="K342" s="4" t="str">
        <f>IFERROR(LEFT(T_LEAVE[[#This Row],[EMPLOYEE NAME]],LEN(T_LEAVE[[#This Row],[EMPLOYEE NAME]])-3),"")</f>
        <v>GARCINES, SHENALD</v>
      </c>
      <c r="L342" s="48">
        <f>IFERROR(DATEVALUE(TEXT(RIGHT(T_LEAVE[[#This Row],[LEAVE DATE]],LEN(T_LEAVE[[#This Row],[LEAVE DATE]])-6),"[$-en-US]d-mmm-yyyy;@")),"")</f>
        <v>43892</v>
      </c>
      <c r="M342" s="4" t="str">
        <f>IFERROR(TRIM(T_LEAVE[[#This Row],[TYPE]]),"")</f>
        <v>SICK LEAVE</v>
      </c>
      <c r="N342" s="69" t="str">
        <f>IFERROR(VLOOKUP(T_LEAVE[[#This Row],[LEAVE TYPE]],T_LEAVETYPE[#All],2,0),"")</f>
        <v>SL</v>
      </c>
    </row>
    <row r="343" spans="2:14" x14ac:dyDescent="0.25">
      <c r="B343" s="93">
        <v>43894</v>
      </c>
      <c r="C343" s="48" t="s">
        <v>714</v>
      </c>
      <c r="D343" s="48" t="s">
        <v>691</v>
      </c>
      <c r="E343" s="4" t="s">
        <v>88</v>
      </c>
      <c r="F343" s="49">
        <v>1</v>
      </c>
      <c r="G343" s="4" t="s">
        <v>715</v>
      </c>
      <c r="H343" s="4" t="s">
        <v>165</v>
      </c>
      <c r="I343" s="4" t="s">
        <v>149</v>
      </c>
      <c r="J343" s="4" t="s">
        <v>716</v>
      </c>
      <c r="K343" s="4" t="str">
        <f>IFERROR(LEFT(T_LEAVE[[#This Row],[EMPLOYEE NAME]],LEN(T_LEAVE[[#This Row],[EMPLOYEE NAME]])-3),"")</f>
        <v>LATUGA, PHOEBE</v>
      </c>
      <c r="L343" s="48">
        <f>IFERROR(DATEVALUE(TEXT(RIGHT(T_LEAVE[[#This Row],[LEAVE DATE]],LEN(T_LEAVE[[#This Row],[LEAVE DATE]])-6),"[$-en-US]d-mmm-yyyy;@")),"")</f>
        <v>43894</v>
      </c>
      <c r="M343" s="4" t="str">
        <f>IFERROR(TRIM(T_LEAVE[[#This Row],[TYPE]]),"")</f>
        <v>VACATION LEAVE</v>
      </c>
      <c r="N343" s="69" t="str">
        <f>IFERROR(VLOOKUP(T_LEAVE[[#This Row],[LEAVE TYPE]],T_LEAVETYPE[#All],2,0),"")</f>
        <v>VL</v>
      </c>
    </row>
    <row r="344" spans="2:14" x14ac:dyDescent="0.25">
      <c r="B344" s="93">
        <v>43895</v>
      </c>
      <c r="C344" s="48" t="s">
        <v>171</v>
      </c>
      <c r="D344" s="48" t="s">
        <v>147</v>
      </c>
      <c r="E344" s="4" t="s">
        <v>89</v>
      </c>
      <c r="F344" s="49">
        <v>1</v>
      </c>
      <c r="G344" s="4" t="s">
        <v>172</v>
      </c>
      <c r="I344" s="4" t="s">
        <v>149</v>
      </c>
      <c r="J344" s="4" t="s">
        <v>173</v>
      </c>
      <c r="K344" s="4" t="str">
        <f>IFERROR(LEFT(T_LEAVE[[#This Row],[EMPLOYEE NAME]],LEN(T_LEAVE[[#This Row],[EMPLOYEE NAME]])-3),"")</f>
        <v>ACOSTA, JOSEPH VAUGHN</v>
      </c>
      <c r="L344" s="48">
        <f>IFERROR(DATEVALUE(TEXT(RIGHT(T_LEAVE[[#This Row],[LEAVE DATE]],LEN(T_LEAVE[[#This Row],[LEAVE DATE]])-6),"[$-en-US]d-mmm-yyyy;@")),"")</f>
        <v>43889</v>
      </c>
      <c r="M344" s="4" t="str">
        <f>IFERROR(TRIM(T_LEAVE[[#This Row],[TYPE]]),"")</f>
        <v>SICK LEAVE</v>
      </c>
      <c r="N344" s="4" t="str">
        <f>IFERROR(VLOOKUP(T_LEAVE[[#This Row],[LEAVE TYPE]],T_LEAVETYPE[#All],2,0),"")</f>
        <v>SL</v>
      </c>
    </row>
    <row r="345" spans="2:14" x14ac:dyDescent="0.25">
      <c r="B345" s="93">
        <v>43895</v>
      </c>
      <c r="C345" s="48" t="s">
        <v>613</v>
      </c>
      <c r="D345" s="48" t="s">
        <v>602</v>
      </c>
      <c r="E345" s="4" t="s">
        <v>89</v>
      </c>
      <c r="F345" s="49">
        <v>1</v>
      </c>
      <c r="G345" s="4" t="s">
        <v>614</v>
      </c>
      <c r="I345" s="4" t="s">
        <v>149</v>
      </c>
      <c r="J345" s="4" t="s">
        <v>173</v>
      </c>
      <c r="K345" s="4" t="str">
        <f>IFERROR(LEFT(T_LEAVE[[#This Row],[EMPLOYEE NAME]],LEN(T_LEAVE[[#This Row],[EMPLOYEE NAME]])-3),"")</f>
        <v>HIPOLITO, JOYCE ANN KENETH</v>
      </c>
      <c r="L345" s="48">
        <f>IFERROR(DATEVALUE(TEXT(RIGHT(T_LEAVE[[#This Row],[LEAVE DATE]],LEN(T_LEAVE[[#This Row],[LEAVE DATE]])-6),"[$-en-US]d-mmm-yyyy;@")),"")</f>
        <v>43891</v>
      </c>
      <c r="M345" s="4" t="str">
        <f>IFERROR(TRIM(T_LEAVE[[#This Row],[TYPE]]),"")</f>
        <v>SICK LEAVE</v>
      </c>
      <c r="N345" s="69" t="str">
        <f>IFERROR(VLOOKUP(T_LEAVE[[#This Row],[LEAVE TYPE]],T_LEAVETYPE[#All],2,0),"")</f>
        <v>SL</v>
      </c>
    </row>
    <row r="346" spans="2:14" x14ac:dyDescent="0.25">
      <c r="B346" s="93">
        <v>43896</v>
      </c>
      <c r="C346" s="48" t="s">
        <v>549</v>
      </c>
      <c r="D346" s="48" t="s">
        <v>889</v>
      </c>
      <c r="E346" s="4" t="s">
        <v>89</v>
      </c>
      <c r="F346" s="49">
        <v>1</v>
      </c>
      <c r="G346" s="4" t="s">
        <v>565</v>
      </c>
      <c r="I346" s="4" t="s">
        <v>149</v>
      </c>
      <c r="J346" s="4" t="s">
        <v>173</v>
      </c>
      <c r="K346" s="4" t="str">
        <f>IFERROR(LEFT(T_LEAVE[[#This Row],[EMPLOYEE NAME]],LEN(T_LEAVE[[#This Row],[EMPLOYEE NAME]])-3),"")</f>
        <v>MONTIEL, HEIZEL</v>
      </c>
      <c r="L346" s="48">
        <f>IFERROR(DATEVALUE(TEXT(RIGHT(T_LEAVE[[#This Row],[LEAVE DATE]],LEN(T_LEAVE[[#This Row],[LEAVE DATE]])-6),"[$-en-US]d-mmm-yyyy;@")),"")</f>
        <v>43892</v>
      </c>
      <c r="M346" s="4" t="str">
        <f>IFERROR(TRIM(T_LEAVE[[#This Row],[TYPE]]),"")</f>
        <v>SICK LEAVE</v>
      </c>
      <c r="N346" s="69" t="str">
        <f>IFERROR(VLOOKUP(T_LEAVE[[#This Row],[LEAVE TYPE]],T_LEAVETYPE[#All],2,0),"")</f>
        <v>SL</v>
      </c>
    </row>
    <row r="347" spans="2:14" x14ac:dyDescent="0.25">
      <c r="B347" s="93">
        <v>43896</v>
      </c>
      <c r="C347" s="48" t="s">
        <v>472</v>
      </c>
      <c r="D347" s="48" t="s">
        <v>971</v>
      </c>
      <c r="E347" s="4" t="s">
        <v>88</v>
      </c>
      <c r="F347" s="49">
        <v>1</v>
      </c>
      <c r="G347" s="4" t="s">
        <v>982</v>
      </c>
      <c r="I347" s="4" t="s">
        <v>149</v>
      </c>
      <c r="J347" s="4" t="s">
        <v>980</v>
      </c>
      <c r="K347" s="4" t="str">
        <f>IFERROR(LEFT(T_LEAVE[[#This Row],[EMPLOYEE NAME]],LEN(T_LEAVE[[#This Row],[EMPLOYEE NAME]])-3),"")</f>
        <v>TABIA, JENNIFER</v>
      </c>
      <c r="L347" s="48">
        <f>IFERROR(DATEVALUE(TEXT(RIGHT(T_LEAVE[[#This Row],[LEAVE DATE]],LEN(T_LEAVE[[#This Row],[LEAVE DATE]])-6),"[$-en-US]d-mmm-yyyy;@")),"")</f>
        <v>43917</v>
      </c>
      <c r="M347" s="4" t="str">
        <f>IFERROR(TRIM(T_LEAVE[[#This Row],[TYPE]]),"")</f>
        <v>VACATION LEAVE</v>
      </c>
      <c r="N347" s="69" t="str">
        <f>IFERROR(VLOOKUP(T_LEAVE[[#This Row],[LEAVE TYPE]],T_LEAVETYPE[#All],2,0),"")</f>
        <v>VL</v>
      </c>
    </row>
    <row r="348" spans="2:14" x14ac:dyDescent="0.25">
      <c r="B348" s="93">
        <v>43896</v>
      </c>
      <c r="C348" s="48" t="s">
        <v>983</v>
      </c>
      <c r="D348" s="48" t="s">
        <v>971</v>
      </c>
      <c r="E348" s="4" t="s">
        <v>88</v>
      </c>
      <c r="F348" s="49">
        <v>1</v>
      </c>
      <c r="G348" s="4" t="s">
        <v>982</v>
      </c>
      <c r="I348" s="4" t="s">
        <v>149</v>
      </c>
      <c r="J348" s="4" t="s">
        <v>980</v>
      </c>
      <c r="K348" s="4" t="str">
        <f>IFERROR(LEFT(T_LEAVE[[#This Row],[EMPLOYEE NAME]],LEN(T_LEAVE[[#This Row],[EMPLOYEE NAME]])-3),"")</f>
        <v>TABIA, JENNIFER</v>
      </c>
      <c r="L348" s="48">
        <f>IFERROR(DATEVALUE(TEXT(RIGHT(T_LEAVE[[#This Row],[LEAVE DATE]],LEN(T_LEAVE[[#This Row],[LEAVE DATE]])-6),"[$-en-US]d-mmm-yyyy;@")),"")</f>
        <v>43918</v>
      </c>
      <c r="M348" s="4" t="str">
        <f>IFERROR(TRIM(T_LEAVE[[#This Row],[TYPE]]),"")</f>
        <v>VACATION LEAVE</v>
      </c>
      <c r="N348" s="69" t="str">
        <f>IFERROR(VLOOKUP(T_LEAVE[[#This Row],[LEAVE TYPE]],T_LEAVETYPE[#All],2,0),"")</f>
        <v>VL</v>
      </c>
    </row>
    <row r="349" spans="2:14" x14ac:dyDescent="0.25">
      <c r="B349" s="93">
        <v>43896</v>
      </c>
      <c r="C349" s="48" t="s">
        <v>984</v>
      </c>
      <c r="D349" s="48" t="s">
        <v>971</v>
      </c>
      <c r="E349" s="4" t="s">
        <v>88</v>
      </c>
      <c r="F349" s="49">
        <v>1</v>
      </c>
      <c r="G349" s="4" t="s">
        <v>982</v>
      </c>
      <c r="I349" s="4" t="s">
        <v>149</v>
      </c>
      <c r="J349" s="4" t="s">
        <v>980</v>
      </c>
      <c r="K349" s="4" t="str">
        <f>IFERROR(LEFT(T_LEAVE[[#This Row],[EMPLOYEE NAME]],LEN(T_LEAVE[[#This Row],[EMPLOYEE NAME]])-3),"")</f>
        <v>TABIA, JENNIFER</v>
      </c>
      <c r="L349" s="48">
        <f>IFERROR(DATEVALUE(TEXT(RIGHT(T_LEAVE[[#This Row],[LEAVE DATE]],LEN(T_LEAVE[[#This Row],[LEAVE DATE]])-6),"[$-en-US]d-mmm-yyyy;@")),"")</f>
        <v>43919</v>
      </c>
      <c r="M349" s="4" t="str">
        <f>IFERROR(TRIM(T_LEAVE[[#This Row],[TYPE]]),"")</f>
        <v>VACATION LEAVE</v>
      </c>
      <c r="N349" s="69" t="str">
        <f>IFERROR(VLOOKUP(T_LEAVE[[#This Row],[LEAVE TYPE]],T_LEAVETYPE[#All],2,0),"")</f>
        <v>VL</v>
      </c>
    </row>
    <row r="350" spans="2:14" x14ac:dyDescent="0.25">
      <c r="B350" s="93">
        <v>43897</v>
      </c>
      <c r="C350" s="48" t="s">
        <v>178</v>
      </c>
      <c r="D350" s="48" t="s">
        <v>147</v>
      </c>
      <c r="E350" s="4" t="s">
        <v>88</v>
      </c>
      <c r="F350" s="49">
        <v>1</v>
      </c>
      <c r="G350" s="4" t="s">
        <v>179</v>
      </c>
      <c r="I350" s="4" t="s">
        <v>149</v>
      </c>
      <c r="J350" s="4" t="s">
        <v>180</v>
      </c>
      <c r="K350" s="4" t="str">
        <f>IFERROR(LEFT(T_LEAVE[[#This Row],[EMPLOYEE NAME]],LEN(T_LEAVE[[#This Row],[EMPLOYEE NAME]])-3),"")</f>
        <v>ACOSTA, JOSEPH VAUGHN</v>
      </c>
      <c r="L350" s="48">
        <f>IFERROR(DATEVALUE(TEXT(RIGHT(T_LEAVE[[#This Row],[LEAVE DATE]],LEN(T_LEAVE[[#This Row],[LEAVE DATE]])-6),"[$-en-US]d-mmm-yyyy;@")),"")</f>
        <v>43911</v>
      </c>
      <c r="M350" s="4" t="str">
        <f>IFERROR(TRIM(T_LEAVE[[#This Row],[TYPE]]),"")</f>
        <v>VACATION LEAVE</v>
      </c>
      <c r="N350" s="4" t="str">
        <f>IFERROR(VLOOKUP(T_LEAVE[[#This Row],[LEAVE TYPE]],T_LEAVETYPE[#All],2,0),"")</f>
        <v>VL</v>
      </c>
    </row>
    <row r="351" spans="2:14" x14ac:dyDescent="0.25">
      <c r="B351" s="93">
        <v>43897</v>
      </c>
      <c r="C351" s="48" t="s">
        <v>181</v>
      </c>
      <c r="D351" s="48" t="s">
        <v>147</v>
      </c>
      <c r="E351" s="4" t="s">
        <v>88</v>
      </c>
      <c r="F351" s="49">
        <v>1</v>
      </c>
      <c r="G351" s="4" t="s">
        <v>179</v>
      </c>
      <c r="I351" s="4" t="s">
        <v>149</v>
      </c>
      <c r="J351" s="4" t="s">
        <v>180</v>
      </c>
      <c r="K351" s="4" t="str">
        <f>IFERROR(LEFT(T_LEAVE[[#This Row],[EMPLOYEE NAME]],LEN(T_LEAVE[[#This Row],[EMPLOYEE NAME]])-3),"")</f>
        <v>ACOSTA, JOSEPH VAUGHN</v>
      </c>
      <c r="L351" s="48">
        <f>IFERROR(DATEVALUE(TEXT(RIGHT(T_LEAVE[[#This Row],[LEAVE DATE]],LEN(T_LEAVE[[#This Row],[LEAVE DATE]])-6),"[$-en-US]d-mmm-yyyy;@")),"")</f>
        <v>43912</v>
      </c>
      <c r="M351" s="4" t="str">
        <f>IFERROR(TRIM(T_LEAVE[[#This Row],[TYPE]]),"")</f>
        <v>VACATION LEAVE</v>
      </c>
      <c r="N351" s="4" t="str">
        <f>IFERROR(VLOOKUP(T_LEAVE[[#This Row],[LEAVE TYPE]],T_LEAVETYPE[#All],2,0),"")</f>
        <v>VL</v>
      </c>
    </row>
    <row r="352" spans="2:14" x14ac:dyDescent="0.25">
      <c r="B352" s="93">
        <v>43898</v>
      </c>
      <c r="C352" s="48" t="s">
        <v>274</v>
      </c>
      <c r="D352" s="48" t="s">
        <v>256</v>
      </c>
      <c r="E352" s="4" t="s">
        <v>88</v>
      </c>
      <c r="F352" s="49">
        <v>1</v>
      </c>
      <c r="G352" s="4" t="s">
        <v>275</v>
      </c>
      <c r="I352" s="4" t="s">
        <v>149</v>
      </c>
      <c r="J352" s="4" t="s">
        <v>180</v>
      </c>
      <c r="K352" s="4" t="str">
        <f>IFERROR(LEFT(T_LEAVE[[#This Row],[EMPLOYEE NAME]],LEN(T_LEAVE[[#This Row],[EMPLOYEE NAME]])-3),"")</f>
        <v>BALICAS, IRISH ANN</v>
      </c>
      <c r="L352" s="48">
        <f>IFERROR(DATEVALUE(TEXT(RIGHT(T_LEAVE[[#This Row],[LEAVE DATE]],LEN(T_LEAVE[[#This Row],[LEAVE DATE]])-6),"[$-en-US]d-mmm-yyyy;@")),"")</f>
        <v>43895</v>
      </c>
      <c r="M352" s="4" t="str">
        <f>IFERROR(TRIM(T_LEAVE[[#This Row],[TYPE]]),"")</f>
        <v>VACATION LEAVE</v>
      </c>
      <c r="N352" s="69" t="str">
        <f>IFERROR(VLOOKUP(T_LEAVE[[#This Row],[LEAVE TYPE]],T_LEAVETYPE[#All],2,0),"")</f>
        <v>VL</v>
      </c>
    </row>
    <row r="353" spans="2:14" x14ac:dyDescent="0.25">
      <c r="B353" s="93">
        <v>43898</v>
      </c>
      <c r="C353" s="48" t="s">
        <v>613</v>
      </c>
      <c r="D353" s="48" t="s">
        <v>971</v>
      </c>
      <c r="E353" s="4" t="s">
        <v>89</v>
      </c>
      <c r="F353" s="49">
        <v>1</v>
      </c>
      <c r="G353" s="4" t="s">
        <v>979</v>
      </c>
      <c r="I353" s="4" t="s">
        <v>149</v>
      </c>
      <c r="J353" s="4" t="s">
        <v>980</v>
      </c>
      <c r="K353" s="4" t="str">
        <f>IFERROR(LEFT(T_LEAVE[[#This Row],[EMPLOYEE NAME]],LEN(T_LEAVE[[#This Row],[EMPLOYEE NAME]])-3),"")</f>
        <v>TABIA, JENNIFER</v>
      </c>
      <c r="L353" s="48">
        <f>IFERROR(DATEVALUE(TEXT(RIGHT(T_LEAVE[[#This Row],[LEAVE DATE]],LEN(T_LEAVE[[#This Row],[LEAVE DATE]])-6),"[$-en-US]d-mmm-yyyy;@")),"")</f>
        <v>43891</v>
      </c>
      <c r="M353" s="4" t="str">
        <f>IFERROR(TRIM(T_LEAVE[[#This Row],[TYPE]]),"")</f>
        <v>SICK LEAVE</v>
      </c>
      <c r="N353" s="69" t="str">
        <f>IFERROR(VLOOKUP(T_LEAVE[[#This Row],[LEAVE TYPE]],T_LEAVETYPE[#All],2,0),"")</f>
        <v>SL</v>
      </c>
    </row>
    <row r="354" spans="2:14" x14ac:dyDescent="0.25">
      <c r="B354" s="93">
        <v>43898</v>
      </c>
      <c r="C354" s="48" t="s">
        <v>549</v>
      </c>
      <c r="D354" s="48" t="s">
        <v>971</v>
      </c>
      <c r="E354" s="4" t="s">
        <v>89</v>
      </c>
      <c r="F354" s="49">
        <v>1</v>
      </c>
      <c r="G354" s="4" t="s">
        <v>979</v>
      </c>
      <c r="I354" s="4" t="s">
        <v>149</v>
      </c>
      <c r="J354" s="4" t="s">
        <v>980</v>
      </c>
      <c r="K354" s="4" t="str">
        <f>IFERROR(LEFT(T_LEAVE[[#This Row],[EMPLOYEE NAME]],LEN(T_LEAVE[[#This Row],[EMPLOYEE NAME]])-3),"")</f>
        <v>TABIA, JENNIFER</v>
      </c>
      <c r="L354" s="48">
        <f>IFERROR(DATEVALUE(TEXT(RIGHT(T_LEAVE[[#This Row],[LEAVE DATE]],LEN(T_LEAVE[[#This Row],[LEAVE DATE]])-6),"[$-en-US]d-mmm-yyyy;@")),"")</f>
        <v>43892</v>
      </c>
      <c r="M354" s="4" t="str">
        <f>IFERROR(TRIM(T_LEAVE[[#This Row],[TYPE]]),"")</f>
        <v>SICK LEAVE</v>
      </c>
      <c r="N354" s="69" t="str">
        <f>IFERROR(VLOOKUP(T_LEAVE[[#This Row],[LEAVE TYPE]],T_LEAVETYPE[#All],2,0),"")</f>
        <v>SL</v>
      </c>
    </row>
    <row r="355" spans="2:14" x14ac:dyDescent="0.25">
      <c r="B355" s="93">
        <v>43898</v>
      </c>
      <c r="C355" s="48" t="s">
        <v>981</v>
      </c>
      <c r="D355" s="48" t="s">
        <v>971</v>
      </c>
      <c r="E355" s="4" t="s">
        <v>89</v>
      </c>
      <c r="F355" s="49">
        <v>1</v>
      </c>
      <c r="G355" s="4" t="s">
        <v>979</v>
      </c>
      <c r="I355" s="4" t="s">
        <v>149</v>
      </c>
      <c r="J355" s="4" t="s">
        <v>980</v>
      </c>
      <c r="K355" s="4" t="str">
        <f>IFERROR(LEFT(T_LEAVE[[#This Row],[EMPLOYEE NAME]],LEN(T_LEAVE[[#This Row],[EMPLOYEE NAME]])-3),"")</f>
        <v>TABIA, JENNIFER</v>
      </c>
      <c r="L355" s="48">
        <f>IFERROR(DATEVALUE(TEXT(RIGHT(T_LEAVE[[#This Row],[LEAVE DATE]],LEN(T_LEAVE[[#This Row],[LEAVE DATE]])-6),"[$-en-US]d-mmm-yyyy;@")),"")</f>
        <v>43893</v>
      </c>
      <c r="M355" s="4" t="str">
        <f>IFERROR(TRIM(T_LEAVE[[#This Row],[TYPE]]),"")</f>
        <v>SICK LEAVE</v>
      </c>
      <c r="N355" s="69" t="str">
        <f>IFERROR(VLOOKUP(T_LEAVE[[#This Row],[LEAVE TYPE]],T_LEAVETYPE[#All],2,0),"")</f>
        <v>SL</v>
      </c>
    </row>
    <row r="356" spans="2:14" x14ac:dyDescent="0.25">
      <c r="B356" s="93">
        <v>43899</v>
      </c>
      <c r="C356" s="48" t="s">
        <v>235</v>
      </c>
      <c r="D356" s="48" t="s">
        <v>330</v>
      </c>
      <c r="E356" s="4" t="s">
        <v>88</v>
      </c>
      <c r="F356" s="49">
        <v>1</v>
      </c>
      <c r="G356" s="4" t="s">
        <v>336</v>
      </c>
      <c r="I356" s="4" t="s">
        <v>149</v>
      </c>
      <c r="J356" s="4" t="s">
        <v>337</v>
      </c>
      <c r="K356" s="4" t="str">
        <f>IFERROR(LEFT(T_LEAVE[[#This Row],[EMPLOYEE NAME]],LEN(T_LEAVE[[#This Row],[EMPLOYEE NAME]])-3),"")</f>
        <v>BELMONTE, JOSE MARI</v>
      </c>
      <c r="L356" s="48">
        <f>IFERROR(DATEVALUE(TEXT(RIGHT(T_LEAVE[[#This Row],[LEAVE DATE]],LEN(T_LEAVE[[#This Row],[LEAVE DATE]])-6),"[$-en-US]d-mmm-yyyy;@")),"")</f>
        <v>43897</v>
      </c>
      <c r="M356" s="4" t="str">
        <f>IFERROR(TRIM(T_LEAVE[[#This Row],[TYPE]]),"")</f>
        <v>VACATION LEAVE</v>
      </c>
      <c r="N356" s="69" t="str">
        <f>IFERROR(VLOOKUP(T_LEAVE[[#This Row],[LEAVE TYPE]],T_LEAVETYPE[#All],2,0),"")</f>
        <v>VL</v>
      </c>
    </row>
    <row r="357" spans="2:14" x14ac:dyDescent="0.25">
      <c r="B357" s="93">
        <v>43900</v>
      </c>
      <c r="C357" s="48" t="s">
        <v>531</v>
      </c>
      <c r="D357" s="48" t="s">
        <v>517</v>
      </c>
      <c r="E357" s="4" t="s">
        <v>88</v>
      </c>
      <c r="F357" s="49">
        <v>1</v>
      </c>
      <c r="G357" s="4" t="s">
        <v>88</v>
      </c>
      <c r="I357" s="4" t="s">
        <v>149</v>
      </c>
      <c r="J357" s="4" t="s">
        <v>532</v>
      </c>
      <c r="K357" s="4" t="str">
        <f>IFERROR(LEFT(T_LEAVE[[#This Row],[EMPLOYEE NAME]],LEN(T_LEAVE[[#This Row],[EMPLOYEE NAME]])-3),"")</f>
        <v>FESTEJO, ABIEL CAMBYSES</v>
      </c>
      <c r="L357" s="48">
        <f>IFERROR(DATEVALUE(TEXT(RIGHT(T_LEAVE[[#This Row],[LEAVE DATE]],LEN(T_LEAVE[[#This Row],[LEAVE DATE]])-6),"[$-en-US]d-mmm-yyyy;@")),"")</f>
        <v>43934</v>
      </c>
      <c r="M357" s="4" t="str">
        <f>IFERROR(TRIM(T_LEAVE[[#This Row],[TYPE]]),"")</f>
        <v>VACATION LEAVE</v>
      </c>
      <c r="N357" s="69" t="str">
        <f>IFERROR(VLOOKUP(T_LEAVE[[#This Row],[LEAVE TYPE]],T_LEAVETYPE[#All],2,0),"")</f>
        <v>VL</v>
      </c>
    </row>
    <row r="358" spans="2:14" x14ac:dyDescent="0.25">
      <c r="B358" s="93">
        <v>43900</v>
      </c>
      <c r="C358" s="48" t="s">
        <v>341</v>
      </c>
      <c r="D358" s="48" t="s">
        <v>1142</v>
      </c>
      <c r="E358" s="4" t="s">
        <v>88</v>
      </c>
      <c r="F358" s="49">
        <v>1</v>
      </c>
      <c r="G358" s="4" t="s">
        <v>1146</v>
      </c>
      <c r="I358" s="4" t="s">
        <v>149</v>
      </c>
      <c r="J358" s="4" t="s">
        <v>1147</v>
      </c>
      <c r="K358" s="4" t="str">
        <f>IFERROR(LEFT(T_LEAVE[[#This Row],[EMPLOYEE NAME]],LEN(T_LEAVE[[#This Row],[EMPLOYEE NAME]])-3),"")</f>
        <v>WENCESLAO, JOHN GLENN</v>
      </c>
      <c r="L358" s="48">
        <f>IFERROR(DATEVALUE(TEXT(RIGHT(T_LEAVE[[#This Row],[LEAVE DATE]],LEN(T_LEAVE[[#This Row],[LEAVE DATE]])-6),"[$-en-US]d-mmm-yyyy;@")),"")</f>
        <v>43900</v>
      </c>
      <c r="M358" s="4" t="str">
        <f>IFERROR(TRIM(T_LEAVE[[#This Row],[TYPE]]),"")</f>
        <v>VACATION LEAVE</v>
      </c>
      <c r="N358" s="69" t="str">
        <f>IFERROR(VLOOKUP(T_LEAVE[[#This Row],[LEAVE TYPE]],T_LEAVETYPE[#All],2,0),"")</f>
        <v>VL</v>
      </c>
    </row>
    <row r="359" spans="2:14" x14ac:dyDescent="0.25">
      <c r="B359" s="93">
        <v>43900</v>
      </c>
      <c r="C359" s="48" t="s">
        <v>342</v>
      </c>
      <c r="D359" s="48" t="s">
        <v>1142</v>
      </c>
      <c r="E359" s="4" t="s">
        <v>88</v>
      </c>
      <c r="F359" s="49">
        <v>1</v>
      </c>
      <c r="G359" s="4" t="s">
        <v>1146</v>
      </c>
      <c r="I359" s="4" t="s">
        <v>149</v>
      </c>
      <c r="J359" s="4" t="s">
        <v>1147</v>
      </c>
      <c r="K359" s="4" t="str">
        <f>IFERROR(LEFT(T_LEAVE[[#This Row],[EMPLOYEE NAME]],LEN(T_LEAVE[[#This Row],[EMPLOYEE NAME]])-3),"")</f>
        <v>WENCESLAO, JOHN GLENN</v>
      </c>
      <c r="L359" s="48">
        <f>IFERROR(DATEVALUE(TEXT(RIGHT(T_LEAVE[[#This Row],[LEAVE DATE]],LEN(T_LEAVE[[#This Row],[LEAVE DATE]])-6),"[$-en-US]d-mmm-yyyy;@")),"")</f>
        <v>43901</v>
      </c>
      <c r="M359" s="4" t="str">
        <f>IFERROR(TRIM(T_LEAVE[[#This Row],[TYPE]]),"")</f>
        <v>VACATION LEAVE</v>
      </c>
      <c r="N359" s="69" t="str">
        <f>IFERROR(VLOOKUP(T_LEAVE[[#This Row],[LEAVE TYPE]],T_LEAVETYPE[#All],2,0),"")</f>
        <v>VL</v>
      </c>
    </row>
    <row r="360" spans="2:14" x14ac:dyDescent="0.25">
      <c r="B360" s="93">
        <v>43901</v>
      </c>
      <c r="C360" s="48" t="s">
        <v>174</v>
      </c>
      <c r="D360" s="48" t="s">
        <v>147</v>
      </c>
      <c r="E360" s="4" t="s">
        <v>88</v>
      </c>
      <c r="F360" s="49">
        <v>1</v>
      </c>
      <c r="G360" s="4" t="s">
        <v>175</v>
      </c>
      <c r="I360" s="4" t="s">
        <v>149</v>
      </c>
      <c r="J360" s="4" t="s">
        <v>176</v>
      </c>
      <c r="K360" s="4" t="str">
        <f>IFERROR(LEFT(T_LEAVE[[#This Row],[EMPLOYEE NAME]],LEN(T_LEAVE[[#This Row],[EMPLOYEE NAME]])-3),"")</f>
        <v>ACOSTA, JOSEPH VAUGHN</v>
      </c>
      <c r="L360" s="48">
        <f>IFERROR(DATEVALUE(TEXT(RIGHT(T_LEAVE[[#This Row],[LEAVE DATE]],LEN(T_LEAVE[[#This Row],[LEAVE DATE]])-6),"[$-en-US]d-mmm-yyyy;@")),"")</f>
        <v>43904</v>
      </c>
      <c r="M360" s="4" t="str">
        <f>IFERROR(TRIM(T_LEAVE[[#This Row],[TYPE]]),"")</f>
        <v>VACATION LEAVE</v>
      </c>
      <c r="N360" s="4" t="str">
        <f>IFERROR(VLOOKUP(T_LEAVE[[#This Row],[LEAVE TYPE]],T_LEAVETYPE[#All],2,0),"")</f>
        <v>VL</v>
      </c>
    </row>
    <row r="361" spans="2:14" x14ac:dyDescent="0.25">
      <c r="B361" s="93">
        <v>43901</v>
      </c>
      <c r="C361" s="48" t="s">
        <v>177</v>
      </c>
      <c r="D361" s="48" t="s">
        <v>147</v>
      </c>
      <c r="E361" s="4" t="s">
        <v>88</v>
      </c>
      <c r="F361" s="49">
        <v>1</v>
      </c>
      <c r="G361" s="4" t="s">
        <v>175</v>
      </c>
      <c r="I361" s="4" t="s">
        <v>149</v>
      </c>
      <c r="J361" s="4" t="s">
        <v>176</v>
      </c>
      <c r="K361" s="4" t="str">
        <f>IFERROR(LEFT(T_LEAVE[[#This Row],[EMPLOYEE NAME]],LEN(T_LEAVE[[#This Row],[EMPLOYEE NAME]])-3),"")</f>
        <v>ACOSTA, JOSEPH VAUGHN</v>
      </c>
      <c r="L361" s="48">
        <f>IFERROR(DATEVALUE(TEXT(RIGHT(T_LEAVE[[#This Row],[LEAVE DATE]],LEN(T_LEAVE[[#This Row],[LEAVE DATE]])-6),"[$-en-US]d-mmm-yyyy;@")),"")</f>
        <v>43905</v>
      </c>
      <c r="M361" s="4" t="str">
        <f>IFERROR(TRIM(T_LEAVE[[#This Row],[TYPE]]),"")</f>
        <v>VACATION LEAVE</v>
      </c>
      <c r="N361" s="4" t="str">
        <f>IFERROR(VLOOKUP(T_LEAVE[[#This Row],[LEAVE TYPE]],T_LEAVETYPE[#All],2,0),"")</f>
        <v>VL</v>
      </c>
    </row>
    <row r="362" spans="2:14" x14ac:dyDescent="0.25">
      <c r="B362" s="93">
        <v>43902</v>
      </c>
      <c r="C362" s="48" t="s">
        <v>338</v>
      </c>
      <c r="D362" s="48" t="s">
        <v>330</v>
      </c>
      <c r="E362" s="4" t="s">
        <v>89</v>
      </c>
      <c r="F362" s="49">
        <v>1</v>
      </c>
      <c r="G362" s="4" t="s">
        <v>339</v>
      </c>
      <c r="H362" s="4" t="s">
        <v>165</v>
      </c>
      <c r="I362" s="4" t="s">
        <v>149</v>
      </c>
      <c r="J362" s="4" t="s">
        <v>340</v>
      </c>
      <c r="K362" s="4" t="str">
        <f>IFERROR(LEFT(T_LEAVE[[#This Row],[EMPLOYEE NAME]],LEN(T_LEAVE[[#This Row],[EMPLOYEE NAME]])-3),"")</f>
        <v>BELMONTE, JOSE MARI</v>
      </c>
      <c r="L362" s="48">
        <f>IFERROR(DATEVALUE(TEXT(RIGHT(T_LEAVE[[#This Row],[LEAVE DATE]],LEN(T_LEAVE[[#This Row],[LEAVE DATE]])-6),"[$-en-US]d-mmm-yyyy;@")),"")</f>
        <v>43899</v>
      </c>
      <c r="M362" s="4" t="str">
        <f>IFERROR(TRIM(T_LEAVE[[#This Row],[TYPE]]),"")</f>
        <v>SICK LEAVE</v>
      </c>
      <c r="N362" s="69" t="str">
        <f>IFERROR(VLOOKUP(T_LEAVE[[#This Row],[LEAVE TYPE]],T_LEAVETYPE[#All],2,0),"")</f>
        <v>SL</v>
      </c>
    </row>
    <row r="363" spans="2:14" x14ac:dyDescent="0.25">
      <c r="B363" s="93">
        <v>43902</v>
      </c>
      <c r="C363" s="48" t="s">
        <v>341</v>
      </c>
      <c r="D363" s="48" t="s">
        <v>330</v>
      </c>
      <c r="E363" s="4" t="s">
        <v>89</v>
      </c>
      <c r="F363" s="49">
        <v>1</v>
      </c>
      <c r="G363" s="4" t="s">
        <v>339</v>
      </c>
      <c r="H363" s="4" t="s">
        <v>165</v>
      </c>
      <c r="I363" s="4" t="s">
        <v>149</v>
      </c>
      <c r="J363" s="4" t="s">
        <v>340</v>
      </c>
      <c r="K363" s="4" t="str">
        <f>IFERROR(LEFT(T_LEAVE[[#This Row],[EMPLOYEE NAME]],LEN(T_LEAVE[[#This Row],[EMPLOYEE NAME]])-3),"")</f>
        <v>BELMONTE, JOSE MARI</v>
      </c>
      <c r="L363" s="48">
        <f>IFERROR(DATEVALUE(TEXT(RIGHT(T_LEAVE[[#This Row],[LEAVE DATE]],LEN(T_LEAVE[[#This Row],[LEAVE DATE]])-6),"[$-en-US]d-mmm-yyyy;@")),"")</f>
        <v>43900</v>
      </c>
      <c r="M363" s="4" t="str">
        <f>IFERROR(TRIM(T_LEAVE[[#This Row],[TYPE]]),"")</f>
        <v>SICK LEAVE</v>
      </c>
      <c r="N363" s="69" t="str">
        <f>IFERROR(VLOOKUP(T_LEAVE[[#This Row],[LEAVE TYPE]],T_LEAVETYPE[#All],2,0),"")</f>
        <v>SL</v>
      </c>
    </row>
    <row r="364" spans="2:14" x14ac:dyDescent="0.25">
      <c r="B364" s="93">
        <v>43902</v>
      </c>
      <c r="C364" s="48" t="s">
        <v>342</v>
      </c>
      <c r="D364" s="48" t="s">
        <v>330</v>
      </c>
      <c r="E364" s="4" t="s">
        <v>89</v>
      </c>
      <c r="F364" s="49">
        <v>1</v>
      </c>
      <c r="G364" s="4" t="s">
        <v>339</v>
      </c>
      <c r="H364" s="4" t="s">
        <v>165</v>
      </c>
      <c r="I364" s="4" t="s">
        <v>149</v>
      </c>
      <c r="J364" s="4" t="s">
        <v>340</v>
      </c>
      <c r="K364" s="4" t="str">
        <f>IFERROR(LEFT(T_LEAVE[[#This Row],[EMPLOYEE NAME]],LEN(T_LEAVE[[#This Row],[EMPLOYEE NAME]])-3),"")</f>
        <v>BELMONTE, JOSE MARI</v>
      </c>
      <c r="L364" s="48">
        <f>IFERROR(DATEVALUE(TEXT(RIGHT(T_LEAVE[[#This Row],[LEAVE DATE]],LEN(T_LEAVE[[#This Row],[LEAVE DATE]])-6),"[$-en-US]d-mmm-yyyy;@")),"")</f>
        <v>43901</v>
      </c>
      <c r="M364" s="4" t="str">
        <f>IFERROR(TRIM(T_LEAVE[[#This Row],[TYPE]]),"")</f>
        <v>SICK LEAVE</v>
      </c>
      <c r="N364" s="69" t="str">
        <f>IFERROR(VLOOKUP(T_LEAVE[[#This Row],[LEAVE TYPE]],T_LEAVETYPE[#All],2,0),"")</f>
        <v>SL</v>
      </c>
    </row>
    <row r="365" spans="2:14" x14ac:dyDescent="0.25">
      <c r="B365" s="93">
        <v>43902</v>
      </c>
      <c r="C365" s="48" t="s">
        <v>343</v>
      </c>
      <c r="D365" s="48" t="s">
        <v>330</v>
      </c>
      <c r="E365" s="4" t="s">
        <v>89</v>
      </c>
      <c r="F365" s="49">
        <v>1</v>
      </c>
      <c r="G365" s="4" t="s">
        <v>339</v>
      </c>
      <c r="H365" s="4" t="s">
        <v>165</v>
      </c>
      <c r="I365" s="4" t="s">
        <v>149</v>
      </c>
      <c r="J365" s="4" t="s">
        <v>340</v>
      </c>
      <c r="K365" s="4" t="str">
        <f>IFERROR(LEFT(T_LEAVE[[#This Row],[EMPLOYEE NAME]],LEN(T_LEAVE[[#This Row],[EMPLOYEE NAME]])-3),"")</f>
        <v>BELMONTE, JOSE MARI</v>
      </c>
      <c r="L365" s="48">
        <f>IFERROR(DATEVALUE(TEXT(RIGHT(T_LEAVE[[#This Row],[LEAVE DATE]],LEN(T_LEAVE[[#This Row],[LEAVE DATE]])-6),"[$-en-US]d-mmm-yyyy;@")),"")</f>
        <v>43902</v>
      </c>
      <c r="M365" s="4" t="str">
        <f>IFERROR(TRIM(T_LEAVE[[#This Row],[TYPE]]),"")</f>
        <v>SICK LEAVE</v>
      </c>
      <c r="N365" s="69" t="str">
        <f>IFERROR(VLOOKUP(T_LEAVE[[#This Row],[LEAVE TYPE]],T_LEAVETYPE[#All],2,0),"")</f>
        <v>SL</v>
      </c>
    </row>
    <row r="366" spans="2:14" x14ac:dyDescent="0.25">
      <c r="B366" s="93">
        <v>43903</v>
      </c>
      <c r="C366" s="48" t="s">
        <v>343</v>
      </c>
      <c r="D366" s="48" t="s">
        <v>517</v>
      </c>
      <c r="E366" s="4" t="s">
        <v>89</v>
      </c>
      <c r="F366" s="49">
        <v>1</v>
      </c>
      <c r="G366" s="4" t="s">
        <v>529</v>
      </c>
      <c r="I366" s="4" t="s">
        <v>149</v>
      </c>
      <c r="J366" s="4" t="s">
        <v>530</v>
      </c>
      <c r="K366" s="4" t="str">
        <f>IFERROR(LEFT(T_LEAVE[[#This Row],[EMPLOYEE NAME]],LEN(T_LEAVE[[#This Row],[EMPLOYEE NAME]])-3),"")</f>
        <v>FESTEJO, ABIEL CAMBYSES</v>
      </c>
      <c r="L366" s="48">
        <f>IFERROR(DATEVALUE(TEXT(RIGHT(T_LEAVE[[#This Row],[LEAVE DATE]],LEN(T_LEAVE[[#This Row],[LEAVE DATE]])-6),"[$-en-US]d-mmm-yyyy;@")),"")</f>
        <v>43902</v>
      </c>
      <c r="M366" s="4" t="str">
        <f>IFERROR(TRIM(T_LEAVE[[#This Row],[TYPE]]),"")</f>
        <v>SICK LEAVE</v>
      </c>
      <c r="N366" s="69" t="str">
        <f>IFERROR(VLOOKUP(T_LEAVE[[#This Row],[LEAVE TYPE]],T_LEAVETYPE[#All],2,0),"")</f>
        <v>SL</v>
      </c>
    </row>
    <row r="367" spans="2:14" x14ac:dyDescent="0.25">
      <c r="B367" s="93">
        <v>43904</v>
      </c>
      <c r="C367" s="48" t="s">
        <v>342</v>
      </c>
      <c r="D367" s="48" t="s">
        <v>777</v>
      </c>
      <c r="E367" s="4" t="s">
        <v>89</v>
      </c>
      <c r="F367" s="49">
        <v>1</v>
      </c>
      <c r="G367" s="4" t="s">
        <v>787</v>
      </c>
      <c r="I367" s="4" t="s">
        <v>149</v>
      </c>
      <c r="J367" s="4" t="s">
        <v>530</v>
      </c>
      <c r="K367" s="4" t="str">
        <f>IFERROR(LEFT(T_LEAVE[[#This Row],[EMPLOYEE NAME]],LEN(T_LEAVE[[#This Row],[EMPLOYEE NAME]])-3),"")</f>
        <v>MACALALAD, ANAMARIE</v>
      </c>
      <c r="L367" s="48">
        <f>IFERROR(DATEVALUE(TEXT(RIGHT(T_LEAVE[[#This Row],[LEAVE DATE]],LEN(T_LEAVE[[#This Row],[LEAVE DATE]])-6),"[$-en-US]d-mmm-yyyy;@")),"")</f>
        <v>43901</v>
      </c>
      <c r="M367" s="4" t="str">
        <f>IFERROR(TRIM(T_LEAVE[[#This Row],[TYPE]]),"")</f>
        <v>SICK LEAVE</v>
      </c>
      <c r="N367" s="69" t="str">
        <f>IFERROR(VLOOKUP(T_LEAVE[[#This Row],[LEAVE TYPE]],T_LEAVETYPE[#All],2,0),"")</f>
        <v>SL</v>
      </c>
    </row>
    <row r="368" spans="2:14" x14ac:dyDescent="0.25">
      <c r="B368" s="93">
        <v>43904</v>
      </c>
      <c r="C368" s="48" t="s">
        <v>343</v>
      </c>
      <c r="D368" s="48" t="s">
        <v>777</v>
      </c>
      <c r="E368" s="4" t="s">
        <v>89</v>
      </c>
      <c r="F368" s="49">
        <v>1</v>
      </c>
      <c r="G368" s="4" t="s">
        <v>787</v>
      </c>
      <c r="I368" s="4" t="s">
        <v>149</v>
      </c>
      <c r="J368" s="4" t="s">
        <v>530</v>
      </c>
      <c r="K368" s="4" t="str">
        <f>IFERROR(LEFT(T_LEAVE[[#This Row],[EMPLOYEE NAME]],LEN(T_LEAVE[[#This Row],[EMPLOYEE NAME]])-3),"")</f>
        <v>MACALALAD, ANAMARIE</v>
      </c>
      <c r="L368" s="48">
        <f>IFERROR(DATEVALUE(TEXT(RIGHT(T_LEAVE[[#This Row],[LEAVE DATE]],LEN(T_LEAVE[[#This Row],[LEAVE DATE]])-6),"[$-en-US]d-mmm-yyyy;@")),"")</f>
        <v>43902</v>
      </c>
      <c r="M368" s="4" t="str">
        <f>IFERROR(TRIM(T_LEAVE[[#This Row],[TYPE]]),"")</f>
        <v>SICK LEAVE</v>
      </c>
      <c r="N368" s="69" t="str">
        <f>IFERROR(VLOOKUP(T_LEAVE[[#This Row],[LEAVE TYPE]],T_LEAVETYPE[#All],2,0),"")</f>
        <v>SL</v>
      </c>
    </row>
    <row r="369" spans="2:14" x14ac:dyDescent="0.25">
      <c r="B369" s="93">
        <v>43906</v>
      </c>
      <c r="C369" s="48" t="s">
        <v>236</v>
      </c>
      <c r="D369" s="48" t="s">
        <v>365</v>
      </c>
      <c r="E369" s="4" t="s">
        <v>89</v>
      </c>
      <c r="F369" s="49">
        <v>1</v>
      </c>
      <c r="G369" s="4" t="s">
        <v>379</v>
      </c>
      <c r="I369" s="4" t="s">
        <v>149</v>
      </c>
      <c r="J369" s="4" t="s">
        <v>380</v>
      </c>
      <c r="K369" s="4" t="str">
        <f>IFERROR(LEFT(T_LEAVE[[#This Row],[EMPLOYEE NAME]],LEN(T_LEAVE[[#This Row],[EMPLOYEE NAME]])-3),"")</f>
        <v>CASAS JR., BERNARDO</v>
      </c>
      <c r="L369" s="48">
        <f>IFERROR(DATEVALUE(TEXT(RIGHT(T_LEAVE[[#This Row],[LEAVE DATE]],LEN(T_LEAVE[[#This Row],[LEAVE DATE]])-6),"[$-en-US]d-mmm-yyyy;@")),"")</f>
        <v>43903</v>
      </c>
      <c r="M369" s="4" t="str">
        <f>IFERROR(TRIM(T_LEAVE[[#This Row],[TYPE]]),"")</f>
        <v>SICK LEAVE</v>
      </c>
      <c r="N369" s="69" t="str">
        <f>IFERROR(VLOOKUP(T_LEAVE[[#This Row],[LEAVE TYPE]],T_LEAVETYPE[#All],2,0),"")</f>
        <v>SL</v>
      </c>
    </row>
    <row r="370" spans="2:14" x14ac:dyDescent="0.25">
      <c r="B370" s="93">
        <v>43907</v>
      </c>
      <c r="C370" s="48" t="s">
        <v>236</v>
      </c>
      <c r="D370" s="48" t="s">
        <v>208</v>
      </c>
      <c r="E370" s="4" t="s">
        <v>89</v>
      </c>
      <c r="F370" s="49">
        <v>1</v>
      </c>
      <c r="G370" s="4" t="s">
        <v>237</v>
      </c>
      <c r="I370" s="4" t="s">
        <v>149</v>
      </c>
      <c r="J370" s="4" t="s">
        <v>238</v>
      </c>
      <c r="K370" s="4" t="str">
        <f>IFERROR(LEFT(T_LEAVE[[#This Row],[EMPLOYEE NAME]],LEN(T_LEAVE[[#This Row],[EMPLOYEE NAME]])-3),"")</f>
        <v>AQUINO, RODEL</v>
      </c>
      <c r="L370" s="48">
        <f>IFERROR(DATEVALUE(TEXT(RIGHT(T_LEAVE[[#This Row],[LEAVE DATE]],LEN(T_LEAVE[[#This Row],[LEAVE DATE]])-6),"[$-en-US]d-mmm-yyyy;@")),"")</f>
        <v>43903</v>
      </c>
      <c r="M370" s="4" t="str">
        <f>IFERROR(TRIM(T_LEAVE[[#This Row],[TYPE]]),"")</f>
        <v>SICK LEAVE</v>
      </c>
      <c r="N370" s="69" t="str">
        <f>IFERROR(VLOOKUP(T_LEAVE[[#This Row],[LEAVE TYPE]],T_LEAVETYPE[#All],2,0),"")</f>
        <v>SL</v>
      </c>
    </row>
    <row r="371" spans="2:14" x14ac:dyDescent="0.25">
      <c r="B371" s="93">
        <v>43907</v>
      </c>
      <c r="C371" s="48" t="s">
        <v>174</v>
      </c>
      <c r="D371" s="48" t="s">
        <v>208</v>
      </c>
      <c r="E371" s="4" t="s">
        <v>89</v>
      </c>
      <c r="F371" s="49">
        <v>1</v>
      </c>
      <c r="G371" s="4" t="s">
        <v>237</v>
      </c>
      <c r="I371" s="4" t="s">
        <v>149</v>
      </c>
      <c r="J371" s="4" t="s">
        <v>238</v>
      </c>
      <c r="K371" s="4" t="str">
        <f>IFERROR(LEFT(T_LEAVE[[#This Row],[EMPLOYEE NAME]],LEN(T_LEAVE[[#This Row],[EMPLOYEE NAME]])-3),"")</f>
        <v>AQUINO, RODEL</v>
      </c>
      <c r="L371" s="48">
        <f>IFERROR(DATEVALUE(TEXT(RIGHT(T_LEAVE[[#This Row],[LEAVE DATE]],LEN(T_LEAVE[[#This Row],[LEAVE DATE]])-6),"[$-en-US]d-mmm-yyyy;@")),"")</f>
        <v>43904</v>
      </c>
      <c r="M371" s="4" t="str">
        <f>IFERROR(TRIM(T_LEAVE[[#This Row],[TYPE]]),"")</f>
        <v>SICK LEAVE</v>
      </c>
      <c r="N371" s="69" t="str">
        <f>IFERROR(VLOOKUP(T_LEAVE[[#This Row],[LEAVE TYPE]],T_LEAVETYPE[#All],2,0),"")</f>
        <v>SL</v>
      </c>
    </row>
    <row r="372" spans="2:14" x14ac:dyDescent="0.25">
      <c r="B372" s="93">
        <v>43907</v>
      </c>
      <c r="C372" s="48" t="s">
        <v>177</v>
      </c>
      <c r="D372" s="48" t="s">
        <v>208</v>
      </c>
      <c r="E372" s="4" t="s">
        <v>89</v>
      </c>
      <c r="F372" s="49">
        <v>1</v>
      </c>
      <c r="G372" s="4" t="s">
        <v>237</v>
      </c>
      <c r="I372" s="4" t="s">
        <v>149</v>
      </c>
      <c r="J372" s="4" t="s">
        <v>238</v>
      </c>
      <c r="K372" s="4" t="str">
        <f>IFERROR(LEFT(T_LEAVE[[#This Row],[EMPLOYEE NAME]],LEN(T_LEAVE[[#This Row],[EMPLOYEE NAME]])-3),"")</f>
        <v>AQUINO, RODEL</v>
      </c>
      <c r="L372" s="48">
        <f>IFERROR(DATEVALUE(TEXT(RIGHT(T_LEAVE[[#This Row],[LEAVE DATE]],LEN(T_LEAVE[[#This Row],[LEAVE DATE]])-6),"[$-en-US]d-mmm-yyyy;@")),"")</f>
        <v>43905</v>
      </c>
      <c r="M372" s="4" t="str">
        <f>IFERROR(TRIM(T_LEAVE[[#This Row],[TYPE]]),"")</f>
        <v>SICK LEAVE</v>
      </c>
      <c r="N372" s="69" t="str">
        <f>IFERROR(VLOOKUP(T_LEAVE[[#This Row],[LEAVE TYPE]],T_LEAVETYPE[#All],2,0),"")</f>
        <v>SL</v>
      </c>
    </row>
    <row r="373" spans="2:14" x14ac:dyDescent="0.25">
      <c r="B373" s="93">
        <v>43909</v>
      </c>
      <c r="C373" s="48" t="s">
        <v>470</v>
      </c>
      <c r="D373" s="48" t="s">
        <v>847</v>
      </c>
      <c r="E373" s="4" t="s">
        <v>88</v>
      </c>
      <c r="F373" s="49">
        <v>1</v>
      </c>
      <c r="G373" s="4" t="s">
        <v>861</v>
      </c>
      <c r="I373" s="4" t="s">
        <v>149</v>
      </c>
      <c r="J373" s="4" t="s">
        <v>862</v>
      </c>
      <c r="K373" s="4" t="str">
        <f>IFERROR(LEFT(T_LEAVE[[#This Row],[EMPLOYEE NAME]],LEN(T_LEAVE[[#This Row],[EMPLOYEE NAME]])-3),"")</f>
        <v>MATIGNAS, JAYDEE</v>
      </c>
      <c r="L373" s="48">
        <f>IFERROR(DATEVALUE(TEXT(RIGHT(T_LEAVE[[#This Row],[LEAVE DATE]],LEN(T_LEAVE[[#This Row],[LEAVE DATE]])-6),"[$-en-US]d-mmm-yyyy;@")),"")</f>
        <v>43908</v>
      </c>
      <c r="M373" s="4" t="str">
        <f>IFERROR(TRIM(T_LEAVE[[#This Row],[TYPE]]),"")</f>
        <v>VACATION LEAVE</v>
      </c>
      <c r="N373" s="69" t="str">
        <f>IFERROR(VLOOKUP(T_LEAVE[[#This Row],[LEAVE TYPE]],T_LEAVETYPE[#All],2,0),"")</f>
        <v>VL</v>
      </c>
    </row>
    <row r="374" spans="2:14" x14ac:dyDescent="0.25">
      <c r="B374" s="93">
        <v>43909</v>
      </c>
      <c r="C374" s="48" t="s">
        <v>343</v>
      </c>
      <c r="D374" s="48" t="s">
        <v>1142</v>
      </c>
      <c r="E374" s="4" t="s">
        <v>89</v>
      </c>
      <c r="F374" s="49">
        <v>1</v>
      </c>
      <c r="G374" s="4" t="s">
        <v>49</v>
      </c>
      <c r="I374" s="4" t="s">
        <v>149</v>
      </c>
      <c r="J374" s="4" t="s">
        <v>1148</v>
      </c>
      <c r="K374" s="4" t="str">
        <f>IFERROR(LEFT(T_LEAVE[[#This Row],[EMPLOYEE NAME]],LEN(T_LEAVE[[#This Row],[EMPLOYEE NAME]])-3),"")</f>
        <v>WENCESLAO, JOHN GLENN</v>
      </c>
      <c r="L374" s="48">
        <f>IFERROR(DATEVALUE(TEXT(RIGHT(T_LEAVE[[#This Row],[LEAVE DATE]],LEN(T_LEAVE[[#This Row],[LEAVE DATE]])-6),"[$-en-US]d-mmm-yyyy;@")),"")</f>
        <v>43902</v>
      </c>
      <c r="M374" s="4" t="str">
        <f>IFERROR(TRIM(T_LEAVE[[#This Row],[TYPE]]),"")</f>
        <v>SICK LEAVE</v>
      </c>
      <c r="N374" s="69" t="str">
        <f>IFERROR(VLOOKUP(T_LEAVE[[#This Row],[LEAVE TYPE]],T_LEAVETYPE[#All],2,0),"")</f>
        <v>SL</v>
      </c>
    </row>
    <row r="375" spans="2:14" x14ac:dyDescent="0.25">
      <c r="B375" s="93">
        <v>43909</v>
      </c>
      <c r="C375" s="48" t="s">
        <v>236</v>
      </c>
      <c r="D375" s="48" t="s">
        <v>1142</v>
      </c>
      <c r="E375" s="4" t="s">
        <v>89</v>
      </c>
      <c r="F375" s="49">
        <v>1</v>
      </c>
      <c r="G375" s="4" t="s">
        <v>49</v>
      </c>
      <c r="I375" s="4" t="s">
        <v>149</v>
      </c>
      <c r="J375" s="4" t="s">
        <v>1148</v>
      </c>
      <c r="K375" s="4" t="str">
        <f>IFERROR(LEFT(T_LEAVE[[#This Row],[EMPLOYEE NAME]],LEN(T_LEAVE[[#This Row],[EMPLOYEE NAME]])-3),"")</f>
        <v>WENCESLAO, JOHN GLENN</v>
      </c>
      <c r="L375" s="48">
        <f>IFERROR(DATEVALUE(TEXT(RIGHT(T_LEAVE[[#This Row],[LEAVE DATE]],LEN(T_LEAVE[[#This Row],[LEAVE DATE]])-6),"[$-en-US]d-mmm-yyyy;@")),"")</f>
        <v>43903</v>
      </c>
      <c r="M375" s="4" t="str">
        <f>IFERROR(TRIM(T_LEAVE[[#This Row],[TYPE]]),"")</f>
        <v>SICK LEAVE</v>
      </c>
      <c r="N375" s="69" t="str">
        <f>IFERROR(VLOOKUP(T_LEAVE[[#This Row],[LEAVE TYPE]],T_LEAVETYPE[#All],2,0),"")</f>
        <v>SL</v>
      </c>
    </row>
    <row r="376" spans="2:14" x14ac:dyDescent="0.25">
      <c r="B376" s="93">
        <v>43910</v>
      </c>
      <c r="C376" s="48" t="s">
        <v>553</v>
      </c>
      <c r="D376" s="48" t="s">
        <v>847</v>
      </c>
      <c r="E376" s="4" t="s">
        <v>88</v>
      </c>
      <c r="F376" s="49">
        <v>1</v>
      </c>
      <c r="G376" s="4" t="s">
        <v>863</v>
      </c>
      <c r="I376" s="4" t="s">
        <v>149</v>
      </c>
      <c r="J376" s="4" t="s">
        <v>862</v>
      </c>
      <c r="K376" s="4" t="str">
        <f>IFERROR(LEFT(T_LEAVE[[#This Row],[EMPLOYEE NAME]],LEN(T_LEAVE[[#This Row],[EMPLOYEE NAME]])-3),"")</f>
        <v>MATIGNAS, JAYDEE</v>
      </c>
      <c r="L376" s="48">
        <f>IFERROR(DATEVALUE(TEXT(RIGHT(T_LEAVE[[#This Row],[LEAVE DATE]],LEN(T_LEAVE[[#This Row],[LEAVE DATE]])-6),"[$-en-US]d-mmm-yyyy;@")),"")</f>
        <v>43909</v>
      </c>
      <c r="M376" s="4" t="str">
        <f>IFERROR(TRIM(T_LEAVE[[#This Row],[TYPE]]),"")</f>
        <v>VACATION LEAVE</v>
      </c>
      <c r="N376" s="69" t="str">
        <f>IFERROR(VLOOKUP(T_LEAVE[[#This Row],[LEAVE TYPE]],T_LEAVETYPE[#All],2,0),"")</f>
        <v>VL</v>
      </c>
    </row>
    <row r="377" spans="2:14" x14ac:dyDescent="0.25">
      <c r="B377" s="93">
        <v>43912</v>
      </c>
      <c r="C377" s="48" t="s">
        <v>553</v>
      </c>
      <c r="D377" s="48" t="s">
        <v>541</v>
      </c>
      <c r="E377" s="4" t="s">
        <v>89</v>
      </c>
      <c r="F377" s="49">
        <v>1</v>
      </c>
      <c r="G377" s="4" t="s">
        <v>551</v>
      </c>
      <c r="I377" s="4" t="s">
        <v>149</v>
      </c>
      <c r="J377" s="4" t="s">
        <v>554</v>
      </c>
      <c r="K377" s="4" t="str">
        <f>IFERROR(LEFT(T_LEAVE[[#This Row],[EMPLOYEE NAME]],LEN(T_LEAVE[[#This Row],[EMPLOYEE NAME]])-3),"")</f>
        <v>GARCINES, SHENALD</v>
      </c>
      <c r="L377" s="48">
        <f>IFERROR(DATEVALUE(TEXT(RIGHT(T_LEAVE[[#This Row],[LEAVE DATE]],LEN(T_LEAVE[[#This Row],[LEAVE DATE]])-6),"[$-en-US]d-mmm-yyyy;@")),"")</f>
        <v>43909</v>
      </c>
      <c r="M377" s="4" t="str">
        <f>IFERROR(TRIM(T_LEAVE[[#This Row],[TYPE]]),"")</f>
        <v>SICK LEAVE</v>
      </c>
      <c r="N377" s="69" t="str">
        <f>IFERROR(VLOOKUP(T_LEAVE[[#This Row],[LEAVE TYPE]],T_LEAVETYPE[#All],2,0),"")</f>
        <v>SL</v>
      </c>
    </row>
    <row r="378" spans="2:14" x14ac:dyDescent="0.25">
      <c r="B378" s="93">
        <v>43912</v>
      </c>
      <c r="C378" s="48" t="s">
        <v>830</v>
      </c>
      <c r="D378" s="48" t="s">
        <v>827</v>
      </c>
      <c r="E378" s="4" t="s">
        <v>88</v>
      </c>
      <c r="F378" s="49">
        <v>1</v>
      </c>
      <c r="G378" s="4" t="s">
        <v>831</v>
      </c>
      <c r="I378" s="4" t="s">
        <v>149</v>
      </c>
      <c r="J378" s="4" t="s">
        <v>832</v>
      </c>
      <c r="K378" s="4" t="str">
        <f>IFERROR(LEFT(T_LEAVE[[#This Row],[EMPLOYEE NAME]],LEN(T_LEAVE[[#This Row],[EMPLOYEE NAME]])-3),"")</f>
        <v>MANGOBA, MICHAEL</v>
      </c>
      <c r="L378" s="48">
        <f>IFERROR(DATEVALUE(TEXT(RIGHT(T_LEAVE[[#This Row],[LEAVE DATE]],LEN(T_LEAVE[[#This Row],[LEAVE DATE]])-6),"[$-en-US]d-mmm-yyyy;@")),"")</f>
        <v>43906</v>
      </c>
      <c r="M378" s="4" t="str">
        <f>IFERROR(TRIM(T_LEAVE[[#This Row],[TYPE]]),"")</f>
        <v>VACATION LEAVE</v>
      </c>
      <c r="N378" s="69" t="str">
        <f>IFERROR(VLOOKUP(T_LEAVE[[#This Row],[LEAVE TYPE]],T_LEAVETYPE[#All],2,0),"")</f>
        <v>VL</v>
      </c>
    </row>
    <row r="379" spans="2:14" x14ac:dyDescent="0.25">
      <c r="B379" s="93">
        <v>43912</v>
      </c>
      <c r="C379" s="48" t="s">
        <v>178</v>
      </c>
      <c r="D379" s="48" t="s">
        <v>827</v>
      </c>
      <c r="E379" s="4" t="s">
        <v>88</v>
      </c>
      <c r="F379" s="49">
        <v>1</v>
      </c>
      <c r="G379" s="4" t="s">
        <v>831</v>
      </c>
      <c r="I379" s="4" t="s">
        <v>149</v>
      </c>
      <c r="J379" s="4" t="s">
        <v>832</v>
      </c>
      <c r="K379" s="4" t="str">
        <f>IFERROR(LEFT(T_LEAVE[[#This Row],[EMPLOYEE NAME]],LEN(T_LEAVE[[#This Row],[EMPLOYEE NAME]])-3),"")</f>
        <v>MANGOBA, MICHAEL</v>
      </c>
      <c r="L379" s="48">
        <f>IFERROR(DATEVALUE(TEXT(RIGHT(T_LEAVE[[#This Row],[LEAVE DATE]],LEN(T_LEAVE[[#This Row],[LEAVE DATE]])-6),"[$-en-US]d-mmm-yyyy;@")),"")</f>
        <v>43911</v>
      </c>
      <c r="M379" s="4" t="str">
        <f>IFERROR(TRIM(T_LEAVE[[#This Row],[TYPE]]),"")</f>
        <v>VACATION LEAVE</v>
      </c>
      <c r="N379" s="69" t="str">
        <f>IFERROR(VLOOKUP(T_LEAVE[[#This Row],[LEAVE TYPE]],T_LEAVETYPE[#All],2,0),"")</f>
        <v>VL</v>
      </c>
    </row>
    <row r="380" spans="2:14" x14ac:dyDescent="0.25">
      <c r="B380" s="93">
        <v>43912</v>
      </c>
      <c r="C380" s="48" t="s">
        <v>177</v>
      </c>
      <c r="D380" s="48" t="s">
        <v>1033</v>
      </c>
      <c r="E380" s="4" t="s">
        <v>89</v>
      </c>
      <c r="F380" s="49">
        <v>1</v>
      </c>
      <c r="G380" s="4" t="s">
        <v>1045</v>
      </c>
      <c r="I380" s="4" t="s">
        <v>149</v>
      </c>
      <c r="J380" s="4" t="s">
        <v>1046</v>
      </c>
      <c r="K380" s="4" t="str">
        <f>IFERROR(LEFT(T_LEAVE[[#This Row],[EMPLOYEE NAME]],LEN(T_LEAVE[[#This Row],[EMPLOYEE NAME]])-3),"")</f>
        <v>VALLADARES, ALLEN</v>
      </c>
      <c r="L380" s="48">
        <f>IFERROR(DATEVALUE(TEXT(RIGHT(T_LEAVE[[#This Row],[LEAVE DATE]],LEN(T_LEAVE[[#This Row],[LEAVE DATE]])-6),"[$-en-US]d-mmm-yyyy;@")),"")</f>
        <v>43905</v>
      </c>
      <c r="M380" s="4" t="str">
        <f>IFERROR(TRIM(T_LEAVE[[#This Row],[TYPE]]),"")</f>
        <v>SICK LEAVE</v>
      </c>
      <c r="N380" s="69" t="str">
        <f>IFERROR(VLOOKUP(T_LEAVE[[#This Row],[LEAVE TYPE]],T_LEAVETYPE[#All],2,0),"")</f>
        <v>SL</v>
      </c>
    </row>
    <row r="381" spans="2:14" x14ac:dyDescent="0.25">
      <c r="B381" s="93">
        <v>43913</v>
      </c>
      <c r="C381" s="48" t="s">
        <v>400</v>
      </c>
      <c r="D381" s="48" t="s">
        <v>382</v>
      </c>
      <c r="E381" s="4" t="s">
        <v>89</v>
      </c>
      <c r="F381" s="49">
        <v>1</v>
      </c>
      <c r="G381" s="4" t="s">
        <v>401</v>
      </c>
      <c r="I381" s="4" t="s">
        <v>149</v>
      </c>
      <c r="J381" s="4" t="s">
        <v>402</v>
      </c>
      <c r="K381" s="4" t="str">
        <f>IFERROR(LEFT(T_LEAVE[[#This Row],[EMPLOYEE NAME]],LEN(T_LEAVE[[#This Row],[EMPLOYEE NAME]])-3),"")</f>
        <v>CONSTANTINO, IAN ARCHIMEDES</v>
      </c>
      <c r="L381" s="48">
        <f>IFERROR(DATEVALUE(TEXT(RIGHT(T_LEAVE[[#This Row],[LEAVE DATE]],LEN(T_LEAVE[[#This Row],[LEAVE DATE]])-6),"[$-en-US]d-mmm-yyyy;@")),"")</f>
        <v>43913</v>
      </c>
      <c r="M381" s="4" t="str">
        <f>IFERROR(TRIM(T_LEAVE[[#This Row],[TYPE]]),"")</f>
        <v>SICK LEAVE</v>
      </c>
      <c r="N381" s="69" t="str">
        <f>IFERROR(VLOOKUP(T_LEAVE[[#This Row],[LEAVE TYPE]],T_LEAVETYPE[#All],2,0),"")</f>
        <v>SL</v>
      </c>
    </row>
    <row r="382" spans="2:14" x14ac:dyDescent="0.25">
      <c r="B382" s="93">
        <v>43913</v>
      </c>
      <c r="C382" s="48" t="s">
        <v>470</v>
      </c>
      <c r="D382" s="48" t="s">
        <v>463</v>
      </c>
      <c r="E382" s="4" t="s">
        <v>88</v>
      </c>
      <c r="F382" s="49">
        <v>1</v>
      </c>
      <c r="G382" s="4" t="s">
        <v>88</v>
      </c>
      <c r="I382" s="4" t="s">
        <v>149</v>
      </c>
      <c r="J382" s="4" t="s">
        <v>471</v>
      </c>
      <c r="K382" s="4" t="str">
        <f>IFERROR(LEFT(T_LEAVE[[#This Row],[EMPLOYEE NAME]],LEN(T_LEAVE[[#This Row],[EMPLOYEE NAME]])-3),"")</f>
        <v>DEDEL, BRIAN KOBE</v>
      </c>
      <c r="L382" s="48">
        <f>IFERROR(DATEVALUE(TEXT(RIGHT(T_LEAVE[[#This Row],[LEAVE DATE]],LEN(T_LEAVE[[#This Row],[LEAVE DATE]])-6),"[$-en-US]d-mmm-yyyy;@")),"")</f>
        <v>43908</v>
      </c>
      <c r="M382" s="4" t="str">
        <f>IFERROR(TRIM(T_LEAVE[[#This Row],[TYPE]]),"")</f>
        <v>VACATION LEAVE</v>
      </c>
      <c r="N382" s="69" t="str">
        <f>IFERROR(VLOOKUP(T_LEAVE[[#This Row],[LEAVE TYPE]],T_LEAVETYPE[#All],2,0),"")</f>
        <v>VL</v>
      </c>
    </row>
    <row r="383" spans="2:14" x14ac:dyDescent="0.25">
      <c r="B383" s="93">
        <v>43913</v>
      </c>
      <c r="C383" s="48" t="s">
        <v>343</v>
      </c>
      <c r="D383" s="48" t="s">
        <v>541</v>
      </c>
      <c r="E383" s="4" t="s">
        <v>89</v>
      </c>
      <c r="F383" s="49">
        <v>1</v>
      </c>
      <c r="G383" s="4" t="s">
        <v>551</v>
      </c>
      <c r="I383" s="4" t="s">
        <v>149</v>
      </c>
      <c r="J383" s="4" t="s">
        <v>552</v>
      </c>
      <c r="K383" s="4" t="str">
        <f>IFERROR(LEFT(T_LEAVE[[#This Row],[EMPLOYEE NAME]],LEN(T_LEAVE[[#This Row],[EMPLOYEE NAME]])-3),"")</f>
        <v>GARCINES, SHENALD</v>
      </c>
      <c r="L383" s="48">
        <f>IFERROR(DATEVALUE(TEXT(RIGHT(T_LEAVE[[#This Row],[LEAVE DATE]],LEN(T_LEAVE[[#This Row],[LEAVE DATE]])-6),"[$-en-US]d-mmm-yyyy;@")),"")</f>
        <v>43902</v>
      </c>
      <c r="M383" s="4" t="str">
        <f>IFERROR(TRIM(T_LEAVE[[#This Row],[TYPE]]),"")</f>
        <v>SICK LEAVE</v>
      </c>
      <c r="N383" s="69" t="str">
        <f>IFERROR(VLOOKUP(T_LEAVE[[#This Row],[LEAVE TYPE]],T_LEAVETYPE[#All],2,0),"")</f>
        <v>SL</v>
      </c>
    </row>
    <row r="384" spans="2:14" x14ac:dyDescent="0.25">
      <c r="B384" s="93">
        <v>43913</v>
      </c>
      <c r="C384" s="48" t="s">
        <v>236</v>
      </c>
      <c r="D384" s="48" t="s">
        <v>541</v>
      </c>
      <c r="E384" s="4" t="s">
        <v>89</v>
      </c>
      <c r="F384" s="49">
        <v>1</v>
      </c>
      <c r="G384" s="4" t="s">
        <v>551</v>
      </c>
      <c r="I384" s="4" t="s">
        <v>149</v>
      </c>
      <c r="J384" s="4" t="s">
        <v>552</v>
      </c>
      <c r="K384" s="4" t="str">
        <f>IFERROR(LEFT(T_LEAVE[[#This Row],[EMPLOYEE NAME]],LEN(T_LEAVE[[#This Row],[EMPLOYEE NAME]])-3),"")</f>
        <v>GARCINES, SHENALD</v>
      </c>
      <c r="L384" s="48">
        <f>IFERROR(DATEVALUE(TEXT(RIGHT(T_LEAVE[[#This Row],[LEAVE DATE]],LEN(T_LEAVE[[#This Row],[LEAVE DATE]])-6),"[$-en-US]d-mmm-yyyy;@")),"")</f>
        <v>43903</v>
      </c>
      <c r="M384" s="4" t="str">
        <f>IFERROR(TRIM(T_LEAVE[[#This Row],[TYPE]]),"")</f>
        <v>SICK LEAVE</v>
      </c>
      <c r="N384" s="69" t="str">
        <f>IFERROR(VLOOKUP(T_LEAVE[[#This Row],[LEAVE TYPE]],T_LEAVETYPE[#All],2,0),"")</f>
        <v>SL</v>
      </c>
    </row>
    <row r="385" spans="2:14" x14ac:dyDescent="0.25">
      <c r="B385" s="93">
        <v>43913</v>
      </c>
      <c r="C385" s="48" t="s">
        <v>487</v>
      </c>
      <c r="D385" s="48" t="s">
        <v>834</v>
      </c>
      <c r="E385" s="4" t="s">
        <v>89</v>
      </c>
      <c r="F385" s="49">
        <v>1</v>
      </c>
      <c r="G385" s="4" t="s">
        <v>836</v>
      </c>
      <c r="I385" s="4" t="s">
        <v>149</v>
      </c>
      <c r="J385" s="4" t="s">
        <v>837</v>
      </c>
      <c r="K385" s="4" t="str">
        <f>IFERROR(LEFT(T_LEAVE[[#This Row],[EMPLOYEE NAME]],LEN(T_LEAVE[[#This Row],[EMPLOYEE NAME]])-3),"")</f>
        <v>MARINAS, ELMERA</v>
      </c>
      <c r="L385" s="48">
        <f>IFERROR(DATEVALUE(TEXT(RIGHT(T_LEAVE[[#This Row],[LEAVE DATE]],LEN(T_LEAVE[[#This Row],[LEAVE DATE]])-6),"[$-en-US]d-mmm-yyyy;@")),"")</f>
        <v>43907</v>
      </c>
      <c r="M385" s="4" t="str">
        <f>IFERROR(TRIM(T_LEAVE[[#This Row],[TYPE]]),"")</f>
        <v>SICK LEAVE</v>
      </c>
      <c r="N385" s="69" t="str">
        <f>IFERROR(VLOOKUP(T_LEAVE[[#This Row],[LEAVE TYPE]],T_LEAVETYPE[#All],2,0),"")</f>
        <v>SL</v>
      </c>
    </row>
    <row r="386" spans="2:14" x14ac:dyDescent="0.25">
      <c r="B386" s="93">
        <v>43913</v>
      </c>
      <c r="C386" s="48" t="s">
        <v>470</v>
      </c>
      <c r="D386" s="48" t="s">
        <v>834</v>
      </c>
      <c r="E386" s="4" t="s">
        <v>89</v>
      </c>
      <c r="F386" s="49">
        <v>1</v>
      </c>
      <c r="G386" s="4" t="s">
        <v>836</v>
      </c>
      <c r="I386" s="4" t="s">
        <v>149</v>
      </c>
      <c r="J386" s="4" t="s">
        <v>837</v>
      </c>
      <c r="K386" s="4" t="str">
        <f>IFERROR(LEFT(T_LEAVE[[#This Row],[EMPLOYEE NAME]],LEN(T_LEAVE[[#This Row],[EMPLOYEE NAME]])-3),"")</f>
        <v>MARINAS, ELMERA</v>
      </c>
      <c r="L386" s="48">
        <f>IFERROR(DATEVALUE(TEXT(RIGHT(T_LEAVE[[#This Row],[LEAVE DATE]],LEN(T_LEAVE[[#This Row],[LEAVE DATE]])-6),"[$-en-US]d-mmm-yyyy;@")),"")</f>
        <v>43908</v>
      </c>
      <c r="M386" s="4" t="str">
        <f>IFERROR(TRIM(T_LEAVE[[#This Row],[TYPE]]),"")</f>
        <v>SICK LEAVE</v>
      </c>
      <c r="N386" s="69" t="str">
        <f>IFERROR(VLOOKUP(T_LEAVE[[#This Row],[LEAVE TYPE]],T_LEAVETYPE[#All],2,0),"")</f>
        <v>SL</v>
      </c>
    </row>
    <row r="387" spans="2:14" x14ac:dyDescent="0.25">
      <c r="B387" s="93">
        <v>43914</v>
      </c>
      <c r="C387" s="48" t="s">
        <v>553</v>
      </c>
      <c r="D387" s="48" t="s">
        <v>827</v>
      </c>
      <c r="E387" s="4" t="s">
        <v>88</v>
      </c>
      <c r="F387" s="49">
        <v>1</v>
      </c>
      <c r="G387" s="4" t="s">
        <v>833</v>
      </c>
      <c r="I387" s="4" t="s">
        <v>149</v>
      </c>
      <c r="J387" s="4" t="s">
        <v>832</v>
      </c>
      <c r="K387" s="4" t="str">
        <f>IFERROR(LEFT(T_LEAVE[[#This Row],[EMPLOYEE NAME]],LEN(T_LEAVE[[#This Row],[EMPLOYEE NAME]])-3),"")</f>
        <v>MANGOBA, MICHAEL</v>
      </c>
      <c r="L387" s="48">
        <f>IFERROR(DATEVALUE(TEXT(RIGHT(T_LEAVE[[#This Row],[LEAVE DATE]],LEN(T_LEAVE[[#This Row],[LEAVE DATE]])-6),"[$-en-US]d-mmm-yyyy;@")),"")</f>
        <v>43909</v>
      </c>
      <c r="M387" s="4" t="str">
        <f>IFERROR(TRIM(T_LEAVE[[#This Row],[TYPE]]),"")</f>
        <v>VACATION LEAVE</v>
      </c>
      <c r="N387" s="69" t="str">
        <f>IFERROR(VLOOKUP(T_LEAVE[[#This Row],[LEAVE TYPE]],T_LEAVETYPE[#All],2,0),"")</f>
        <v>VL</v>
      </c>
    </row>
    <row r="388" spans="2:14" x14ac:dyDescent="0.25">
      <c r="B388" s="93">
        <v>43917</v>
      </c>
      <c r="C388" s="48" t="s">
        <v>870</v>
      </c>
      <c r="D388" s="48" t="s">
        <v>847</v>
      </c>
      <c r="E388" s="4" t="s">
        <v>88</v>
      </c>
      <c r="F388" s="49">
        <v>1</v>
      </c>
      <c r="G388" s="4" t="s">
        <v>871</v>
      </c>
      <c r="I388" s="4" t="s">
        <v>149</v>
      </c>
      <c r="J388" s="4" t="s">
        <v>872</v>
      </c>
      <c r="K388" s="4" t="str">
        <f>IFERROR(LEFT(T_LEAVE[[#This Row],[EMPLOYEE NAME]],LEN(T_LEAVE[[#This Row],[EMPLOYEE NAME]])-3),"")</f>
        <v>MATIGNAS, JAYDEE</v>
      </c>
      <c r="L388" s="48">
        <f>IFERROR(DATEVALUE(TEXT(RIGHT(T_LEAVE[[#This Row],[LEAVE DATE]],LEN(T_LEAVE[[#This Row],[LEAVE DATE]])-6),"[$-en-US]d-mmm-yyyy;@")),"")</f>
        <v>43951</v>
      </c>
      <c r="M388" s="4" t="str">
        <f>IFERROR(TRIM(T_LEAVE[[#This Row],[TYPE]]),"")</f>
        <v>VACATION LEAVE</v>
      </c>
      <c r="N388" s="69" t="str">
        <f>IFERROR(VLOOKUP(T_LEAVE[[#This Row],[LEAVE TYPE]],T_LEAVETYPE[#All],2,0),"")</f>
        <v>VL</v>
      </c>
    </row>
    <row r="389" spans="2:14" x14ac:dyDescent="0.25">
      <c r="B389" s="93">
        <v>43921</v>
      </c>
      <c r="C389" s="48" t="s">
        <v>472</v>
      </c>
      <c r="D389" s="48" t="s">
        <v>463</v>
      </c>
      <c r="E389" s="4" t="s">
        <v>88</v>
      </c>
      <c r="F389" s="49">
        <v>1</v>
      </c>
      <c r="G389" s="4" t="s">
        <v>88</v>
      </c>
      <c r="I389" s="4" t="s">
        <v>149</v>
      </c>
      <c r="J389" s="4" t="s">
        <v>278</v>
      </c>
      <c r="K389" s="4" t="str">
        <f>IFERROR(LEFT(T_LEAVE[[#This Row],[EMPLOYEE NAME]],LEN(T_LEAVE[[#This Row],[EMPLOYEE NAME]])-3),"")</f>
        <v>DEDEL, BRIAN KOBE</v>
      </c>
      <c r="L389" s="48">
        <f>IFERROR(DATEVALUE(TEXT(RIGHT(T_LEAVE[[#This Row],[LEAVE DATE]],LEN(T_LEAVE[[#This Row],[LEAVE DATE]])-6),"[$-en-US]d-mmm-yyyy;@")),"")</f>
        <v>43917</v>
      </c>
      <c r="M389" s="4" t="str">
        <f>IFERROR(TRIM(T_LEAVE[[#This Row],[TYPE]]),"")</f>
        <v>VACATION LEAVE</v>
      </c>
      <c r="N389" s="69" t="str">
        <f>IFERROR(VLOOKUP(T_LEAVE[[#This Row],[LEAVE TYPE]],T_LEAVETYPE[#All],2,0),"")</f>
        <v>VL</v>
      </c>
    </row>
    <row r="390" spans="2:14" x14ac:dyDescent="0.25">
      <c r="B390" s="93">
        <v>43921</v>
      </c>
      <c r="C390" s="48" t="s">
        <v>344</v>
      </c>
      <c r="D390" s="48" t="s">
        <v>847</v>
      </c>
      <c r="E390" s="4" t="s">
        <v>88</v>
      </c>
      <c r="F390" s="49">
        <v>1</v>
      </c>
      <c r="G390" s="4" t="s">
        <v>864</v>
      </c>
      <c r="I390" s="4" t="s">
        <v>149</v>
      </c>
      <c r="J390" s="4" t="s">
        <v>865</v>
      </c>
      <c r="K390" s="4" t="str">
        <f>IFERROR(LEFT(T_LEAVE[[#This Row],[EMPLOYEE NAME]],LEN(T_LEAVE[[#This Row],[EMPLOYEE NAME]])-3),"")</f>
        <v>MATIGNAS, JAYDEE</v>
      </c>
      <c r="L390" s="48">
        <f>IFERROR(DATEVALUE(TEXT(RIGHT(T_LEAVE[[#This Row],[LEAVE DATE]],LEN(T_LEAVE[[#This Row],[LEAVE DATE]])-6),"[$-en-US]d-mmm-yyyy;@")),"")</f>
        <v>43920</v>
      </c>
      <c r="M390" s="4" t="str">
        <f>IFERROR(TRIM(T_LEAVE[[#This Row],[TYPE]]),"")</f>
        <v>VACATION LEAVE</v>
      </c>
      <c r="N390" s="69" t="str">
        <f>IFERROR(VLOOKUP(T_LEAVE[[#This Row],[LEAVE TYPE]],T_LEAVETYPE[#All],2,0),"")</f>
        <v>VL</v>
      </c>
    </row>
    <row r="391" spans="2:14" x14ac:dyDescent="0.25">
      <c r="B391" s="93">
        <v>43924</v>
      </c>
      <c r="C391" s="48" t="s">
        <v>347</v>
      </c>
      <c r="D391" s="48" t="s">
        <v>330</v>
      </c>
      <c r="E391" s="4" t="s">
        <v>88</v>
      </c>
      <c r="F391" s="49">
        <v>1</v>
      </c>
      <c r="G391" s="4" t="s">
        <v>348</v>
      </c>
      <c r="I391" s="4" t="s">
        <v>149</v>
      </c>
      <c r="J391" s="4" t="s">
        <v>349</v>
      </c>
      <c r="K391" s="4" t="str">
        <f>IFERROR(LEFT(T_LEAVE[[#This Row],[EMPLOYEE NAME]],LEN(T_LEAVE[[#This Row],[EMPLOYEE NAME]])-3),"")</f>
        <v>BELMONTE, JOSE MARI</v>
      </c>
      <c r="L391" s="48">
        <f>IFERROR(DATEVALUE(TEXT(RIGHT(T_LEAVE[[#This Row],[LEAVE DATE]],LEN(T_LEAVE[[#This Row],[LEAVE DATE]])-6),"[$-en-US]d-mmm-yyyy;@")),"")</f>
        <v>43924</v>
      </c>
      <c r="M391" s="4" t="str">
        <f>IFERROR(TRIM(T_LEAVE[[#This Row],[TYPE]]),"")</f>
        <v>VACATION LEAVE</v>
      </c>
      <c r="N391" s="69" t="str">
        <f>IFERROR(VLOOKUP(T_LEAVE[[#This Row],[LEAVE TYPE]],T_LEAVETYPE[#All],2,0),"")</f>
        <v>VL</v>
      </c>
    </row>
    <row r="392" spans="2:14" x14ac:dyDescent="0.25">
      <c r="B392" s="93">
        <v>43927</v>
      </c>
      <c r="C392" s="48" t="s">
        <v>276</v>
      </c>
      <c r="D392" s="48" t="s">
        <v>256</v>
      </c>
      <c r="E392" s="4" t="s">
        <v>88</v>
      </c>
      <c r="F392" s="49">
        <v>1</v>
      </c>
      <c r="G392" s="4" t="s">
        <v>277</v>
      </c>
      <c r="I392" s="4" t="s">
        <v>149</v>
      </c>
      <c r="J392" s="4" t="s">
        <v>278</v>
      </c>
      <c r="K392" s="4" t="str">
        <f>IFERROR(LEFT(T_LEAVE[[#This Row],[EMPLOYEE NAME]],LEN(T_LEAVE[[#This Row],[EMPLOYEE NAME]])-3),"")</f>
        <v>BALICAS, IRISH ANN</v>
      </c>
      <c r="L392" s="48">
        <f>IFERROR(DATEVALUE(TEXT(RIGHT(T_LEAVE[[#This Row],[LEAVE DATE]],LEN(T_LEAVE[[#This Row],[LEAVE DATE]])-6),"[$-en-US]d-mmm-yyyy;@")),"")</f>
        <v>43927</v>
      </c>
      <c r="M392" s="4" t="str">
        <f>IFERROR(TRIM(T_LEAVE[[#This Row],[TYPE]]),"")</f>
        <v>VACATION LEAVE</v>
      </c>
      <c r="N392" s="69" t="str">
        <f>IFERROR(VLOOKUP(T_LEAVE[[#This Row],[LEAVE TYPE]],T_LEAVETYPE[#All],2,0),"")</f>
        <v>VL</v>
      </c>
    </row>
    <row r="393" spans="2:14" x14ac:dyDescent="0.25">
      <c r="B393" s="93">
        <v>43930</v>
      </c>
      <c r="C393" s="48" t="s">
        <v>276</v>
      </c>
      <c r="D393" s="48" t="s">
        <v>847</v>
      </c>
      <c r="E393" s="4" t="s">
        <v>88</v>
      </c>
      <c r="F393" s="49">
        <v>1</v>
      </c>
      <c r="G393" s="4" t="s">
        <v>866</v>
      </c>
      <c r="I393" s="4" t="s">
        <v>149</v>
      </c>
      <c r="J393" s="4" t="s">
        <v>867</v>
      </c>
      <c r="K393" s="4" t="str">
        <f>IFERROR(LEFT(T_LEAVE[[#This Row],[EMPLOYEE NAME]],LEN(T_LEAVE[[#This Row],[EMPLOYEE NAME]])-3),"")</f>
        <v>MATIGNAS, JAYDEE</v>
      </c>
      <c r="L393" s="48">
        <f>IFERROR(DATEVALUE(TEXT(RIGHT(T_LEAVE[[#This Row],[LEAVE DATE]],LEN(T_LEAVE[[#This Row],[LEAVE DATE]])-6),"[$-en-US]d-mmm-yyyy;@")),"")</f>
        <v>43927</v>
      </c>
      <c r="M393" s="4" t="str">
        <f>IFERROR(TRIM(T_LEAVE[[#This Row],[TYPE]]),"")</f>
        <v>VACATION LEAVE</v>
      </c>
      <c r="N393" s="69" t="str">
        <f>IFERROR(VLOOKUP(T_LEAVE[[#This Row],[LEAVE TYPE]],T_LEAVETYPE[#All],2,0),"")</f>
        <v>VL</v>
      </c>
    </row>
    <row r="394" spans="2:14" x14ac:dyDescent="0.25">
      <c r="B394" s="93">
        <v>43930</v>
      </c>
      <c r="C394" s="48" t="s">
        <v>868</v>
      </c>
      <c r="D394" s="48" t="s">
        <v>847</v>
      </c>
      <c r="E394" s="4" t="s">
        <v>88</v>
      </c>
      <c r="F394" s="49">
        <v>1</v>
      </c>
      <c r="G394" s="4" t="s">
        <v>869</v>
      </c>
      <c r="I394" s="4" t="s">
        <v>149</v>
      </c>
      <c r="J394" s="4" t="s">
        <v>867</v>
      </c>
      <c r="K394" s="4" t="str">
        <f>IFERROR(LEFT(T_LEAVE[[#This Row],[EMPLOYEE NAME]],LEN(T_LEAVE[[#This Row],[EMPLOYEE NAME]])-3),"")</f>
        <v>MATIGNAS, JAYDEE</v>
      </c>
      <c r="L394" s="48">
        <f>IFERROR(DATEVALUE(TEXT(RIGHT(T_LEAVE[[#This Row],[LEAVE DATE]],LEN(T_LEAVE[[#This Row],[LEAVE DATE]])-6),"[$-en-US]d-mmm-yyyy;@")),"")</f>
        <v>43928</v>
      </c>
      <c r="M394" s="4" t="str">
        <f>IFERROR(TRIM(T_LEAVE[[#This Row],[TYPE]]),"")</f>
        <v>VACATION LEAVE</v>
      </c>
      <c r="N394" s="69" t="str">
        <f>IFERROR(VLOOKUP(T_LEAVE[[#This Row],[LEAVE TYPE]],T_LEAVETYPE[#All],2,0),"")</f>
        <v>VL</v>
      </c>
    </row>
    <row r="395" spans="2:14" x14ac:dyDescent="0.25">
      <c r="B395" s="93">
        <v>43931</v>
      </c>
      <c r="C395" s="48" t="s">
        <v>276</v>
      </c>
      <c r="D395" s="48" t="s">
        <v>1142</v>
      </c>
      <c r="E395" s="4" t="s">
        <v>89</v>
      </c>
      <c r="F395" s="49">
        <v>1</v>
      </c>
      <c r="G395" s="4" t="s">
        <v>89</v>
      </c>
      <c r="I395" s="4" t="s">
        <v>149</v>
      </c>
      <c r="J395" s="4" t="s">
        <v>1149</v>
      </c>
      <c r="K395" s="4" t="str">
        <f>IFERROR(LEFT(T_LEAVE[[#This Row],[EMPLOYEE NAME]],LEN(T_LEAVE[[#This Row],[EMPLOYEE NAME]])-3),"")</f>
        <v>WENCESLAO, JOHN GLENN</v>
      </c>
      <c r="L395" s="48">
        <f>IFERROR(DATEVALUE(TEXT(RIGHT(T_LEAVE[[#This Row],[LEAVE DATE]],LEN(T_LEAVE[[#This Row],[LEAVE DATE]])-6),"[$-en-US]d-mmm-yyyy;@")),"")</f>
        <v>43927</v>
      </c>
      <c r="M395" s="4" t="str">
        <f>IFERROR(TRIM(T_LEAVE[[#This Row],[TYPE]]),"")</f>
        <v>SICK LEAVE</v>
      </c>
      <c r="N395" s="69" t="str">
        <f>IFERROR(VLOOKUP(T_LEAVE[[#This Row],[LEAVE TYPE]],T_LEAVETYPE[#All],2,0),"")</f>
        <v>SL</v>
      </c>
    </row>
    <row r="396" spans="2:14" x14ac:dyDescent="0.25">
      <c r="B396" s="93">
        <v>43941</v>
      </c>
      <c r="C396" s="48" t="s">
        <v>473</v>
      </c>
      <c r="D396" s="48" t="s">
        <v>1131</v>
      </c>
      <c r="E396" s="4" t="s">
        <v>88</v>
      </c>
      <c r="F396" s="49">
        <v>1</v>
      </c>
      <c r="G396" s="4" t="s">
        <v>1135</v>
      </c>
      <c r="I396" s="4" t="s">
        <v>149</v>
      </c>
      <c r="J396" s="4" t="s">
        <v>1136</v>
      </c>
      <c r="K396" s="4" t="str">
        <f>IFERROR(LEFT(T_LEAVE[[#This Row],[EMPLOYEE NAME]],LEN(T_LEAVE[[#This Row],[EMPLOYEE NAME]])-3),"")</f>
        <v>WAMBANGCO, JAN TOBEY</v>
      </c>
      <c r="L396" s="48">
        <f>IFERROR(DATEVALUE(TEXT(RIGHT(T_LEAVE[[#This Row],[LEAVE DATE]],LEN(T_LEAVE[[#This Row],[LEAVE DATE]])-6),"[$-en-US]d-mmm-yyyy;@")),"")</f>
        <v>43943</v>
      </c>
      <c r="M396" s="4" t="str">
        <f>IFERROR(TRIM(T_LEAVE[[#This Row],[TYPE]]),"")</f>
        <v>VACATION LEAVE</v>
      </c>
      <c r="N396" s="69" t="str">
        <f>IFERROR(VLOOKUP(T_LEAVE[[#This Row],[LEAVE TYPE]],T_LEAVETYPE[#All],2,0),"")</f>
        <v>VL</v>
      </c>
    </row>
    <row r="397" spans="2:14" x14ac:dyDescent="0.25">
      <c r="B397" s="93">
        <v>43942</v>
      </c>
      <c r="C397" s="48" t="s">
        <v>678</v>
      </c>
      <c r="D397" s="48" t="s">
        <v>666</v>
      </c>
      <c r="E397" s="4" t="s">
        <v>89</v>
      </c>
      <c r="F397" s="49">
        <v>1</v>
      </c>
      <c r="G397" s="4" t="s">
        <v>679</v>
      </c>
      <c r="I397" s="4" t="s">
        <v>149</v>
      </c>
      <c r="J397" s="4" t="s">
        <v>680</v>
      </c>
      <c r="K397" s="4" t="str">
        <f>IFERROR(LEFT(T_LEAVE[[#This Row],[EMPLOYEE NAME]],LEN(T_LEAVE[[#This Row],[EMPLOYEE NAME]])-3),"")</f>
        <v>LARIZA, MELANIE DELA CRUZ</v>
      </c>
      <c r="L397" s="48">
        <f>IFERROR(DATEVALUE(TEXT(RIGHT(T_LEAVE[[#This Row],[LEAVE DATE]],LEN(T_LEAVE[[#This Row],[LEAVE DATE]])-6),"[$-en-US]d-mmm-yyyy;@")),"")</f>
        <v>43937</v>
      </c>
      <c r="M397" s="4" t="str">
        <f>IFERROR(TRIM(T_LEAVE[[#This Row],[TYPE]]),"")</f>
        <v>SICK LEAVE</v>
      </c>
      <c r="N397" s="69" t="str">
        <f>IFERROR(VLOOKUP(T_LEAVE[[#This Row],[LEAVE TYPE]],T_LEAVETYPE[#All],2,0),"")</f>
        <v>SL</v>
      </c>
    </row>
    <row r="398" spans="2:14" x14ac:dyDescent="0.25">
      <c r="B398" s="93">
        <v>43943</v>
      </c>
      <c r="C398" s="48" t="s">
        <v>403</v>
      </c>
      <c r="D398" s="48" t="s">
        <v>382</v>
      </c>
      <c r="E398" s="4" t="s">
        <v>89</v>
      </c>
      <c r="F398" s="49">
        <v>1</v>
      </c>
      <c r="G398" s="4" t="s">
        <v>398</v>
      </c>
      <c r="I398" s="4" t="s">
        <v>149</v>
      </c>
      <c r="J398" s="4" t="s">
        <v>404</v>
      </c>
      <c r="K398" s="4" t="str">
        <f>IFERROR(LEFT(T_LEAVE[[#This Row],[EMPLOYEE NAME]],LEN(T_LEAVE[[#This Row],[EMPLOYEE NAME]])-3),"")</f>
        <v>CONSTANTINO, IAN ARCHIMEDES</v>
      </c>
      <c r="L398" s="48">
        <f>IFERROR(DATEVALUE(TEXT(RIGHT(T_LEAVE[[#This Row],[LEAVE DATE]],LEN(T_LEAVE[[#This Row],[LEAVE DATE]])-6),"[$-en-US]d-mmm-yyyy;@")),"")</f>
        <v>43942</v>
      </c>
      <c r="M398" s="4" t="str">
        <f>IFERROR(TRIM(T_LEAVE[[#This Row],[TYPE]]),"")</f>
        <v>SICK LEAVE</v>
      </c>
      <c r="N398" s="69" t="str">
        <f>IFERROR(VLOOKUP(T_LEAVE[[#This Row],[LEAVE TYPE]],T_LEAVETYPE[#All],2,0),"")</f>
        <v>SL</v>
      </c>
    </row>
    <row r="399" spans="2:14" x14ac:dyDescent="0.25">
      <c r="B399" s="93">
        <v>43945</v>
      </c>
      <c r="C399" s="48" t="s">
        <v>473</v>
      </c>
      <c r="D399" s="48" t="s">
        <v>463</v>
      </c>
      <c r="E399" s="4" t="s">
        <v>88</v>
      </c>
      <c r="F399" s="49">
        <v>1</v>
      </c>
      <c r="G399" s="4" t="s">
        <v>50</v>
      </c>
      <c r="I399" s="4" t="s">
        <v>149</v>
      </c>
      <c r="J399" s="4" t="s">
        <v>474</v>
      </c>
      <c r="K399" s="4" t="str">
        <f>IFERROR(LEFT(T_LEAVE[[#This Row],[EMPLOYEE NAME]],LEN(T_LEAVE[[#This Row],[EMPLOYEE NAME]])-3),"")</f>
        <v>DEDEL, BRIAN KOBE</v>
      </c>
      <c r="L399" s="48">
        <f>IFERROR(DATEVALUE(TEXT(RIGHT(T_LEAVE[[#This Row],[LEAVE DATE]],LEN(T_LEAVE[[#This Row],[LEAVE DATE]])-6),"[$-en-US]d-mmm-yyyy;@")),"")</f>
        <v>43943</v>
      </c>
      <c r="M399" s="4" t="str">
        <f>IFERROR(TRIM(T_LEAVE[[#This Row],[TYPE]]),"")</f>
        <v>VACATION LEAVE</v>
      </c>
      <c r="N399" s="69" t="str">
        <f>IFERROR(VLOOKUP(T_LEAVE[[#This Row],[LEAVE TYPE]],T_LEAVETYPE[#All],2,0),"")</f>
        <v>VL</v>
      </c>
    </row>
    <row r="400" spans="2:14" x14ac:dyDescent="0.25">
      <c r="B400" s="93">
        <v>43946</v>
      </c>
      <c r="C400" s="48" t="s">
        <v>429</v>
      </c>
      <c r="D400" s="48" t="s">
        <v>899</v>
      </c>
      <c r="E400" s="4" t="s">
        <v>88</v>
      </c>
      <c r="F400" s="49">
        <v>1</v>
      </c>
      <c r="G400" s="4" t="s">
        <v>912</v>
      </c>
      <c r="I400" s="4" t="s">
        <v>149</v>
      </c>
      <c r="J400" s="4" t="s">
        <v>913</v>
      </c>
      <c r="K400" s="4" t="str">
        <f>IFERROR(LEFT(T_LEAVE[[#This Row],[EMPLOYEE NAME]],LEN(T_LEAVE[[#This Row],[EMPLOYEE NAME]])-3),"")</f>
        <v>PATULOT, MARIROSE</v>
      </c>
      <c r="L400" s="48">
        <f>IFERROR(DATEVALUE(TEXT(RIGHT(T_LEAVE[[#This Row],[LEAVE DATE]],LEN(T_LEAVE[[#This Row],[LEAVE DATE]])-6),"[$-en-US]d-mmm-yyyy;@")),"")</f>
        <v>43955</v>
      </c>
      <c r="M400" s="4" t="str">
        <f>IFERROR(TRIM(T_LEAVE[[#This Row],[TYPE]]),"")</f>
        <v>VACATION LEAVE</v>
      </c>
      <c r="N400" s="69" t="str">
        <f>IFERROR(VLOOKUP(T_LEAVE[[#This Row],[LEAVE TYPE]],T_LEAVETYPE[#All],2,0),"")</f>
        <v>VL</v>
      </c>
    </row>
    <row r="401" spans="2:14" x14ac:dyDescent="0.25">
      <c r="B401" s="93">
        <v>43946</v>
      </c>
      <c r="C401" s="48" t="s">
        <v>1150</v>
      </c>
      <c r="D401" s="48" t="s">
        <v>1142</v>
      </c>
      <c r="E401" s="4" t="s">
        <v>89</v>
      </c>
      <c r="F401" s="49">
        <v>1</v>
      </c>
      <c r="G401" s="4" t="s">
        <v>1151</v>
      </c>
      <c r="I401" s="4" t="s">
        <v>149</v>
      </c>
      <c r="J401" s="4" t="s">
        <v>1152</v>
      </c>
      <c r="K401" s="4" t="str">
        <f>IFERROR(LEFT(T_LEAVE[[#This Row],[EMPLOYEE NAME]],LEN(T_LEAVE[[#This Row],[EMPLOYEE NAME]])-3),"")</f>
        <v>WENCESLAO, JOHN GLENN</v>
      </c>
      <c r="L401" s="48">
        <f>IFERROR(DATEVALUE(TEXT(RIGHT(T_LEAVE[[#This Row],[LEAVE DATE]],LEN(T_LEAVE[[#This Row],[LEAVE DATE]])-6),"[$-en-US]d-mmm-yyyy;@")),"")</f>
        <v>43944</v>
      </c>
      <c r="M401" s="4" t="str">
        <f>IFERROR(TRIM(T_LEAVE[[#This Row],[TYPE]]),"")</f>
        <v>SICK LEAVE</v>
      </c>
      <c r="N401" s="69" t="str">
        <f>IFERROR(VLOOKUP(T_LEAVE[[#This Row],[LEAVE TYPE]],T_LEAVETYPE[#All],2,0),"")</f>
        <v>SL</v>
      </c>
    </row>
    <row r="402" spans="2:14" x14ac:dyDescent="0.25">
      <c r="B402" s="93">
        <v>43949</v>
      </c>
      <c r="C402" s="48" t="s">
        <v>475</v>
      </c>
      <c r="D402" s="48" t="s">
        <v>777</v>
      </c>
      <c r="E402" s="4" t="s">
        <v>88</v>
      </c>
      <c r="F402" s="49">
        <v>1</v>
      </c>
      <c r="G402" s="4" t="s">
        <v>788</v>
      </c>
      <c r="I402" s="4" t="s">
        <v>149</v>
      </c>
      <c r="J402" s="4" t="s">
        <v>789</v>
      </c>
      <c r="K402" s="4" t="str">
        <f>IFERROR(LEFT(T_LEAVE[[#This Row],[EMPLOYEE NAME]],LEN(T_LEAVE[[#This Row],[EMPLOYEE NAME]])-3),"")</f>
        <v>MACALALAD, ANAMARIE</v>
      </c>
      <c r="L402" s="48">
        <f>IFERROR(DATEVALUE(TEXT(RIGHT(T_LEAVE[[#This Row],[LEAVE DATE]],LEN(T_LEAVE[[#This Row],[LEAVE DATE]])-6),"[$-en-US]d-mmm-yyyy;@")),"")</f>
        <v>43948</v>
      </c>
      <c r="M402" s="4" t="str">
        <f>IFERROR(TRIM(T_LEAVE[[#This Row],[TYPE]]),"")</f>
        <v>VACATION LEAVE</v>
      </c>
      <c r="N402" s="69" t="str">
        <f>IFERROR(VLOOKUP(T_LEAVE[[#This Row],[LEAVE TYPE]],T_LEAVETYPE[#All],2,0),"")</f>
        <v>VL</v>
      </c>
    </row>
    <row r="403" spans="2:14" x14ac:dyDescent="0.25">
      <c r="B403" s="93">
        <v>43950</v>
      </c>
      <c r="C403" s="48" t="s">
        <v>350</v>
      </c>
      <c r="D403" s="48" t="s">
        <v>330</v>
      </c>
      <c r="E403" s="4" t="s">
        <v>89</v>
      </c>
      <c r="F403" s="49">
        <v>1</v>
      </c>
      <c r="G403" s="4" t="s">
        <v>351</v>
      </c>
      <c r="I403" s="4" t="s">
        <v>149</v>
      </c>
      <c r="J403" s="4" t="s">
        <v>352</v>
      </c>
      <c r="K403" s="4" t="str">
        <f>IFERROR(LEFT(T_LEAVE[[#This Row],[EMPLOYEE NAME]],LEN(T_LEAVE[[#This Row],[EMPLOYEE NAME]])-3),"")</f>
        <v>BELMONTE, JOSE MARI</v>
      </c>
      <c r="L403" s="48">
        <f>IFERROR(DATEVALUE(TEXT(RIGHT(T_LEAVE[[#This Row],[LEAVE DATE]],LEN(T_LEAVE[[#This Row],[LEAVE DATE]])-6),"[$-en-US]d-mmm-yyyy;@")),"")</f>
        <v>43949</v>
      </c>
      <c r="M403" s="4" t="str">
        <f>IFERROR(TRIM(T_LEAVE[[#This Row],[TYPE]]),"")</f>
        <v>SICK LEAVE</v>
      </c>
      <c r="N403" s="69" t="str">
        <f>IFERROR(VLOOKUP(T_LEAVE[[#This Row],[LEAVE TYPE]],T_LEAVETYPE[#All],2,0),"")</f>
        <v>SL</v>
      </c>
    </row>
    <row r="404" spans="2:14" x14ac:dyDescent="0.25">
      <c r="B404" s="93">
        <v>43950</v>
      </c>
      <c r="C404" s="48" t="s">
        <v>564</v>
      </c>
      <c r="D404" s="48" t="s">
        <v>558</v>
      </c>
      <c r="E404" s="4" t="s">
        <v>89</v>
      </c>
      <c r="F404" s="49">
        <v>1</v>
      </c>
      <c r="G404" s="4" t="s">
        <v>565</v>
      </c>
      <c r="I404" s="4" t="s">
        <v>149</v>
      </c>
      <c r="J404" s="4" t="s">
        <v>566</v>
      </c>
      <c r="K404" s="4" t="str">
        <f>IFERROR(LEFT(T_LEAVE[[#This Row],[EMPLOYEE NAME]],LEN(T_LEAVE[[#This Row],[EMPLOYEE NAME]])-3),"")</f>
        <v>GONZALES, MA-ANNE</v>
      </c>
      <c r="L404" s="48">
        <f>IFERROR(DATEVALUE(TEXT(RIGHT(T_LEAVE[[#This Row],[LEAVE DATE]],LEN(T_LEAVE[[#This Row],[LEAVE DATE]])-6),"[$-en-US]d-mmm-yyyy;@")),"")</f>
        <v>43947</v>
      </c>
      <c r="M404" s="4" t="str">
        <f>IFERROR(TRIM(T_LEAVE[[#This Row],[TYPE]]),"")</f>
        <v>SICK LEAVE</v>
      </c>
      <c r="N404" s="69" t="str">
        <f>IFERROR(VLOOKUP(T_LEAVE[[#This Row],[LEAVE TYPE]],T_LEAVETYPE[#All],2,0),"")</f>
        <v>SL</v>
      </c>
    </row>
    <row r="405" spans="2:14" x14ac:dyDescent="0.25">
      <c r="B405" s="93">
        <v>43955</v>
      </c>
      <c r="C405" s="48" t="s">
        <v>429</v>
      </c>
      <c r="D405" s="48" t="s">
        <v>421</v>
      </c>
      <c r="E405" s="4" t="s">
        <v>89</v>
      </c>
      <c r="F405" s="49">
        <v>1</v>
      </c>
      <c r="G405" s="4" t="s">
        <v>430</v>
      </c>
      <c r="I405" s="4" t="s">
        <v>149</v>
      </c>
      <c r="J405" s="4" t="s">
        <v>431</v>
      </c>
      <c r="K405" s="4" t="str">
        <f>IFERROR(LEFT(T_LEAVE[[#This Row],[EMPLOYEE NAME]],LEN(T_LEAVE[[#This Row],[EMPLOYEE NAME]])-3),"")</f>
        <v>DE LEON, JEFFREY</v>
      </c>
      <c r="L405" s="48">
        <f>IFERROR(DATEVALUE(TEXT(RIGHT(T_LEAVE[[#This Row],[LEAVE DATE]],LEN(T_LEAVE[[#This Row],[LEAVE DATE]])-6),"[$-en-US]d-mmm-yyyy;@")),"")</f>
        <v>43955</v>
      </c>
      <c r="M405" s="4" t="str">
        <f>IFERROR(TRIM(T_LEAVE[[#This Row],[TYPE]]),"")</f>
        <v>SICK LEAVE</v>
      </c>
      <c r="N405" s="69" t="str">
        <f>IFERROR(VLOOKUP(T_LEAVE[[#This Row],[LEAVE TYPE]],T_LEAVETYPE[#All],2,0),"")</f>
        <v>SL</v>
      </c>
    </row>
    <row r="406" spans="2:14" x14ac:dyDescent="0.25">
      <c r="B406" s="93">
        <v>43955</v>
      </c>
      <c r="C406" s="48" t="s">
        <v>681</v>
      </c>
      <c r="D406" s="48" t="s">
        <v>666</v>
      </c>
      <c r="E406" s="4" t="s">
        <v>88</v>
      </c>
      <c r="F406" s="49">
        <v>1</v>
      </c>
      <c r="G406" s="4" t="s">
        <v>682</v>
      </c>
      <c r="I406" s="4" t="s">
        <v>149</v>
      </c>
      <c r="J406" s="4" t="s">
        <v>566</v>
      </c>
      <c r="K406" s="4" t="str">
        <f>IFERROR(LEFT(T_LEAVE[[#This Row],[EMPLOYEE NAME]],LEN(T_LEAVE[[#This Row],[EMPLOYEE NAME]])-3),"")</f>
        <v>LARIZA, MELANIE DELA CRUZ</v>
      </c>
      <c r="L406" s="48">
        <f>IFERROR(DATEVALUE(TEXT(RIGHT(T_LEAVE[[#This Row],[LEAVE DATE]],LEN(T_LEAVE[[#This Row],[LEAVE DATE]])-6),"[$-en-US]d-mmm-yyyy;@")),"")</f>
        <v>43952</v>
      </c>
      <c r="M406" s="4" t="str">
        <f>IFERROR(TRIM(T_LEAVE[[#This Row],[TYPE]]),"")</f>
        <v>VACATION LEAVE</v>
      </c>
      <c r="N406" s="69" t="str">
        <f>IFERROR(VLOOKUP(T_LEAVE[[#This Row],[LEAVE TYPE]],T_LEAVETYPE[#All],2,0),"")</f>
        <v>VL</v>
      </c>
    </row>
    <row r="407" spans="2:14" x14ac:dyDescent="0.25">
      <c r="B407" s="93">
        <v>43955</v>
      </c>
      <c r="C407" s="48" t="s">
        <v>1047</v>
      </c>
      <c r="D407" s="48" t="s">
        <v>1033</v>
      </c>
      <c r="E407" s="4" t="s">
        <v>89</v>
      </c>
      <c r="F407" s="49">
        <v>1</v>
      </c>
      <c r="G407" s="4" t="s">
        <v>1048</v>
      </c>
      <c r="I407" s="4" t="s">
        <v>149</v>
      </c>
      <c r="J407" s="4" t="s">
        <v>913</v>
      </c>
      <c r="K407" s="4" t="str">
        <f>IFERROR(LEFT(T_LEAVE[[#This Row],[EMPLOYEE NAME]],LEN(T_LEAVE[[#This Row],[EMPLOYEE NAME]])-3),"")</f>
        <v>VALLADARES, ALLEN</v>
      </c>
      <c r="L407" s="48">
        <f>IFERROR(DATEVALUE(TEXT(RIGHT(T_LEAVE[[#This Row],[LEAVE DATE]],LEN(T_LEAVE[[#This Row],[LEAVE DATE]])-6),"[$-en-US]d-mmm-yyyy;@")),"")</f>
        <v>43953</v>
      </c>
      <c r="M407" s="4" t="str">
        <f>IFERROR(TRIM(T_LEAVE[[#This Row],[TYPE]]),"")</f>
        <v>SICK LEAVE</v>
      </c>
      <c r="N407" s="69" t="str">
        <f>IFERROR(VLOOKUP(T_LEAVE[[#This Row],[LEAVE TYPE]],T_LEAVETYPE[#All],2,0),"")</f>
        <v>SL</v>
      </c>
    </row>
    <row r="408" spans="2:14" x14ac:dyDescent="0.25">
      <c r="B408" s="93">
        <v>43957</v>
      </c>
      <c r="C408" s="48" t="s">
        <v>585</v>
      </c>
      <c r="D408" s="48" t="s">
        <v>579</v>
      </c>
      <c r="E408" s="4" t="s">
        <v>88</v>
      </c>
      <c r="F408" s="49">
        <v>1</v>
      </c>
      <c r="G408" s="4" t="s">
        <v>586</v>
      </c>
      <c r="I408" s="4" t="s">
        <v>149</v>
      </c>
      <c r="J408" s="4" t="s">
        <v>587</v>
      </c>
      <c r="K408" s="4" t="str">
        <f>IFERROR(LEFT(T_LEAVE[[#This Row],[EMPLOYEE NAME]],LEN(T_LEAVE[[#This Row],[EMPLOYEE NAME]])-3),"")</f>
        <v>GORDORA, AIREEN GRACE</v>
      </c>
      <c r="L408" s="48">
        <f>IFERROR(DATEVALUE(TEXT(RIGHT(T_LEAVE[[#This Row],[LEAVE DATE]],LEN(T_LEAVE[[#This Row],[LEAVE DATE]])-6),"[$-en-US]d-mmm-yyyy;@")),"")</f>
        <v>43957</v>
      </c>
      <c r="M408" s="4" t="str">
        <f>IFERROR(TRIM(T_LEAVE[[#This Row],[TYPE]]),"")</f>
        <v>VACATION LEAVE</v>
      </c>
      <c r="N408" s="69" t="str">
        <f>IFERROR(VLOOKUP(T_LEAVE[[#This Row],[LEAVE TYPE]],T_LEAVETYPE[#All],2,0),"")</f>
        <v>VL</v>
      </c>
    </row>
    <row r="409" spans="2:14" x14ac:dyDescent="0.25">
      <c r="B409" s="93">
        <v>43958</v>
      </c>
      <c r="C409" s="48" t="s">
        <v>182</v>
      </c>
      <c r="D409" s="48" t="s">
        <v>147</v>
      </c>
      <c r="E409" s="4" t="s">
        <v>88</v>
      </c>
      <c r="F409" s="49">
        <v>1</v>
      </c>
      <c r="G409" s="4" t="s">
        <v>183</v>
      </c>
      <c r="I409" s="4" t="s">
        <v>149</v>
      </c>
      <c r="J409" s="4" t="s">
        <v>184</v>
      </c>
      <c r="K409" s="4" t="str">
        <f>IFERROR(LEFT(T_LEAVE[[#This Row],[EMPLOYEE NAME]],LEN(T_LEAVE[[#This Row],[EMPLOYEE NAME]])-3),"")</f>
        <v>ACOSTA, JOSEPH VAUGHN</v>
      </c>
      <c r="L409" s="48">
        <f>IFERROR(DATEVALUE(TEXT(RIGHT(T_LEAVE[[#This Row],[LEAVE DATE]],LEN(T_LEAVE[[#This Row],[LEAVE DATE]])-6),"[$-en-US]d-mmm-yyyy;@")),"")</f>
        <v>43959</v>
      </c>
      <c r="M409" s="4" t="str">
        <f>IFERROR(TRIM(T_LEAVE[[#This Row],[TYPE]]),"")</f>
        <v>VACATION LEAVE</v>
      </c>
      <c r="N409" s="4" t="str">
        <f>IFERROR(VLOOKUP(T_LEAVE[[#This Row],[LEAVE TYPE]],T_LEAVETYPE[#All],2,0),"")</f>
        <v>VL</v>
      </c>
    </row>
    <row r="410" spans="2:14" x14ac:dyDescent="0.25">
      <c r="B410" s="93">
        <v>43958</v>
      </c>
      <c r="C410" s="48" t="s">
        <v>432</v>
      </c>
      <c r="D410" s="48" t="s">
        <v>421</v>
      </c>
      <c r="E410" s="4" t="s">
        <v>88</v>
      </c>
      <c r="F410" s="49">
        <v>1</v>
      </c>
      <c r="G410" s="4" t="s">
        <v>433</v>
      </c>
      <c r="I410" s="4" t="s">
        <v>149</v>
      </c>
      <c r="J410" s="4" t="s">
        <v>184</v>
      </c>
      <c r="K410" s="4" t="str">
        <f>IFERROR(LEFT(T_LEAVE[[#This Row],[EMPLOYEE NAME]],LEN(T_LEAVE[[#This Row],[EMPLOYEE NAME]])-3),"")</f>
        <v>DE LEON, JEFFREY</v>
      </c>
      <c r="L410" s="48">
        <f>IFERROR(DATEVALUE(TEXT(RIGHT(T_LEAVE[[#This Row],[LEAVE DATE]],LEN(T_LEAVE[[#This Row],[LEAVE DATE]])-6),"[$-en-US]d-mmm-yyyy;@")),"")</f>
        <v>43962</v>
      </c>
      <c r="M410" s="4" t="str">
        <f>IFERROR(TRIM(T_LEAVE[[#This Row],[TYPE]]),"")</f>
        <v>VACATION LEAVE</v>
      </c>
      <c r="N410" s="69" t="str">
        <f>IFERROR(VLOOKUP(T_LEAVE[[#This Row],[LEAVE TYPE]],T_LEAVETYPE[#All],2,0),"")</f>
        <v>VL</v>
      </c>
    </row>
    <row r="411" spans="2:14" x14ac:dyDescent="0.25">
      <c r="B411" s="93">
        <v>43958</v>
      </c>
      <c r="C411" s="48" t="s">
        <v>838</v>
      </c>
      <c r="D411" s="48" t="s">
        <v>834</v>
      </c>
      <c r="E411" s="4" t="s">
        <v>88</v>
      </c>
      <c r="F411" s="49">
        <v>1</v>
      </c>
      <c r="G411" s="4" t="s">
        <v>839</v>
      </c>
      <c r="I411" s="4" t="s">
        <v>149</v>
      </c>
      <c r="J411" s="4" t="s">
        <v>840</v>
      </c>
      <c r="K411" s="4" t="str">
        <f>IFERROR(LEFT(T_LEAVE[[#This Row],[EMPLOYEE NAME]],LEN(T_LEAVE[[#This Row],[EMPLOYEE NAME]])-3),"")</f>
        <v>MARINAS, ELMERA</v>
      </c>
      <c r="L411" s="48">
        <f>IFERROR(DATEVALUE(TEXT(RIGHT(T_LEAVE[[#This Row],[LEAVE DATE]],LEN(T_LEAVE[[#This Row],[LEAVE DATE]])-6),"[$-en-US]d-mmm-yyyy;@")),"")</f>
        <v>43974</v>
      </c>
      <c r="M411" s="4" t="str">
        <f>IFERROR(TRIM(T_LEAVE[[#This Row],[TYPE]]),"")</f>
        <v>VACATION LEAVE</v>
      </c>
      <c r="N411" s="69" t="str">
        <f>IFERROR(VLOOKUP(T_LEAVE[[#This Row],[LEAVE TYPE]],T_LEAVETYPE[#All],2,0),"")</f>
        <v>VL</v>
      </c>
    </row>
    <row r="412" spans="2:14" x14ac:dyDescent="0.25">
      <c r="B412" s="93">
        <v>43959</v>
      </c>
      <c r="C412" s="48" t="s">
        <v>429</v>
      </c>
      <c r="D412" s="48" t="s">
        <v>1100</v>
      </c>
      <c r="E412" s="4" t="s">
        <v>88</v>
      </c>
      <c r="F412" s="49">
        <v>1</v>
      </c>
      <c r="G412" s="4" t="s">
        <v>1102</v>
      </c>
      <c r="I412" s="4" t="s">
        <v>149</v>
      </c>
      <c r="J412" s="4" t="s">
        <v>1103</v>
      </c>
      <c r="K412" s="4" t="str">
        <f>IFERROR(LEFT(T_LEAVE[[#This Row],[EMPLOYEE NAME]],LEN(T_LEAVE[[#This Row],[EMPLOYEE NAME]])-3),"")</f>
        <v>VILLAFLOR, REA</v>
      </c>
      <c r="L412" s="48">
        <f>IFERROR(DATEVALUE(TEXT(RIGHT(T_LEAVE[[#This Row],[LEAVE DATE]],LEN(T_LEAVE[[#This Row],[LEAVE DATE]])-6),"[$-en-US]d-mmm-yyyy;@")),"")</f>
        <v>43955</v>
      </c>
      <c r="M412" s="4" t="str">
        <f>IFERROR(TRIM(T_LEAVE[[#This Row],[TYPE]]),"")</f>
        <v>VACATION LEAVE</v>
      </c>
      <c r="N412" s="69" t="str">
        <f>IFERROR(VLOOKUP(T_LEAVE[[#This Row],[LEAVE TYPE]],T_LEAVETYPE[#All],2,0),"")</f>
        <v>VL</v>
      </c>
    </row>
    <row r="413" spans="2:14" x14ac:dyDescent="0.25">
      <c r="B413" s="93">
        <v>43959</v>
      </c>
      <c r="C413" s="48" t="s">
        <v>1104</v>
      </c>
      <c r="D413" s="48" t="s">
        <v>1100</v>
      </c>
      <c r="E413" s="4" t="s">
        <v>88</v>
      </c>
      <c r="F413" s="49">
        <v>1</v>
      </c>
      <c r="G413" s="4" t="s">
        <v>1102</v>
      </c>
      <c r="I413" s="4" t="s">
        <v>149</v>
      </c>
      <c r="J413" s="4" t="s">
        <v>1103</v>
      </c>
      <c r="K413" s="4" t="str">
        <f>IFERROR(LEFT(T_LEAVE[[#This Row],[EMPLOYEE NAME]],LEN(T_LEAVE[[#This Row],[EMPLOYEE NAME]])-3),"")</f>
        <v>VILLAFLOR, REA</v>
      </c>
      <c r="L413" s="48">
        <f>IFERROR(DATEVALUE(TEXT(RIGHT(T_LEAVE[[#This Row],[LEAVE DATE]],LEN(T_LEAVE[[#This Row],[LEAVE DATE]])-6),"[$-en-US]d-mmm-yyyy;@")),"")</f>
        <v>43958</v>
      </c>
      <c r="M413" s="4" t="str">
        <f>IFERROR(TRIM(T_LEAVE[[#This Row],[TYPE]]),"")</f>
        <v>VACATION LEAVE</v>
      </c>
      <c r="N413" s="69" t="str">
        <f>IFERROR(VLOOKUP(T_LEAVE[[#This Row],[LEAVE TYPE]],T_LEAVETYPE[#All],2,0),"")</f>
        <v>VL</v>
      </c>
    </row>
    <row r="414" spans="2:14" x14ac:dyDescent="0.25">
      <c r="B414" s="93">
        <v>43960</v>
      </c>
      <c r="C414" s="48" t="s">
        <v>475</v>
      </c>
      <c r="D414" s="48" t="s">
        <v>463</v>
      </c>
      <c r="E414" s="4" t="s">
        <v>89</v>
      </c>
      <c r="F414" s="49">
        <v>1</v>
      </c>
      <c r="G414" s="4" t="s">
        <v>51</v>
      </c>
      <c r="I414" s="4" t="s">
        <v>149</v>
      </c>
      <c r="J414" s="4" t="s">
        <v>184</v>
      </c>
      <c r="K414" s="4" t="str">
        <f>IFERROR(LEFT(T_LEAVE[[#This Row],[EMPLOYEE NAME]],LEN(T_LEAVE[[#This Row],[EMPLOYEE NAME]])-3),"")</f>
        <v>DEDEL, BRIAN KOBE</v>
      </c>
      <c r="L414" s="48">
        <f>IFERROR(DATEVALUE(TEXT(RIGHT(T_LEAVE[[#This Row],[LEAVE DATE]],LEN(T_LEAVE[[#This Row],[LEAVE DATE]])-6),"[$-en-US]d-mmm-yyyy;@")),"")</f>
        <v>43948</v>
      </c>
      <c r="M414" s="4" t="str">
        <f>IFERROR(TRIM(T_LEAVE[[#This Row],[TYPE]]),"")</f>
        <v>SICK LEAVE</v>
      </c>
      <c r="N414" s="69" t="str">
        <f>IFERROR(VLOOKUP(T_LEAVE[[#This Row],[LEAVE TYPE]],T_LEAVETYPE[#All],2,0),"")</f>
        <v>SL</v>
      </c>
    </row>
    <row r="415" spans="2:14" x14ac:dyDescent="0.25">
      <c r="B415" s="93">
        <v>43960</v>
      </c>
      <c r="C415" s="48" t="s">
        <v>476</v>
      </c>
      <c r="D415" s="48" t="s">
        <v>463</v>
      </c>
      <c r="E415" s="4" t="s">
        <v>88</v>
      </c>
      <c r="F415" s="49">
        <v>1</v>
      </c>
      <c r="G415" s="4" t="s">
        <v>50</v>
      </c>
      <c r="I415" s="4" t="s">
        <v>149</v>
      </c>
      <c r="J415" s="4" t="s">
        <v>184</v>
      </c>
      <c r="K415" s="4" t="str">
        <f>IFERROR(LEFT(T_LEAVE[[#This Row],[EMPLOYEE NAME]],LEN(T_LEAVE[[#This Row],[EMPLOYEE NAME]])-3),"")</f>
        <v>DEDEL, BRIAN KOBE</v>
      </c>
      <c r="L415" s="48">
        <f>IFERROR(DATEVALUE(TEXT(RIGHT(T_LEAVE[[#This Row],[LEAVE DATE]],LEN(T_LEAVE[[#This Row],[LEAVE DATE]])-6),"[$-en-US]d-mmm-yyyy;@")),"")</f>
        <v>43950</v>
      </c>
      <c r="M415" s="4" t="str">
        <f>IFERROR(TRIM(T_LEAVE[[#This Row],[TYPE]]),"")</f>
        <v>VACATION LEAVE</v>
      </c>
      <c r="N415" s="69" t="str">
        <f>IFERROR(VLOOKUP(T_LEAVE[[#This Row],[LEAVE TYPE]],T_LEAVETYPE[#All],2,0),"")</f>
        <v>VL</v>
      </c>
    </row>
    <row r="416" spans="2:14" x14ac:dyDescent="0.25">
      <c r="B416" s="93">
        <v>43960</v>
      </c>
      <c r="C416" s="48" t="s">
        <v>429</v>
      </c>
      <c r="D416" s="48" t="s">
        <v>463</v>
      </c>
      <c r="E416" s="4" t="s">
        <v>89</v>
      </c>
      <c r="F416" s="49">
        <v>1</v>
      </c>
      <c r="G416" s="4" t="s">
        <v>51</v>
      </c>
      <c r="I416" s="4" t="s">
        <v>149</v>
      </c>
      <c r="J416" s="4" t="s">
        <v>184</v>
      </c>
      <c r="K416" s="4" t="str">
        <f>IFERROR(LEFT(T_LEAVE[[#This Row],[EMPLOYEE NAME]],LEN(T_LEAVE[[#This Row],[EMPLOYEE NAME]])-3),"")</f>
        <v>DEDEL, BRIAN KOBE</v>
      </c>
      <c r="L416" s="48">
        <f>IFERROR(DATEVALUE(TEXT(RIGHT(T_LEAVE[[#This Row],[LEAVE DATE]],LEN(T_LEAVE[[#This Row],[LEAVE DATE]])-6),"[$-en-US]d-mmm-yyyy;@")),"")</f>
        <v>43955</v>
      </c>
      <c r="M416" s="4" t="str">
        <f>IFERROR(TRIM(T_LEAVE[[#This Row],[TYPE]]),"")</f>
        <v>SICK LEAVE</v>
      </c>
      <c r="N416" s="69" t="str">
        <f>IFERROR(VLOOKUP(T_LEAVE[[#This Row],[LEAVE TYPE]],T_LEAVETYPE[#All],2,0),"")</f>
        <v>SL</v>
      </c>
    </row>
    <row r="417" spans="2:14" x14ac:dyDescent="0.25">
      <c r="B417" s="93">
        <v>43960</v>
      </c>
      <c r="C417" s="48" t="s">
        <v>182</v>
      </c>
      <c r="D417" s="48" t="s">
        <v>463</v>
      </c>
      <c r="E417" s="4" t="s">
        <v>89</v>
      </c>
      <c r="F417" s="49">
        <v>1</v>
      </c>
      <c r="G417" s="4" t="s">
        <v>51</v>
      </c>
      <c r="I417" s="4" t="s">
        <v>149</v>
      </c>
      <c r="J417" s="4" t="s">
        <v>477</v>
      </c>
      <c r="K417" s="4" t="str">
        <f>IFERROR(LEFT(T_LEAVE[[#This Row],[EMPLOYEE NAME]],LEN(T_LEAVE[[#This Row],[EMPLOYEE NAME]])-3),"")</f>
        <v>DEDEL, BRIAN KOBE</v>
      </c>
      <c r="L417" s="48">
        <f>IFERROR(DATEVALUE(TEXT(RIGHT(T_LEAVE[[#This Row],[LEAVE DATE]],LEN(T_LEAVE[[#This Row],[LEAVE DATE]])-6),"[$-en-US]d-mmm-yyyy;@")),"")</f>
        <v>43959</v>
      </c>
      <c r="M417" s="4" t="str">
        <f>IFERROR(TRIM(T_LEAVE[[#This Row],[TYPE]]),"")</f>
        <v>SICK LEAVE</v>
      </c>
      <c r="N417" s="69" t="str">
        <f>IFERROR(VLOOKUP(T_LEAVE[[#This Row],[LEAVE TYPE]],T_LEAVETYPE[#All],2,0),"")</f>
        <v>SL</v>
      </c>
    </row>
    <row r="418" spans="2:14" x14ac:dyDescent="0.25">
      <c r="B418" s="93">
        <v>43960</v>
      </c>
      <c r="C418" s="48" t="s">
        <v>182</v>
      </c>
      <c r="D418" s="48" t="s">
        <v>1142</v>
      </c>
      <c r="E418" s="4" t="s">
        <v>89</v>
      </c>
      <c r="F418" s="49">
        <v>1</v>
      </c>
      <c r="G418" s="4" t="s">
        <v>49</v>
      </c>
      <c r="I418" s="4" t="s">
        <v>149</v>
      </c>
      <c r="J418" s="4" t="s">
        <v>1153</v>
      </c>
      <c r="K418" s="4" t="str">
        <f>IFERROR(LEFT(T_LEAVE[[#This Row],[EMPLOYEE NAME]],LEN(T_LEAVE[[#This Row],[EMPLOYEE NAME]])-3),"")</f>
        <v>WENCESLAO, JOHN GLENN</v>
      </c>
      <c r="L418" s="48">
        <f>IFERROR(DATEVALUE(TEXT(RIGHT(T_LEAVE[[#This Row],[LEAVE DATE]],LEN(T_LEAVE[[#This Row],[LEAVE DATE]])-6),"[$-en-US]d-mmm-yyyy;@")),"")</f>
        <v>43959</v>
      </c>
      <c r="M418" s="4" t="str">
        <f>IFERROR(TRIM(T_LEAVE[[#This Row],[TYPE]]),"")</f>
        <v>SICK LEAVE</v>
      </c>
      <c r="N418" s="69" t="str">
        <f>IFERROR(VLOOKUP(T_LEAVE[[#This Row],[LEAVE TYPE]],T_LEAVETYPE[#All],2,0),"")</f>
        <v>SL</v>
      </c>
    </row>
    <row r="419" spans="2:14" x14ac:dyDescent="0.25">
      <c r="B419" s="93">
        <v>43964</v>
      </c>
      <c r="C419" s="48" t="s">
        <v>588</v>
      </c>
      <c r="D419" s="48" t="s">
        <v>579</v>
      </c>
      <c r="E419" s="4" t="s">
        <v>88</v>
      </c>
      <c r="F419" s="49">
        <v>1</v>
      </c>
      <c r="G419" s="4" t="s">
        <v>589</v>
      </c>
      <c r="I419" s="4" t="s">
        <v>149</v>
      </c>
      <c r="J419" s="4" t="s">
        <v>281</v>
      </c>
      <c r="K419" s="4" t="str">
        <f>IFERROR(LEFT(T_LEAVE[[#This Row],[EMPLOYEE NAME]],LEN(T_LEAVE[[#This Row],[EMPLOYEE NAME]])-3),"")</f>
        <v>GORDORA, AIREEN GRACE</v>
      </c>
      <c r="L419" s="48">
        <f>IFERROR(DATEVALUE(TEXT(RIGHT(T_LEAVE[[#This Row],[LEAVE DATE]],LEN(T_LEAVE[[#This Row],[LEAVE DATE]])-6),"[$-en-US]d-mmm-yyyy;@")),"")</f>
        <v>43973</v>
      </c>
      <c r="M419" s="4" t="str">
        <f>IFERROR(TRIM(T_LEAVE[[#This Row],[TYPE]]),"")</f>
        <v>VACATION LEAVE</v>
      </c>
      <c r="N419" s="69" t="str">
        <f>IFERROR(VLOOKUP(T_LEAVE[[#This Row],[LEAVE TYPE]],T_LEAVETYPE[#All],2,0),"")</f>
        <v>VL</v>
      </c>
    </row>
    <row r="420" spans="2:14" x14ac:dyDescent="0.25">
      <c r="B420" s="93">
        <v>43965</v>
      </c>
      <c r="C420" s="48" t="s">
        <v>279</v>
      </c>
      <c r="D420" s="48" t="s">
        <v>256</v>
      </c>
      <c r="E420" s="4" t="s">
        <v>88</v>
      </c>
      <c r="F420" s="49">
        <v>1</v>
      </c>
      <c r="G420" s="4" t="s">
        <v>280</v>
      </c>
      <c r="I420" s="4" t="s">
        <v>149</v>
      </c>
      <c r="J420" s="4" t="s">
        <v>281</v>
      </c>
      <c r="K420" s="4" t="str">
        <f>IFERROR(LEFT(T_LEAVE[[#This Row],[EMPLOYEE NAME]],LEN(T_LEAVE[[#This Row],[EMPLOYEE NAME]])-3),"")</f>
        <v>BALICAS, IRISH ANN</v>
      </c>
      <c r="L420" s="48">
        <f>IFERROR(DATEVALUE(TEXT(RIGHT(T_LEAVE[[#This Row],[LEAVE DATE]],LEN(T_LEAVE[[#This Row],[LEAVE DATE]])-6),"[$-en-US]d-mmm-yyyy;@")),"")</f>
        <v>43965</v>
      </c>
      <c r="M420" s="4" t="str">
        <f>IFERROR(TRIM(T_LEAVE[[#This Row],[TYPE]]),"")</f>
        <v>VACATION LEAVE</v>
      </c>
      <c r="N420" s="69" t="str">
        <f>IFERROR(VLOOKUP(T_LEAVE[[#This Row],[LEAVE TYPE]],T_LEAVETYPE[#All],2,0),"")</f>
        <v>VL</v>
      </c>
    </row>
    <row r="421" spans="2:14" x14ac:dyDescent="0.25">
      <c r="B421" s="93">
        <v>43965</v>
      </c>
      <c r="C421" s="48" t="s">
        <v>279</v>
      </c>
      <c r="D421" s="48" t="s">
        <v>330</v>
      </c>
      <c r="E421" s="4" t="s">
        <v>88</v>
      </c>
      <c r="F421" s="49">
        <v>1</v>
      </c>
      <c r="G421" s="4" t="s">
        <v>353</v>
      </c>
      <c r="I421" s="4" t="s">
        <v>149</v>
      </c>
      <c r="J421" s="4" t="s">
        <v>281</v>
      </c>
      <c r="K421" s="4" t="str">
        <f>IFERROR(LEFT(T_LEAVE[[#This Row],[EMPLOYEE NAME]],LEN(T_LEAVE[[#This Row],[EMPLOYEE NAME]])-3),"")</f>
        <v>BELMONTE, JOSE MARI</v>
      </c>
      <c r="L421" s="48">
        <f>IFERROR(DATEVALUE(TEXT(RIGHT(T_LEAVE[[#This Row],[LEAVE DATE]],LEN(T_LEAVE[[#This Row],[LEAVE DATE]])-6),"[$-en-US]d-mmm-yyyy;@")),"")</f>
        <v>43965</v>
      </c>
      <c r="M421" s="4" t="str">
        <f>IFERROR(TRIM(T_LEAVE[[#This Row],[TYPE]]),"")</f>
        <v>VACATION LEAVE</v>
      </c>
      <c r="N421" s="69" t="str">
        <f>IFERROR(VLOOKUP(T_LEAVE[[#This Row],[LEAVE TYPE]],T_LEAVETYPE[#All],2,0),"")</f>
        <v>VL</v>
      </c>
    </row>
    <row r="422" spans="2:14" x14ac:dyDescent="0.25">
      <c r="B422" s="93">
        <v>43966</v>
      </c>
      <c r="C422" s="48" t="s">
        <v>508</v>
      </c>
      <c r="D422" s="48" t="s">
        <v>496</v>
      </c>
      <c r="E422" s="4" t="s">
        <v>88</v>
      </c>
      <c r="F422" s="49">
        <v>1</v>
      </c>
      <c r="G422" s="4" t="s">
        <v>509</v>
      </c>
      <c r="I422" s="4" t="s">
        <v>149</v>
      </c>
      <c r="J422" s="4" t="s">
        <v>281</v>
      </c>
      <c r="K422" s="4" t="str">
        <f>IFERROR(LEFT(T_LEAVE[[#This Row],[EMPLOYEE NAME]],LEN(T_LEAVE[[#This Row],[EMPLOYEE NAME]])-3),"")</f>
        <v>FACTO, SHANICE</v>
      </c>
      <c r="L422" s="48">
        <f>IFERROR(DATEVALUE(TEXT(RIGHT(T_LEAVE[[#This Row],[LEAVE DATE]],LEN(T_LEAVE[[#This Row],[LEAVE DATE]])-6),"[$-en-US]d-mmm-yyyy;@")),"")</f>
        <v>43966</v>
      </c>
      <c r="M422" s="4" t="str">
        <f>IFERROR(TRIM(T_LEAVE[[#This Row],[TYPE]]),"")</f>
        <v>VACATION LEAVE</v>
      </c>
      <c r="N422" s="69" t="str">
        <f>IFERROR(VLOOKUP(T_LEAVE[[#This Row],[LEAVE TYPE]],T_LEAVETYPE[#All],2,0),"")</f>
        <v>VL</v>
      </c>
    </row>
    <row r="423" spans="2:14" x14ac:dyDescent="0.25">
      <c r="B423" s="93">
        <v>43967</v>
      </c>
      <c r="C423" s="48" t="s">
        <v>285</v>
      </c>
      <c r="D423" s="48" t="s">
        <v>421</v>
      </c>
      <c r="E423" s="4" t="s">
        <v>88</v>
      </c>
      <c r="F423" s="49">
        <v>1</v>
      </c>
      <c r="G423" s="4" t="s">
        <v>434</v>
      </c>
      <c r="I423" s="4" t="s">
        <v>149</v>
      </c>
      <c r="J423" s="4" t="s">
        <v>435</v>
      </c>
      <c r="K423" s="4" t="str">
        <f>IFERROR(LEFT(T_LEAVE[[#This Row],[EMPLOYEE NAME]],LEN(T_LEAVE[[#This Row],[EMPLOYEE NAME]])-3),"")</f>
        <v>DE LEON, JEFFREY</v>
      </c>
      <c r="L423" s="48">
        <f>IFERROR(DATEVALUE(TEXT(RIGHT(T_LEAVE[[#This Row],[LEAVE DATE]],LEN(T_LEAVE[[#This Row],[LEAVE DATE]])-6),"[$-en-US]d-mmm-yyyy;@")),"")</f>
        <v>43969</v>
      </c>
      <c r="M423" s="4" t="str">
        <f>IFERROR(TRIM(T_LEAVE[[#This Row],[TYPE]]),"")</f>
        <v>VACATION LEAVE</v>
      </c>
      <c r="N423" s="69" t="str">
        <f>IFERROR(VLOOKUP(T_LEAVE[[#This Row],[LEAVE TYPE]],T_LEAVETYPE[#All],2,0),"")</f>
        <v>VL</v>
      </c>
    </row>
    <row r="424" spans="2:14" x14ac:dyDescent="0.25">
      <c r="B424" s="93">
        <v>43968</v>
      </c>
      <c r="C424" s="48" t="s">
        <v>282</v>
      </c>
      <c r="D424" s="48" t="s">
        <v>256</v>
      </c>
      <c r="E424" s="4" t="s">
        <v>88</v>
      </c>
      <c r="F424" s="49">
        <v>1</v>
      </c>
      <c r="G424" s="4" t="s">
        <v>283</v>
      </c>
      <c r="I424" s="4" t="s">
        <v>149</v>
      </c>
      <c r="J424" s="4" t="s">
        <v>284</v>
      </c>
      <c r="K424" s="4" t="str">
        <f>IFERROR(LEFT(T_LEAVE[[#This Row],[EMPLOYEE NAME]],LEN(T_LEAVE[[#This Row],[EMPLOYEE NAME]])-3),"")</f>
        <v>BALICAS, IRISH ANN</v>
      </c>
      <c r="L424" s="48">
        <f>IFERROR(DATEVALUE(TEXT(RIGHT(T_LEAVE[[#This Row],[LEAVE DATE]],LEN(T_LEAVE[[#This Row],[LEAVE DATE]])-6),"[$-en-US]d-mmm-yyyy;@")),"")</f>
        <v>43968</v>
      </c>
      <c r="M424" s="4" t="str">
        <f>IFERROR(TRIM(T_LEAVE[[#This Row],[TYPE]]),"")</f>
        <v>VACATION LEAVE</v>
      </c>
      <c r="N424" s="69" t="str">
        <f>IFERROR(VLOOKUP(T_LEAVE[[#This Row],[LEAVE TYPE]],T_LEAVETYPE[#All],2,0),"")</f>
        <v>VL</v>
      </c>
    </row>
    <row r="425" spans="2:14" x14ac:dyDescent="0.25">
      <c r="B425" s="93">
        <v>43968</v>
      </c>
      <c r="C425" s="48" t="s">
        <v>285</v>
      </c>
      <c r="D425" s="48" t="s">
        <v>256</v>
      </c>
      <c r="E425" s="4" t="s">
        <v>88</v>
      </c>
      <c r="F425" s="49">
        <v>1</v>
      </c>
      <c r="G425" s="4" t="s">
        <v>286</v>
      </c>
      <c r="I425" s="4" t="s">
        <v>149</v>
      </c>
      <c r="J425" s="4" t="s">
        <v>284</v>
      </c>
      <c r="K425" s="4" t="str">
        <f>IFERROR(LEFT(T_LEAVE[[#This Row],[EMPLOYEE NAME]],LEN(T_LEAVE[[#This Row],[EMPLOYEE NAME]])-3),"")</f>
        <v>BALICAS, IRISH ANN</v>
      </c>
      <c r="L425" s="48">
        <f>IFERROR(DATEVALUE(TEXT(RIGHT(T_LEAVE[[#This Row],[LEAVE DATE]],LEN(T_LEAVE[[#This Row],[LEAVE DATE]])-6),"[$-en-US]d-mmm-yyyy;@")),"")</f>
        <v>43969</v>
      </c>
      <c r="M425" s="4" t="str">
        <f>IFERROR(TRIM(T_LEAVE[[#This Row],[TYPE]]),"")</f>
        <v>VACATION LEAVE</v>
      </c>
      <c r="N425" s="69" t="str">
        <f>IFERROR(VLOOKUP(T_LEAVE[[#This Row],[LEAVE TYPE]],T_LEAVETYPE[#All],2,0),"")</f>
        <v>VL</v>
      </c>
    </row>
    <row r="426" spans="2:14" x14ac:dyDescent="0.25">
      <c r="B426" s="93">
        <v>43968</v>
      </c>
      <c r="C426" s="48" t="s">
        <v>508</v>
      </c>
      <c r="D426" s="48" t="s">
        <v>1100</v>
      </c>
      <c r="E426" s="4" t="s">
        <v>88</v>
      </c>
      <c r="F426" s="49">
        <v>1</v>
      </c>
      <c r="G426" s="4" t="s">
        <v>1105</v>
      </c>
      <c r="I426" s="4" t="s">
        <v>149</v>
      </c>
      <c r="J426" s="4" t="s">
        <v>435</v>
      </c>
      <c r="K426" s="4" t="str">
        <f>IFERROR(LEFT(T_LEAVE[[#This Row],[EMPLOYEE NAME]],LEN(T_LEAVE[[#This Row],[EMPLOYEE NAME]])-3),"")</f>
        <v>VILLAFLOR, REA</v>
      </c>
      <c r="L426" s="48">
        <f>IFERROR(DATEVALUE(TEXT(RIGHT(T_LEAVE[[#This Row],[LEAVE DATE]],LEN(T_LEAVE[[#This Row],[LEAVE DATE]])-6),"[$-en-US]d-mmm-yyyy;@")),"")</f>
        <v>43966</v>
      </c>
      <c r="M426" s="4" t="str">
        <f>IFERROR(TRIM(T_LEAVE[[#This Row],[TYPE]]),"")</f>
        <v>VACATION LEAVE</v>
      </c>
      <c r="N426" s="69" t="str">
        <f>IFERROR(VLOOKUP(T_LEAVE[[#This Row],[LEAVE TYPE]],T_LEAVETYPE[#All],2,0),"")</f>
        <v>VL</v>
      </c>
    </row>
    <row r="427" spans="2:14" x14ac:dyDescent="0.25">
      <c r="B427" s="93">
        <v>43972</v>
      </c>
      <c r="C427" s="48" t="s">
        <v>790</v>
      </c>
      <c r="D427" s="48" t="s">
        <v>777</v>
      </c>
      <c r="E427" s="4" t="s">
        <v>88</v>
      </c>
      <c r="F427" s="49">
        <v>1</v>
      </c>
      <c r="G427" s="4" t="s">
        <v>791</v>
      </c>
      <c r="I427" s="4" t="s">
        <v>149</v>
      </c>
      <c r="J427" s="4" t="s">
        <v>792</v>
      </c>
      <c r="K427" s="4" t="str">
        <f>IFERROR(LEFT(T_LEAVE[[#This Row],[EMPLOYEE NAME]],LEN(T_LEAVE[[#This Row],[EMPLOYEE NAME]])-3),"")</f>
        <v>MACALALAD, ANAMARIE</v>
      </c>
      <c r="L427" s="48">
        <f>IFERROR(DATEVALUE(TEXT(RIGHT(T_LEAVE[[#This Row],[LEAVE DATE]],LEN(T_LEAVE[[#This Row],[LEAVE DATE]])-6),"[$-en-US]d-mmm-yyyy;@")),"")</f>
        <v>43970</v>
      </c>
      <c r="M427" s="4" t="str">
        <f>IFERROR(TRIM(T_LEAVE[[#This Row],[TYPE]]),"")</f>
        <v>VACATION LEAVE</v>
      </c>
      <c r="N427" s="69" t="str">
        <f>IFERROR(VLOOKUP(T_LEAVE[[#This Row],[LEAVE TYPE]],T_LEAVETYPE[#All],2,0),"")</f>
        <v>VL</v>
      </c>
    </row>
    <row r="428" spans="2:14" x14ac:dyDescent="0.25">
      <c r="B428" s="93">
        <v>43973</v>
      </c>
      <c r="C428" s="48" t="s">
        <v>432</v>
      </c>
      <c r="D428" s="48" t="s">
        <v>463</v>
      </c>
      <c r="E428" s="4" t="s">
        <v>89</v>
      </c>
      <c r="F428" s="49">
        <v>1</v>
      </c>
      <c r="G428" s="4" t="s">
        <v>51</v>
      </c>
      <c r="I428" s="4" t="s">
        <v>149</v>
      </c>
      <c r="J428" s="4" t="s">
        <v>478</v>
      </c>
      <c r="K428" s="4" t="str">
        <f>IFERROR(LEFT(T_LEAVE[[#This Row],[EMPLOYEE NAME]],LEN(T_LEAVE[[#This Row],[EMPLOYEE NAME]])-3),"")</f>
        <v>DEDEL, BRIAN KOBE</v>
      </c>
      <c r="L428" s="48">
        <f>IFERROR(DATEVALUE(TEXT(RIGHT(T_LEAVE[[#This Row],[LEAVE DATE]],LEN(T_LEAVE[[#This Row],[LEAVE DATE]])-6),"[$-en-US]d-mmm-yyyy;@")),"")</f>
        <v>43962</v>
      </c>
      <c r="M428" s="4" t="str">
        <f>IFERROR(TRIM(T_LEAVE[[#This Row],[TYPE]]),"")</f>
        <v>SICK LEAVE</v>
      </c>
      <c r="N428" s="69" t="str">
        <f>IFERROR(VLOOKUP(T_LEAVE[[#This Row],[LEAVE TYPE]],T_LEAVETYPE[#All],2,0),"")</f>
        <v>SL</v>
      </c>
    </row>
    <row r="429" spans="2:14" x14ac:dyDescent="0.25">
      <c r="B429" s="93">
        <v>43977</v>
      </c>
      <c r="C429" s="48" t="s">
        <v>616</v>
      </c>
      <c r="D429" s="48" t="s">
        <v>602</v>
      </c>
      <c r="E429" s="4" t="s">
        <v>88</v>
      </c>
      <c r="F429" s="49">
        <v>1</v>
      </c>
      <c r="G429" s="4" t="s">
        <v>617</v>
      </c>
      <c r="I429" s="4" t="s">
        <v>149</v>
      </c>
      <c r="J429" s="4" t="s">
        <v>618</v>
      </c>
      <c r="K429" s="4" t="str">
        <f>IFERROR(LEFT(T_LEAVE[[#This Row],[EMPLOYEE NAME]],LEN(T_LEAVE[[#This Row],[EMPLOYEE NAME]])-3),"")</f>
        <v>HIPOLITO, JOYCE ANN KENETH</v>
      </c>
      <c r="L429" s="48">
        <f>IFERROR(DATEVALUE(TEXT(RIGHT(T_LEAVE[[#This Row],[LEAVE DATE]],LEN(T_LEAVE[[#This Row],[LEAVE DATE]])-6),"[$-en-US]d-mmm-yyyy;@")),"")</f>
        <v>43996</v>
      </c>
      <c r="M429" s="4" t="str">
        <f>IFERROR(TRIM(T_LEAVE[[#This Row],[TYPE]]),"")</f>
        <v>VACATION LEAVE</v>
      </c>
      <c r="N429" s="69" t="str">
        <f>IFERROR(VLOOKUP(T_LEAVE[[#This Row],[LEAVE TYPE]],T_LEAVETYPE[#All],2,0),"")</f>
        <v>VL</v>
      </c>
    </row>
    <row r="430" spans="2:14" x14ac:dyDescent="0.25">
      <c r="B430" s="93">
        <v>43981</v>
      </c>
      <c r="C430" s="48" t="s">
        <v>1137</v>
      </c>
      <c r="D430" s="48" t="s">
        <v>1131</v>
      </c>
      <c r="E430" s="4" t="s">
        <v>88</v>
      </c>
      <c r="F430" s="49">
        <v>1</v>
      </c>
      <c r="G430" s="4" t="s">
        <v>1138</v>
      </c>
      <c r="I430" s="4" t="s">
        <v>149</v>
      </c>
      <c r="J430" s="4" t="s">
        <v>893</v>
      </c>
      <c r="K430" s="4" t="str">
        <f>IFERROR(LEFT(T_LEAVE[[#This Row],[EMPLOYEE NAME]],LEN(T_LEAVE[[#This Row],[EMPLOYEE NAME]])-3),"")</f>
        <v>WAMBANGCO, JAN TOBEY</v>
      </c>
      <c r="L430" s="48">
        <f>IFERROR(DATEVALUE(TEXT(RIGHT(T_LEAVE[[#This Row],[LEAVE DATE]],LEN(T_LEAVE[[#This Row],[LEAVE DATE]])-6),"[$-en-US]d-mmm-yyyy;@")),"")</f>
        <v>43978</v>
      </c>
      <c r="M430" s="4" t="str">
        <f>IFERROR(TRIM(T_LEAVE[[#This Row],[TYPE]]),"")</f>
        <v>VACATION LEAVE</v>
      </c>
      <c r="N430" s="69" t="str">
        <f>IFERROR(VLOOKUP(T_LEAVE[[#This Row],[LEAVE TYPE]],T_LEAVETYPE[#All],2,0),"")</f>
        <v>VL</v>
      </c>
    </row>
    <row r="431" spans="2:14" x14ac:dyDescent="0.25">
      <c r="B431" s="93">
        <v>43982</v>
      </c>
      <c r="C431" s="48" t="s">
        <v>1016</v>
      </c>
      <c r="D431" s="48" t="s">
        <v>1004</v>
      </c>
      <c r="E431" s="4" t="s">
        <v>89</v>
      </c>
      <c r="F431" s="49">
        <v>1</v>
      </c>
      <c r="G431" s="4" t="s">
        <v>1017</v>
      </c>
      <c r="I431" s="4" t="s">
        <v>149</v>
      </c>
      <c r="J431" s="4" t="s">
        <v>893</v>
      </c>
      <c r="K431" s="4" t="str">
        <f>IFERROR(LEFT(T_LEAVE[[#This Row],[EMPLOYEE NAME]],LEN(T_LEAVE[[#This Row],[EMPLOYEE NAME]])-3),"")</f>
        <v>VALENCIA, WINDSOR ROBERT</v>
      </c>
      <c r="L431" s="48">
        <f>IFERROR(DATEVALUE(TEXT(RIGHT(T_LEAVE[[#This Row],[LEAVE DATE]],LEN(T_LEAVE[[#This Row],[LEAVE DATE]])-6),"[$-en-US]d-mmm-yyyy;@")),"")</f>
        <v>43979</v>
      </c>
      <c r="M431" s="4" t="str">
        <f>IFERROR(TRIM(T_LEAVE[[#This Row],[TYPE]]),"")</f>
        <v>SICK LEAVE</v>
      </c>
      <c r="N431" s="69" t="str">
        <f>IFERROR(VLOOKUP(T_LEAVE[[#This Row],[LEAVE TYPE]],T_LEAVETYPE[#All],2,0),"")</f>
        <v>SL</v>
      </c>
    </row>
    <row r="432" spans="2:14" x14ac:dyDescent="0.25">
      <c r="B432" s="93">
        <v>43982</v>
      </c>
      <c r="C432" s="48" t="s">
        <v>1139</v>
      </c>
      <c r="D432" s="48" t="s">
        <v>1131</v>
      </c>
      <c r="E432" s="4" t="s">
        <v>88</v>
      </c>
      <c r="F432" s="49">
        <v>1</v>
      </c>
      <c r="G432" s="4" t="s">
        <v>1140</v>
      </c>
      <c r="I432" s="4" t="s">
        <v>149</v>
      </c>
      <c r="J432" s="4" t="s">
        <v>893</v>
      </c>
      <c r="K432" s="4" t="str">
        <f>IFERROR(LEFT(T_LEAVE[[#This Row],[EMPLOYEE NAME]],LEN(T_LEAVE[[#This Row],[EMPLOYEE NAME]])-3),"")</f>
        <v>WAMBANGCO, JAN TOBEY</v>
      </c>
      <c r="L432" s="48">
        <f>IFERROR(DATEVALUE(TEXT(RIGHT(T_LEAVE[[#This Row],[LEAVE DATE]],LEN(T_LEAVE[[#This Row],[LEAVE DATE]])-6),"[$-en-US]d-mmm-yyyy;@")),"")</f>
        <v>43981</v>
      </c>
      <c r="M432" s="4" t="str">
        <f>IFERROR(TRIM(T_LEAVE[[#This Row],[TYPE]]),"")</f>
        <v>VACATION LEAVE</v>
      </c>
      <c r="N432" s="69" t="str">
        <f>IFERROR(VLOOKUP(T_LEAVE[[#This Row],[LEAVE TYPE]],T_LEAVETYPE[#All],2,0),"")</f>
        <v>VL</v>
      </c>
    </row>
    <row r="433" spans="2:14" x14ac:dyDescent="0.25">
      <c r="B433" s="93">
        <v>43983</v>
      </c>
      <c r="C433" s="48" t="s">
        <v>1016</v>
      </c>
      <c r="D433" s="48" t="s">
        <v>1100</v>
      </c>
      <c r="E433" s="4" t="s">
        <v>88</v>
      </c>
      <c r="F433" s="49">
        <v>1</v>
      </c>
      <c r="G433" s="4" t="s">
        <v>1106</v>
      </c>
      <c r="I433" s="4" t="s">
        <v>149</v>
      </c>
      <c r="J433" s="4" t="s">
        <v>893</v>
      </c>
      <c r="K433" s="4" t="str">
        <f>IFERROR(LEFT(T_LEAVE[[#This Row],[EMPLOYEE NAME]],LEN(T_LEAVE[[#This Row],[EMPLOYEE NAME]])-3),"")</f>
        <v>VILLAFLOR, REA</v>
      </c>
      <c r="L433" s="48">
        <f>IFERROR(DATEVALUE(TEXT(RIGHT(T_LEAVE[[#This Row],[LEAVE DATE]],LEN(T_LEAVE[[#This Row],[LEAVE DATE]])-6),"[$-en-US]d-mmm-yyyy;@")),"")</f>
        <v>43979</v>
      </c>
      <c r="M433" s="4" t="str">
        <f>IFERROR(TRIM(T_LEAVE[[#This Row],[TYPE]]),"")</f>
        <v>VACATION LEAVE</v>
      </c>
      <c r="N433" s="69" t="str">
        <f>IFERROR(VLOOKUP(T_LEAVE[[#This Row],[LEAVE TYPE]],T_LEAVETYPE[#All],2,0),"")</f>
        <v>VL</v>
      </c>
    </row>
    <row r="434" spans="2:14" x14ac:dyDescent="0.25">
      <c r="B434" s="93">
        <v>43983</v>
      </c>
      <c r="C434" s="48" t="s">
        <v>1107</v>
      </c>
      <c r="D434" s="48" t="s">
        <v>1100</v>
      </c>
      <c r="E434" s="4" t="s">
        <v>88</v>
      </c>
      <c r="F434" s="49">
        <v>1</v>
      </c>
      <c r="G434" s="4" t="s">
        <v>1106</v>
      </c>
      <c r="I434" s="4" t="s">
        <v>149</v>
      </c>
      <c r="J434" s="4" t="s">
        <v>893</v>
      </c>
      <c r="K434" s="4" t="str">
        <f>IFERROR(LEFT(T_LEAVE[[#This Row],[EMPLOYEE NAME]],LEN(T_LEAVE[[#This Row],[EMPLOYEE NAME]])-3),"")</f>
        <v>VILLAFLOR, REA</v>
      </c>
      <c r="L434" s="48">
        <f>IFERROR(DATEVALUE(TEXT(RIGHT(T_LEAVE[[#This Row],[LEAVE DATE]],LEN(T_LEAVE[[#This Row],[LEAVE DATE]])-6),"[$-en-US]d-mmm-yyyy;@")),"")</f>
        <v>43980</v>
      </c>
      <c r="M434" s="4" t="str">
        <f>IFERROR(TRIM(T_LEAVE[[#This Row],[TYPE]]),"")</f>
        <v>VACATION LEAVE</v>
      </c>
      <c r="N434" s="69" t="str">
        <f>IFERROR(VLOOKUP(T_LEAVE[[#This Row],[LEAVE TYPE]],T_LEAVETYPE[#All],2,0),"")</f>
        <v>VL</v>
      </c>
    </row>
    <row r="435" spans="2:14" x14ac:dyDescent="0.25">
      <c r="B435" s="93">
        <v>43984</v>
      </c>
      <c r="C435" s="48" t="s">
        <v>892</v>
      </c>
      <c r="D435" s="48" t="s">
        <v>889</v>
      </c>
      <c r="E435" s="4" t="s">
        <v>89</v>
      </c>
      <c r="F435" s="49">
        <v>1</v>
      </c>
      <c r="G435" s="4" t="s">
        <v>565</v>
      </c>
      <c r="I435" s="4" t="s">
        <v>149</v>
      </c>
      <c r="J435" s="4" t="s">
        <v>893</v>
      </c>
      <c r="K435" s="4" t="str">
        <f>IFERROR(LEFT(T_LEAVE[[#This Row],[EMPLOYEE NAME]],LEN(T_LEAVE[[#This Row],[EMPLOYEE NAME]])-3),"")</f>
        <v>MONTIEL, HEIZEL</v>
      </c>
      <c r="L435" s="48">
        <f>IFERROR(DATEVALUE(TEXT(RIGHT(T_LEAVE[[#This Row],[LEAVE DATE]],LEN(T_LEAVE[[#This Row],[LEAVE DATE]])-6),"[$-en-US]d-mmm-yyyy;@")),"")</f>
        <v>43983</v>
      </c>
      <c r="M435" s="4" t="str">
        <f>IFERROR(TRIM(T_LEAVE[[#This Row],[TYPE]]),"")</f>
        <v>SICK LEAVE</v>
      </c>
      <c r="N435" s="69" t="str">
        <f>IFERROR(VLOOKUP(T_LEAVE[[#This Row],[LEAVE TYPE]],T_LEAVETYPE[#All],2,0),"")</f>
        <v>SL</v>
      </c>
    </row>
    <row r="436" spans="2:14" x14ac:dyDescent="0.25">
      <c r="B436" s="93">
        <v>43986</v>
      </c>
      <c r="C436" s="48" t="s">
        <v>405</v>
      </c>
      <c r="D436" s="48" t="s">
        <v>691</v>
      </c>
      <c r="E436" s="4" t="s">
        <v>698</v>
      </c>
      <c r="F436" s="49">
        <v>1</v>
      </c>
      <c r="G436" s="4" t="s">
        <v>717</v>
      </c>
      <c r="H436" s="4" t="s">
        <v>165</v>
      </c>
      <c r="I436" s="4" t="s">
        <v>149</v>
      </c>
      <c r="J436" s="4" t="s">
        <v>406</v>
      </c>
      <c r="K436" s="4" t="str">
        <f>IFERROR(LEFT(T_LEAVE[[#This Row],[EMPLOYEE NAME]],LEN(T_LEAVE[[#This Row],[EMPLOYEE NAME]])-3),"")</f>
        <v>LATUGA, PHOEBE</v>
      </c>
      <c r="L436" s="48">
        <f>IFERROR(DATEVALUE(TEXT(RIGHT(T_LEAVE[[#This Row],[LEAVE DATE]],LEN(T_LEAVE[[#This Row],[LEAVE DATE]])-6),"[$-en-US]d-mmm-yyyy;@")),"")</f>
        <v>43985</v>
      </c>
      <c r="M436" s="4" t="str">
        <f>IFERROR(TRIM(T_LEAVE[[#This Row],[TYPE]]),"")</f>
        <v>SOLO PARENT LEAVE</v>
      </c>
      <c r="N436" s="69" t="str">
        <f>IFERROR(VLOOKUP(T_LEAVE[[#This Row],[LEAVE TYPE]],T_LEAVETYPE[#All],2,0),"")</f>
        <v/>
      </c>
    </row>
    <row r="437" spans="2:14" x14ac:dyDescent="0.25">
      <c r="B437" s="93">
        <v>43987</v>
      </c>
      <c r="C437" s="48" t="s">
        <v>405</v>
      </c>
      <c r="D437" s="48" t="s">
        <v>666</v>
      </c>
      <c r="E437" s="4" t="s">
        <v>89</v>
      </c>
      <c r="F437" s="49">
        <v>1</v>
      </c>
      <c r="G437" s="4" t="s">
        <v>674</v>
      </c>
      <c r="I437" s="4" t="s">
        <v>149</v>
      </c>
      <c r="J437" s="4" t="s">
        <v>683</v>
      </c>
      <c r="K437" s="4" t="str">
        <f>IFERROR(LEFT(T_LEAVE[[#This Row],[EMPLOYEE NAME]],LEN(T_LEAVE[[#This Row],[EMPLOYEE NAME]])-3),"")</f>
        <v>LARIZA, MELANIE DELA CRUZ</v>
      </c>
      <c r="L437" s="48">
        <f>IFERROR(DATEVALUE(TEXT(RIGHT(T_LEAVE[[#This Row],[LEAVE DATE]],LEN(T_LEAVE[[#This Row],[LEAVE DATE]])-6),"[$-en-US]d-mmm-yyyy;@")),"")</f>
        <v>43985</v>
      </c>
      <c r="M437" s="4" t="str">
        <f>IFERROR(TRIM(T_LEAVE[[#This Row],[TYPE]]),"")</f>
        <v>SICK LEAVE</v>
      </c>
      <c r="N437" s="69" t="str">
        <f>IFERROR(VLOOKUP(T_LEAVE[[#This Row],[LEAVE TYPE]],T_LEAVETYPE[#All],2,0),"")</f>
        <v>SL</v>
      </c>
    </row>
    <row r="438" spans="2:14" x14ac:dyDescent="0.25">
      <c r="B438" s="93">
        <v>43987</v>
      </c>
      <c r="C438" s="48" t="s">
        <v>914</v>
      </c>
      <c r="D438" s="48" t="s">
        <v>899</v>
      </c>
      <c r="E438" s="4" t="s">
        <v>88</v>
      </c>
      <c r="F438" s="49">
        <v>1</v>
      </c>
      <c r="G438" s="4" t="s">
        <v>915</v>
      </c>
      <c r="I438" s="4" t="s">
        <v>149</v>
      </c>
      <c r="J438" s="4" t="s">
        <v>406</v>
      </c>
      <c r="K438" s="4" t="str">
        <f>IFERROR(LEFT(T_LEAVE[[#This Row],[EMPLOYEE NAME]],LEN(T_LEAVE[[#This Row],[EMPLOYEE NAME]])-3),"")</f>
        <v>PATULOT, MARIROSE</v>
      </c>
      <c r="L438" s="48">
        <f>IFERROR(DATEVALUE(TEXT(RIGHT(T_LEAVE[[#This Row],[LEAVE DATE]],LEN(T_LEAVE[[#This Row],[LEAVE DATE]])-6),"[$-en-US]d-mmm-yyyy;@")),"")</f>
        <v>43987</v>
      </c>
      <c r="M438" s="4" t="str">
        <f>IFERROR(TRIM(T_LEAVE[[#This Row],[TYPE]]),"")</f>
        <v>VACATION LEAVE</v>
      </c>
      <c r="N438" s="69" t="str">
        <f>IFERROR(VLOOKUP(T_LEAVE[[#This Row],[LEAVE TYPE]],T_LEAVETYPE[#All],2,0),"")</f>
        <v>VL</v>
      </c>
    </row>
    <row r="439" spans="2:14" x14ac:dyDescent="0.25">
      <c r="B439" s="93">
        <v>43988</v>
      </c>
      <c r="C439" s="48" t="s">
        <v>405</v>
      </c>
      <c r="D439" s="48" t="s">
        <v>382</v>
      </c>
      <c r="E439" s="4" t="s">
        <v>89</v>
      </c>
      <c r="F439" s="49">
        <v>1</v>
      </c>
      <c r="G439" s="4" t="s">
        <v>398</v>
      </c>
      <c r="I439" s="4" t="s">
        <v>149</v>
      </c>
      <c r="J439" s="4" t="s">
        <v>406</v>
      </c>
      <c r="K439" s="4" t="str">
        <f>IFERROR(LEFT(T_LEAVE[[#This Row],[EMPLOYEE NAME]],LEN(T_LEAVE[[#This Row],[EMPLOYEE NAME]])-3),"")</f>
        <v>CONSTANTINO, IAN ARCHIMEDES</v>
      </c>
      <c r="L439" s="48">
        <f>IFERROR(DATEVALUE(TEXT(RIGHT(T_LEAVE[[#This Row],[LEAVE DATE]],LEN(T_LEAVE[[#This Row],[LEAVE DATE]])-6),"[$-en-US]d-mmm-yyyy;@")),"")</f>
        <v>43985</v>
      </c>
      <c r="M439" s="4" t="str">
        <f>IFERROR(TRIM(T_LEAVE[[#This Row],[TYPE]]),"")</f>
        <v>SICK LEAVE</v>
      </c>
      <c r="N439" s="69" t="str">
        <f>IFERROR(VLOOKUP(T_LEAVE[[#This Row],[LEAVE TYPE]],T_LEAVETYPE[#All],2,0),"")</f>
        <v>SL</v>
      </c>
    </row>
    <row r="440" spans="2:14" x14ac:dyDescent="0.25">
      <c r="B440" s="93">
        <v>43989</v>
      </c>
      <c r="C440" s="48" t="s">
        <v>718</v>
      </c>
      <c r="D440" s="48" t="s">
        <v>691</v>
      </c>
      <c r="E440" s="4" t="s">
        <v>698</v>
      </c>
      <c r="F440" s="49">
        <v>1</v>
      </c>
      <c r="G440" s="4" t="s">
        <v>719</v>
      </c>
      <c r="H440" s="4" t="s">
        <v>165</v>
      </c>
      <c r="I440" s="4" t="s">
        <v>149</v>
      </c>
      <c r="J440" s="4" t="s">
        <v>568</v>
      </c>
      <c r="K440" s="4" t="str">
        <f>IFERROR(LEFT(T_LEAVE[[#This Row],[EMPLOYEE NAME]],LEN(T_LEAVE[[#This Row],[EMPLOYEE NAME]])-3),"")</f>
        <v>LATUGA, PHOEBE</v>
      </c>
      <c r="L440" s="48">
        <f>IFERROR(DATEVALUE(TEXT(RIGHT(T_LEAVE[[#This Row],[LEAVE DATE]],LEN(T_LEAVE[[#This Row],[LEAVE DATE]])-6),"[$-en-US]d-mmm-yyyy;@")),"")</f>
        <v>43992</v>
      </c>
      <c r="M440" s="4" t="str">
        <f>IFERROR(TRIM(T_LEAVE[[#This Row],[TYPE]]),"")</f>
        <v>SOLO PARENT LEAVE</v>
      </c>
      <c r="N440" s="69" t="str">
        <f>IFERROR(VLOOKUP(T_LEAVE[[#This Row],[LEAVE TYPE]],T_LEAVETYPE[#All],2,0),"")</f>
        <v/>
      </c>
    </row>
    <row r="441" spans="2:14" x14ac:dyDescent="0.25">
      <c r="B441" s="93">
        <v>43990</v>
      </c>
      <c r="C441" s="48" t="s">
        <v>567</v>
      </c>
      <c r="D441" s="48" t="s">
        <v>558</v>
      </c>
      <c r="E441" s="4" t="s">
        <v>89</v>
      </c>
      <c r="F441" s="49">
        <v>1</v>
      </c>
      <c r="G441" s="4" t="s">
        <v>401</v>
      </c>
      <c r="I441" s="4" t="s">
        <v>149</v>
      </c>
      <c r="J441" s="4" t="s">
        <v>568</v>
      </c>
      <c r="K441" s="4" t="str">
        <f>IFERROR(LEFT(T_LEAVE[[#This Row],[EMPLOYEE NAME]],LEN(T_LEAVE[[#This Row],[EMPLOYEE NAME]])-3),"")</f>
        <v>GONZALES, MA-ANNE</v>
      </c>
      <c r="L441" s="48">
        <f>IFERROR(DATEVALUE(TEXT(RIGHT(T_LEAVE[[#This Row],[LEAVE DATE]],LEN(T_LEAVE[[#This Row],[LEAVE DATE]])-6),"[$-en-US]d-mmm-yyyy;@")),"")</f>
        <v>43986</v>
      </c>
      <c r="M441" s="4" t="str">
        <f>IFERROR(TRIM(T_LEAVE[[#This Row],[TYPE]]),"")</f>
        <v>SICK LEAVE</v>
      </c>
      <c r="N441" s="69" t="str">
        <f>IFERROR(VLOOKUP(T_LEAVE[[#This Row],[LEAVE TYPE]],T_LEAVETYPE[#All],2,0),"")</f>
        <v>SL</v>
      </c>
    </row>
    <row r="442" spans="2:14" x14ac:dyDescent="0.25">
      <c r="B442" s="93">
        <v>43992</v>
      </c>
      <c r="C442" s="48" t="s">
        <v>407</v>
      </c>
      <c r="D442" s="48" t="s">
        <v>382</v>
      </c>
      <c r="E442" s="4" t="s">
        <v>88</v>
      </c>
      <c r="F442" s="49">
        <v>1</v>
      </c>
      <c r="G442" s="4" t="s">
        <v>408</v>
      </c>
      <c r="I442" s="4" t="s">
        <v>149</v>
      </c>
      <c r="J442" s="4" t="s">
        <v>409</v>
      </c>
      <c r="K442" s="4" t="str">
        <f>IFERROR(LEFT(T_LEAVE[[#This Row],[EMPLOYEE NAME]],LEN(T_LEAVE[[#This Row],[EMPLOYEE NAME]])-3),"")</f>
        <v>CONSTANTINO, IAN ARCHIMEDES</v>
      </c>
      <c r="L442" s="48">
        <f>IFERROR(DATEVALUE(TEXT(RIGHT(T_LEAVE[[#This Row],[LEAVE DATE]],LEN(T_LEAVE[[#This Row],[LEAVE DATE]])-6),"[$-en-US]d-mmm-yyyy;@")),"")</f>
        <v>44004</v>
      </c>
      <c r="M442" s="4" t="str">
        <f>IFERROR(TRIM(T_LEAVE[[#This Row],[TYPE]]),"")</f>
        <v>VACATION LEAVE</v>
      </c>
      <c r="N442" s="69" t="str">
        <f>IFERROR(VLOOKUP(T_LEAVE[[#This Row],[LEAVE TYPE]],T_LEAVETYPE[#All],2,0),"")</f>
        <v>VL</v>
      </c>
    </row>
    <row r="443" spans="2:14" x14ac:dyDescent="0.25">
      <c r="B443" s="93">
        <v>43992</v>
      </c>
      <c r="C443" s="48" t="s">
        <v>407</v>
      </c>
      <c r="D443" s="48" t="s">
        <v>558</v>
      </c>
      <c r="E443" s="4" t="s">
        <v>88</v>
      </c>
      <c r="F443" s="49">
        <v>1</v>
      </c>
      <c r="G443" s="4" t="s">
        <v>569</v>
      </c>
      <c r="I443" s="4" t="s">
        <v>149</v>
      </c>
      <c r="J443" s="4" t="s">
        <v>409</v>
      </c>
      <c r="K443" s="4" t="str">
        <f>IFERROR(LEFT(T_LEAVE[[#This Row],[EMPLOYEE NAME]],LEN(T_LEAVE[[#This Row],[EMPLOYEE NAME]])-3),"")</f>
        <v>GONZALES, MA-ANNE</v>
      </c>
      <c r="L443" s="48">
        <f>IFERROR(DATEVALUE(TEXT(RIGHT(T_LEAVE[[#This Row],[LEAVE DATE]],LEN(T_LEAVE[[#This Row],[LEAVE DATE]])-6),"[$-en-US]d-mmm-yyyy;@")),"")</f>
        <v>44004</v>
      </c>
      <c r="M443" s="4" t="str">
        <f>IFERROR(TRIM(T_LEAVE[[#This Row],[TYPE]]),"")</f>
        <v>VACATION LEAVE</v>
      </c>
      <c r="N443" s="69" t="str">
        <f>IFERROR(VLOOKUP(T_LEAVE[[#This Row],[LEAVE TYPE]],T_LEAVETYPE[#All],2,0),"")</f>
        <v>VL</v>
      </c>
    </row>
    <row r="444" spans="2:14" x14ac:dyDescent="0.25">
      <c r="B444" s="93">
        <v>43997</v>
      </c>
      <c r="C444" s="48" t="s">
        <v>720</v>
      </c>
      <c r="D444" s="48" t="s">
        <v>691</v>
      </c>
      <c r="E444" s="4" t="s">
        <v>89</v>
      </c>
      <c r="F444" s="49">
        <v>1</v>
      </c>
      <c r="G444" s="4" t="s">
        <v>721</v>
      </c>
      <c r="H444" s="4" t="s">
        <v>165</v>
      </c>
      <c r="I444" s="4" t="s">
        <v>149</v>
      </c>
      <c r="J444" s="4" t="s">
        <v>409</v>
      </c>
      <c r="K444" s="4" t="str">
        <f>IFERROR(LEFT(T_LEAVE[[#This Row],[EMPLOYEE NAME]],LEN(T_LEAVE[[#This Row],[EMPLOYEE NAME]])-3),"")</f>
        <v>LATUGA, PHOEBE</v>
      </c>
      <c r="L444" s="48">
        <f>IFERROR(DATEVALUE(TEXT(RIGHT(T_LEAVE[[#This Row],[LEAVE DATE]],LEN(T_LEAVE[[#This Row],[LEAVE DATE]])-6),"[$-en-US]d-mmm-yyyy;@")),"")</f>
        <v>43995</v>
      </c>
      <c r="M444" s="4" t="str">
        <f>IFERROR(TRIM(T_LEAVE[[#This Row],[TYPE]]),"")</f>
        <v>SICK LEAVE</v>
      </c>
      <c r="N444" s="69" t="str">
        <f>IFERROR(VLOOKUP(T_LEAVE[[#This Row],[LEAVE TYPE]],T_LEAVETYPE[#All],2,0),"")</f>
        <v>SL</v>
      </c>
    </row>
    <row r="445" spans="2:14" x14ac:dyDescent="0.25">
      <c r="B445" s="93">
        <v>43997</v>
      </c>
      <c r="C445" s="48" t="s">
        <v>616</v>
      </c>
      <c r="D445" s="48" t="s">
        <v>691</v>
      </c>
      <c r="E445" s="4" t="s">
        <v>89</v>
      </c>
      <c r="F445" s="49">
        <v>1</v>
      </c>
      <c r="G445" s="4" t="s">
        <v>721</v>
      </c>
      <c r="H445" s="4" t="s">
        <v>165</v>
      </c>
      <c r="I445" s="4" t="s">
        <v>149</v>
      </c>
      <c r="J445" s="4" t="s">
        <v>409</v>
      </c>
      <c r="K445" s="4" t="str">
        <f>IFERROR(LEFT(T_LEAVE[[#This Row],[EMPLOYEE NAME]],LEN(T_LEAVE[[#This Row],[EMPLOYEE NAME]])-3),"")</f>
        <v>LATUGA, PHOEBE</v>
      </c>
      <c r="L445" s="48">
        <f>IFERROR(DATEVALUE(TEXT(RIGHT(T_LEAVE[[#This Row],[LEAVE DATE]],LEN(T_LEAVE[[#This Row],[LEAVE DATE]])-6),"[$-en-US]d-mmm-yyyy;@")),"")</f>
        <v>43996</v>
      </c>
      <c r="M445" s="4" t="str">
        <f>IFERROR(TRIM(T_LEAVE[[#This Row],[TYPE]]),"")</f>
        <v>SICK LEAVE</v>
      </c>
      <c r="N445" s="69" t="str">
        <f>IFERROR(VLOOKUP(T_LEAVE[[#This Row],[LEAVE TYPE]],T_LEAVETYPE[#All],2,0),"")</f>
        <v>SL</v>
      </c>
    </row>
    <row r="446" spans="2:14" x14ac:dyDescent="0.25">
      <c r="B446" s="93">
        <v>43997</v>
      </c>
      <c r="C446" s="48" t="s">
        <v>722</v>
      </c>
      <c r="D446" s="48" t="s">
        <v>691</v>
      </c>
      <c r="E446" s="4" t="s">
        <v>89</v>
      </c>
      <c r="F446" s="49">
        <v>1</v>
      </c>
      <c r="G446" s="4" t="s">
        <v>721</v>
      </c>
      <c r="H446" s="4" t="s">
        <v>165</v>
      </c>
      <c r="I446" s="4" t="s">
        <v>149</v>
      </c>
      <c r="J446" s="4" t="s">
        <v>409</v>
      </c>
      <c r="K446" s="4" t="str">
        <f>IFERROR(LEFT(T_LEAVE[[#This Row],[EMPLOYEE NAME]],LEN(T_LEAVE[[#This Row],[EMPLOYEE NAME]])-3),"")</f>
        <v>LATUGA, PHOEBE</v>
      </c>
      <c r="L446" s="48">
        <f>IFERROR(DATEVALUE(TEXT(RIGHT(T_LEAVE[[#This Row],[LEAVE DATE]],LEN(T_LEAVE[[#This Row],[LEAVE DATE]])-6),"[$-en-US]d-mmm-yyyy;@")),"")</f>
        <v>43997</v>
      </c>
      <c r="M446" s="4" t="str">
        <f>IFERROR(TRIM(T_LEAVE[[#This Row],[TYPE]]),"")</f>
        <v>SICK LEAVE</v>
      </c>
      <c r="N446" s="69" t="str">
        <f>IFERROR(VLOOKUP(T_LEAVE[[#This Row],[LEAVE TYPE]],T_LEAVETYPE[#All],2,0),"")</f>
        <v>SL</v>
      </c>
    </row>
    <row r="447" spans="2:14" x14ac:dyDescent="0.25">
      <c r="B447" s="93">
        <v>43997</v>
      </c>
      <c r="C447" s="48" t="s">
        <v>723</v>
      </c>
      <c r="D447" s="48" t="s">
        <v>691</v>
      </c>
      <c r="E447" s="4" t="s">
        <v>89</v>
      </c>
      <c r="F447" s="49">
        <v>1</v>
      </c>
      <c r="G447" s="4" t="s">
        <v>721</v>
      </c>
      <c r="H447" s="4" t="s">
        <v>165</v>
      </c>
      <c r="I447" s="4" t="s">
        <v>149</v>
      </c>
      <c r="J447" s="4" t="s">
        <v>409</v>
      </c>
      <c r="K447" s="4" t="str">
        <f>IFERROR(LEFT(T_LEAVE[[#This Row],[EMPLOYEE NAME]],LEN(T_LEAVE[[#This Row],[EMPLOYEE NAME]])-3),"")</f>
        <v>LATUGA, PHOEBE</v>
      </c>
      <c r="L447" s="48">
        <f>IFERROR(DATEVALUE(TEXT(RIGHT(T_LEAVE[[#This Row],[LEAVE DATE]],LEN(T_LEAVE[[#This Row],[LEAVE DATE]])-6),"[$-en-US]d-mmm-yyyy;@")),"")</f>
        <v>43998</v>
      </c>
      <c r="M447" s="4" t="str">
        <f>IFERROR(TRIM(T_LEAVE[[#This Row],[TYPE]]),"")</f>
        <v>SICK LEAVE</v>
      </c>
      <c r="N447" s="69" t="str">
        <f>IFERROR(VLOOKUP(T_LEAVE[[#This Row],[LEAVE TYPE]],T_LEAVETYPE[#All],2,0),"")</f>
        <v>SL</v>
      </c>
    </row>
    <row r="448" spans="2:14" x14ac:dyDescent="0.25">
      <c r="B448" s="93">
        <v>43997</v>
      </c>
      <c r="C448" s="48" t="s">
        <v>724</v>
      </c>
      <c r="D448" s="48" t="s">
        <v>691</v>
      </c>
      <c r="E448" s="4" t="s">
        <v>89</v>
      </c>
      <c r="F448" s="49">
        <v>1</v>
      </c>
      <c r="G448" s="4" t="s">
        <v>721</v>
      </c>
      <c r="H448" s="4" t="s">
        <v>165</v>
      </c>
      <c r="I448" s="4" t="s">
        <v>149</v>
      </c>
      <c r="J448" s="4" t="s">
        <v>409</v>
      </c>
      <c r="K448" s="4" t="str">
        <f>IFERROR(LEFT(T_LEAVE[[#This Row],[EMPLOYEE NAME]],LEN(T_LEAVE[[#This Row],[EMPLOYEE NAME]])-3),"")</f>
        <v>LATUGA, PHOEBE</v>
      </c>
      <c r="L448" s="48">
        <f>IFERROR(DATEVALUE(TEXT(RIGHT(T_LEAVE[[#This Row],[LEAVE DATE]],LEN(T_LEAVE[[#This Row],[LEAVE DATE]])-6),"[$-en-US]d-mmm-yyyy;@")),"")</f>
        <v>43999</v>
      </c>
      <c r="M448" s="4" t="str">
        <f>IFERROR(TRIM(T_LEAVE[[#This Row],[TYPE]]),"")</f>
        <v>SICK LEAVE</v>
      </c>
      <c r="N448" s="69" t="str">
        <f>IFERROR(VLOOKUP(T_LEAVE[[#This Row],[LEAVE TYPE]],T_LEAVETYPE[#All],2,0),"")</f>
        <v>SL</v>
      </c>
    </row>
    <row r="449" spans="2:14" x14ac:dyDescent="0.25">
      <c r="B449" s="93">
        <v>44000</v>
      </c>
      <c r="C449" s="48" t="s">
        <v>722</v>
      </c>
      <c r="D449" s="48" t="s">
        <v>777</v>
      </c>
      <c r="E449" s="4" t="s">
        <v>89</v>
      </c>
      <c r="F449" s="49">
        <v>1</v>
      </c>
      <c r="G449" s="4" t="s">
        <v>793</v>
      </c>
      <c r="I449" s="4" t="s">
        <v>149</v>
      </c>
      <c r="J449" s="4" t="s">
        <v>794</v>
      </c>
      <c r="K449" s="4" t="str">
        <f>IFERROR(LEFT(T_LEAVE[[#This Row],[EMPLOYEE NAME]],LEN(T_LEAVE[[#This Row],[EMPLOYEE NAME]])-3),"")</f>
        <v>MACALALAD, ANAMARIE</v>
      </c>
      <c r="L449" s="48">
        <f>IFERROR(DATEVALUE(TEXT(RIGHT(T_LEAVE[[#This Row],[LEAVE DATE]],LEN(T_LEAVE[[#This Row],[LEAVE DATE]])-6),"[$-en-US]d-mmm-yyyy;@")),"")</f>
        <v>43997</v>
      </c>
      <c r="M449" s="4" t="str">
        <f>IFERROR(TRIM(T_LEAVE[[#This Row],[TYPE]]),"")</f>
        <v>SICK LEAVE</v>
      </c>
      <c r="N449" s="69" t="str">
        <f>IFERROR(VLOOKUP(T_LEAVE[[#This Row],[LEAVE TYPE]],T_LEAVETYPE[#All],2,0),"")</f>
        <v>SL</v>
      </c>
    </row>
    <row r="450" spans="2:14" x14ac:dyDescent="0.25">
      <c r="B450" s="93">
        <v>44001</v>
      </c>
      <c r="C450" s="48" t="s">
        <v>436</v>
      </c>
      <c r="D450" s="48" t="s">
        <v>421</v>
      </c>
      <c r="E450" s="4" t="s">
        <v>88</v>
      </c>
      <c r="F450" s="49">
        <v>1</v>
      </c>
      <c r="G450" s="4" t="s">
        <v>437</v>
      </c>
      <c r="I450" s="4" t="s">
        <v>149</v>
      </c>
      <c r="J450" s="4" t="s">
        <v>438</v>
      </c>
      <c r="K450" s="4" t="str">
        <f>IFERROR(LEFT(T_LEAVE[[#This Row],[EMPLOYEE NAME]],LEN(T_LEAVE[[#This Row],[EMPLOYEE NAME]])-3),"")</f>
        <v>DE LEON, JEFFREY</v>
      </c>
      <c r="L450" s="48">
        <f>IFERROR(DATEVALUE(TEXT(RIGHT(T_LEAVE[[#This Row],[LEAVE DATE]],LEN(T_LEAVE[[#This Row],[LEAVE DATE]])-6),"[$-en-US]d-mmm-yyyy;@")),"")</f>
        <v>44001</v>
      </c>
      <c r="M450" s="4" t="str">
        <f>IFERROR(TRIM(T_LEAVE[[#This Row],[TYPE]]),"")</f>
        <v>VACATION LEAVE</v>
      </c>
      <c r="N450" s="69" t="str">
        <f>IFERROR(VLOOKUP(T_LEAVE[[#This Row],[LEAVE TYPE]],T_LEAVETYPE[#All],2,0),"")</f>
        <v>VL</v>
      </c>
    </row>
    <row r="451" spans="2:14" x14ac:dyDescent="0.25">
      <c r="B451" s="93">
        <v>44001</v>
      </c>
      <c r="C451" s="48" t="s">
        <v>724</v>
      </c>
      <c r="D451" s="48" t="s">
        <v>1131</v>
      </c>
      <c r="E451" s="4" t="s">
        <v>88</v>
      </c>
      <c r="F451" s="49">
        <v>1</v>
      </c>
      <c r="G451" s="4" t="s">
        <v>1106</v>
      </c>
      <c r="I451" s="4" t="s">
        <v>149</v>
      </c>
      <c r="J451" s="4" t="s">
        <v>1141</v>
      </c>
      <c r="K451" s="4" t="str">
        <f>IFERROR(LEFT(T_LEAVE[[#This Row],[EMPLOYEE NAME]],LEN(T_LEAVE[[#This Row],[EMPLOYEE NAME]])-3),"")</f>
        <v>WAMBANGCO, JAN TOBEY</v>
      </c>
      <c r="L451" s="48">
        <f>IFERROR(DATEVALUE(TEXT(RIGHT(T_LEAVE[[#This Row],[LEAVE DATE]],LEN(T_LEAVE[[#This Row],[LEAVE DATE]])-6),"[$-en-US]d-mmm-yyyy;@")),"")</f>
        <v>43999</v>
      </c>
      <c r="M451" s="4" t="str">
        <f>IFERROR(TRIM(T_LEAVE[[#This Row],[TYPE]]),"")</f>
        <v>VACATION LEAVE</v>
      </c>
      <c r="N451" s="69" t="str">
        <f>IFERROR(VLOOKUP(T_LEAVE[[#This Row],[LEAVE TYPE]],T_LEAVETYPE[#All],2,0),"")</f>
        <v>VL</v>
      </c>
    </row>
    <row r="452" spans="2:14" x14ac:dyDescent="0.25">
      <c r="B452" s="93">
        <v>44002</v>
      </c>
      <c r="C452" s="48" t="s">
        <v>443</v>
      </c>
      <c r="D452" s="48" t="s">
        <v>421</v>
      </c>
      <c r="E452" s="4" t="s">
        <v>88</v>
      </c>
      <c r="F452" s="49">
        <v>1</v>
      </c>
      <c r="G452" s="4" t="s">
        <v>440</v>
      </c>
      <c r="I452" s="4" t="s">
        <v>149</v>
      </c>
      <c r="J452" s="4" t="s">
        <v>324</v>
      </c>
      <c r="K452" s="4" t="str">
        <f>IFERROR(LEFT(T_LEAVE[[#This Row],[EMPLOYEE NAME]],LEN(T_LEAVE[[#This Row],[EMPLOYEE NAME]])-3),"")</f>
        <v>DE LEON, JEFFREY</v>
      </c>
      <c r="L452" s="48">
        <f>IFERROR(DATEVALUE(TEXT(RIGHT(T_LEAVE[[#This Row],[LEAVE DATE]],LEN(T_LEAVE[[#This Row],[LEAVE DATE]])-6),"[$-en-US]d-mmm-yyyy;@")),"")</f>
        <v>44008</v>
      </c>
      <c r="M452" s="4" t="str">
        <f>IFERROR(TRIM(T_LEAVE[[#This Row],[TYPE]]),"")</f>
        <v>VACATION LEAVE</v>
      </c>
      <c r="N452" s="69" t="str">
        <f>IFERROR(VLOOKUP(T_LEAVE[[#This Row],[LEAVE TYPE]],T_LEAVETYPE[#All],2,0),"")</f>
        <v>VL</v>
      </c>
    </row>
    <row r="453" spans="2:14" x14ac:dyDescent="0.25">
      <c r="B453" s="93">
        <v>44002</v>
      </c>
      <c r="C453" s="48" t="s">
        <v>444</v>
      </c>
      <c r="D453" s="48" t="s">
        <v>421</v>
      </c>
      <c r="E453" s="4" t="s">
        <v>88</v>
      </c>
      <c r="F453" s="49">
        <v>1</v>
      </c>
      <c r="G453" s="4" t="s">
        <v>440</v>
      </c>
      <c r="I453" s="4" t="s">
        <v>149</v>
      </c>
      <c r="J453" s="4" t="s">
        <v>324</v>
      </c>
      <c r="K453" s="4" t="str">
        <f>IFERROR(LEFT(T_LEAVE[[#This Row],[EMPLOYEE NAME]],LEN(T_LEAVE[[#This Row],[EMPLOYEE NAME]])-3),"")</f>
        <v>DE LEON, JEFFREY</v>
      </c>
      <c r="L453" s="48">
        <f>IFERROR(DATEVALUE(TEXT(RIGHT(T_LEAVE[[#This Row],[LEAVE DATE]],LEN(T_LEAVE[[#This Row],[LEAVE DATE]])-6),"[$-en-US]d-mmm-yyyy;@")),"")</f>
        <v>44009</v>
      </c>
      <c r="M453" s="4" t="str">
        <f>IFERROR(TRIM(T_LEAVE[[#This Row],[TYPE]]),"")</f>
        <v>VACATION LEAVE</v>
      </c>
      <c r="N453" s="69" t="str">
        <f>IFERROR(VLOOKUP(T_LEAVE[[#This Row],[LEAVE TYPE]],T_LEAVETYPE[#All],2,0),"")</f>
        <v>VL</v>
      </c>
    </row>
    <row r="454" spans="2:14" x14ac:dyDescent="0.25">
      <c r="B454" s="93">
        <v>44002</v>
      </c>
      <c r="C454" s="48" t="s">
        <v>819</v>
      </c>
      <c r="D454" s="48" t="s">
        <v>811</v>
      </c>
      <c r="E454" s="4" t="s">
        <v>88</v>
      </c>
      <c r="F454" s="49">
        <v>1</v>
      </c>
      <c r="G454" s="4" t="s">
        <v>820</v>
      </c>
      <c r="I454" s="4" t="s">
        <v>149</v>
      </c>
      <c r="J454" s="4" t="s">
        <v>821</v>
      </c>
      <c r="K454" s="4" t="str">
        <f>IFERROR(LEFT(T_LEAVE[[#This Row],[EMPLOYEE NAME]],LEN(T_LEAVE[[#This Row],[EMPLOYEE NAME]])-3),"")</f>
        <v>MAGNO, ALVIN</v>
      </c>
      <c r="L454" s="48">
        <f>IFERROR(DATEVALUE(TEXT(RIGHT(T_LEAVE[[#This Row],[LEAVE DATE]],LEN(T_LEAVE[[#This Row],[LEAVE DATE]])-6),"[$-en-US]d-mmm-yyyy;@")),"")</f>
        <v>44031</v>
      </c>
      <c r="M454" s="4" t="str">
        <f>IFERROR(TRIM(T_LEAVE[[#This Row],[TYPE]]),"")</f>
        <v>VACATION LEAVE</v>
      </c>
      <c r="N454" s="69" t="str">
        <f>IFERROR(VLOOKUP(T_LEAVE[[#This Row],[LEAVE TYPE]],T_LEAVETYPE[#All],2,0),"")</f>
        <v>VL</v>
      </c>
    </row>
    <row r="455" spans="2:14" x14ac:dyDescent="0.25">
      <c r="B455" s="93">
        <v>44002</v>
      </c>
      <c r="C455" s="48" t="s">
        <v>795</v>
      </c>
      <c r="D455" s="48" t="s">
        <v>811</v>
      </c>
      <c r="E455" s="4" t="s">
        <v>88</v>
      </c>
      <c r="F455" s="49">
        <v>1</v>
      </c>
      <c r="G455" s="4" t="s">
        <v>820</v>
      </c>
      <c r="I455" s="4" t="s">
        <v>149</v>
      </c>
      <c r="J455" s="4" t="s">
        <v>821</v>
      </c>
      <c r="K455" s="4" t="str">
        <f>IFERROR(LEFT(T_LEAVE[[#This Row],[EMPLOYEE NAME]],LEN(T_LEAVE[[#This Row],[EMPLOYEE NAME]])-3),"")</f>
        <v>MAGNO, ALVIN</v>
      </c>
      <c r="L455" s="48">
        <f>IFERROR(DATEVALUE(TEXT(RIGHT(T_LEAVE[[#This Row],[LEAVE DATE]],LEN(T_LEAVE[[#This Row],[LEAVE DATE]])-6),"[$-en-US]d-mmm-yyyy;@")),"")</f>
        <v>44032</v>
      </c>
      <c r="M455" s="4" t="str">
        <f>IFERROR(TRIM(T_LEAVE[[#This Row],[TYPE]]),"")</f>
        <v>VACATION LEAVE</v>
      </c>
      <c r="N455" s="69" t="str">
        <f>IFERROR(VLOOKUP(T_LEAVE[[#This Row],[LEAVE TYPE]],T_LEAVETYPE[#All],2,0),"")</f>
        <v>VL</v>
      </c>
    </row>
    <row r="456" spans="2:14" x14ac:dyDescent="0.25">
      <c r="B456" s="93">
        <v>44004</v>
      </c>
      <c r="C456" s="48" t="s">
        <v>295</v>
      </c>
      <c r="D456" s="48" t="s">
        <v>256</v>
      </c>
      <c r="E456" s="4" t="s">
        <v>92</v>
      </c>
      <c r="F456" s="49">
        <v>1</v>
      </c>
      <c r="G456" s="4" t="s">
        <v>296</v>
      </c>
      <c r="I456" s="4" t="s">
        <v>149</v>
      </c>
      <c r="J456" s="4" t="s">
        <v>297</v>
      </c>
      <c r="K456" s="4" t="str">
        <f>IFERROR(LEFT(T_LEAVE[[#This Row],[EMPLOYEE NAME]],LEN(T_LEAVE[[#This Row],[EMPLOYEE NAME]])-3),"")</f>
        <v>BALICAS, IRISH ANN</v>
      </c>
      <c r="L456" s="48">
        <f>IFERROR(DATEVALUE(TEXT(RIGHT(T_LEAVE[[#This Row],[LEAVE DATE]],LEN(T_LEAVE[[#This Row],[LEAVE DATE]])-6),"[$-en-US]d-mmm-yyyy;@")),"")</f>
        <v>44045</v>
      </c>
      <c r="M456" s="4" t="str">
        <f>IFERROR(TRIM(T_LEAVE[[#This Row],[TYPE]]),"")</f>
        <v>MATERNITY LEAVE</v>
      </c>
      <c r="N456" s="69" t="str">
        <f>IFERROR(VLOOKUP(T_LEAVE[[#This Row],[LEAVE TYPE]],T_LEAVETYPE[#All],2,0),"")</f>
        <v>ML</v>
      </c>
    </row>
    <row r="457" spans="2:14" x14ac:dyDescent="0.25">
      <c r="B457" s="93">
        <v>44004</v>
      </c>
      <c r="C457" s="48" t="s">
        <v>298</v>
      </c>
      <c r="D457" s="48" t="s">
        <v>256</v>
      </c>
      <c r="E457" s="4" t="s">
        <v>92</v>
      </c>
      <c r="F457" s="49">
        <v>1</v>
      </c>
      <c r="G457" s="4" t="s">
        <v>296</v>
      </c>
      <c r="I457" s="4" t="s">
        <v>149</v>
      </c>
      <c r="J457" s="4" t="s">
        <v>297</v>
      </c>
      <c r="K457" s="4" t="str">
        <f>IFERROR(LEFT(T_LEAVE[[#This Row],[EMPLOYEE NAME]],LEN(T_LEAVE[[#This Row],[EMPLOYEE NAME]])-3),"")</f>
        <v>BALICAS, IRISH ANN</v>
      </c>
      <c r="L457" s="48">
        <f>IFERROR(DATEVALUE(TEXT(RIGHT(T_LEAVE[[#This Row],[LEAVE DATE]],LEN(T_LEAVE[[#This Row],[LEAVE DATE]])-6),"[$-en-US]d-mmm-yyyy;@")),"")</f>
        <v>44046</v>
      </c>
      <c r="M457" s="4" t="str">
        <f>IFERROR(TRIM(T_LEAVE[[#This Row],[TYPE]]),"")</f>
        <v>MATERNITY LEAVE</v>
      </c>
      <c r="N457" s="69" t="str">
        <f>IFERROR(VLOOKUP(T_LEAVE[[#This Row],[LEAVE TYPE]],T_LEAVETYPE[#All],2,0),"")</f>
        <v>ML</v>
      </c>
    </row>
    <row r="458" spans="2:14" x14ac:dyDescent="0.25">
      <c r="B458" s="93">
        <v>44004</v>
      </c>
      <c r="C458" s="48" t="s">
        <v>299</v>
      </c>
      <c r="D458" s="48" t="s">
        <v>256</v>
      </c>
      <c r="E458" s="4" t="s">
        <v>92</v>
      </c>
      <c r="F458" s="49">
        <v>1</v>
      </c>
      <c r="G458" s="4" t="s">
        <v>296</v>
      </c>
      <c r="I458" s="4" t="s">
        <v>149</v>
      </c>
      <c r="J458" s="4" t="s">
        <v>297</v>
      </c>
      <c r="K458" s="4" t="str">
        <f>IFERROR(LEFT(T_LEAVE[[#This Row],[EMPLOYEE NAME]],LEN(T_LEAVE[[#This Row],[EMPLOYEE NAME]])-3),"")</f>
        <v>BALICAS, IRISH ANN</v>
      </c>
      <c r="L458" s="48">
        <f>IFERROR(DATEVALUE(TEXT(RIGHT(T_LEAVE[[#This Row],[LEAVE DATE]],LEN(T_LEAVE[[#This Row],[LEAVE DATE]])-6),"[$-en-US]d-mmm-yyyy;@")),"")</f>
        <v>44047</v>
      </c>
      <c r="M458" s="4" t="str">
        <f>IFERROR(TRIM(T_LEAVE[[#This Row],[TYPE]]),"")</f>
        <v>MATERNITY LEAVE</v>
      </c>
      <c r="N458" s="69" t="str">
        <f>IFERROR(VLOOKUP(T_LEAVE[[#This Row],[LEAVE TYPE]],T_LEAVETYPE[#All],2,0),"")</f>
        <v>ML</v>
      </c>
    </row>
    <row r="459" spans="2:14" x14ac:dyDescent="0.25">
      <c r="B459" s="93">
        <v>44004</v>
      </c>
      <c r="C459" s="48" t="s">
        <v>300</v>
      </c>
      <c r="D459" s="48" t="s">
        <v>256</v>
      </c>
      <c r="E459" s="4" t="s">
        <v>92</v>
      </c>
      <c r="F459" s="49">
        <v>1</v>
      </c>
      <c r="G459" s="4" t="s">
        <v>296</v>
      </c>
      <c r="I459" s="4" t="s">
        <v>149</v>
      </c>
      <c r="J459" s="4" t="s">
        <v>297</v>
      </c>
      <c r="K459" s="4" t="str">
        <f>IFERROR(LEFT(T_LEAVE[[#This Row],[EMPLOYEE NAME]],LEN(T_LEAVE[[#This Row],[EMPLOYEE NAME]])-3),"")</f>
        <v>BALICAS, IRISH ANN</v>
      </c>
      <c r="L459" s="48">
        <f>IFERROR(DATEVALUE(TEXT(RIGHT(T_LEAVE[[#This Row],[LEAVE DATE]],LEN(T_LEAVE[[#This Row],[LEAVE DATE]])-6),"[$-en-US]d-mmm-yyyy;@")),"")</f>
        <v>44048</v>
      </c>
      <c r="M459" s="4" t="str">
        <f>IFERROR(TRIM(T_LEAVE[[#This Row],[TYPE]]),"")</f>
        <v>MATERNITY LEAVE</v>
      </c>
      <c r="N459" s="69" t="str">
        <f>IFERROR(VLOOKUP(T_LEAVE[[#This Row],[LEAVE TYPE]],T_LEAVETYPE[#All],2,0),"")</f>
        <v>ML</v>
      </c>
    </row>
    <row r="460" spans="2:14" x14ac:dyDescent="0.25">
      <c r="B460" s="93">
        <v>44004</v>
      </c>
      <c r="C460" s="48" t="s">
        <v>301</v>
      </c>
      <c r="D460" s="48" t="s">
        <v>256</v>
      </c>
      <c r="E460" s="4" t="s">
        <v>92</v>
      </c>
      <c r="F460" s="49">
        <v>1</v>
      </c>
      <c r="G460" s="4" t="s">
        <v>296</v>
      </c>
      <c r="I460" s="4" t="s">
        <v>149</v>
      </c>
      <c r="J460" s="4" t="s">
        <v>297</v>
      </c>
      <c r="K460" s="4" t="str">
        <f>IFERROR(LEFT(T_LEAVE[[#This Row],[EMPLOYEE NAME]],LEN(T_LEAVE[[#This Row],[EMPLOYEE NAME]])-3),"")</f>
        <v>BALICAS, IRISH ANN</v>
      </c>
      <c r="L460" s="48">
        <f>IFERROR(DATEVALUE(TEXT(RIGHT(T_LEAVE[[#This Row],[LEAVE DATE]],LEN(T_LEAVE[[#This Row],[LEAVE DATE]])-6),"[$-en-US]d-mmm-yyyy;@")),"")</f>
        <v>44049</v>
      </c>
      <c r="M460" s="4" t="str">
        <f>IFERROR(TRIM(T_LEAVE[[#This Row],[TYPE]]),"")</f>
        <v>MATERNITY LEAVE</v>
      </c>
      <c r="N460" s="69" t="str">
        <f>IFERROR(VLOOKUP(T_LEAVE[[#This Row],[LEAVE TYPE]],T_LEAVETYPE[#All],2,0),"")</f>
        <v>ML</v>
      </c>
    </row>
    <row r="461" spans="2:14" x14ac:dyDescent="0.25">
      <c r="B461" s="93">
        <v>44004</v>
      </c>
      <c r="C461" s="48" t="s">
        <v>246</v>
      </c>
      <c r="D461" s="48" t="s">
        <v>256</v>
      </c>
      <c r="E461" s="4" t="s">
        <v>92</v>
      </c>
      <c r="F461" s="49">
        <v>1</v>
      </c>
      <c r="G461" s="4" t="s">
        <v>296</v>
      </c>
      <c r="I461" s="4" t="s">
        <v>149</v>
      </c>
      <c r="J461" s="4" t="s">
        <v>302</v>
      </c>
      <c r="K461" s="4" t="str">
        <f>IFERROR(LEFT(T_LEAVE[[#This Row],[EMPLOYEE NAME]],LEN(T_LEAVE[[#This Row],[EMPLOYEE NAME]])-3),"")</f>
        <v>BALICAS, IRISH ANN</v>
      </c>
      <c r="L461" s="48">
        <f>IFERROR(DATEVALUE(TEXT(RIGHT(T_LEAVE[[#This Row],[LEAVE DATE]],LEN(T_LEAVE[[#This Row],[LEAVE DATE]])-6),"[$-en-US]d-mmm-yyyy;@")),"")</f>
        <v>44063</v>
      </c>
      <c r="M461" s="4" t="str">
        <f>IFERROR(TRIM(T_LEAVE[[#This Row],[TYPE]]),"")</f>
        <v>MATERNITY LEAVE</v>
      </c>
      <c r="N461" s="69" t="str">
        <f>IFERROR(VLOOKUP(T_LEAVE[[#This Row],[LEAVE TYPE]],T_LEAVETYPE[#All],2,0),"")</f>
        <v>ML</v>
      </c>
    </row>
    <row r="462" spans="2:14" x14ac:dyDescent="0.25">
      <c r="B462" s="93">
        <v>44004</v>
      </c>
      <c r="C462" s="48" t="s">
        <v>303</v>
      </c>
      <c r="D462" s="48" t="s">
        <v>256</v>
      </c>
      <c r="E462" s="4" t="s">
        <v>92</v>
      </c>
      <c r="F462" s="49">
        <v>1</v>
      </c>
      <c r="G462" s="4" t="s">
        <v>296</v>
      </c>
      <c r="I462" s="4" t="s">
        <v>149</v>
      </c>
      <c r="J462" s="4" t="s">
        <v>302</v>
      </c>
      <c r="K462" s="4" t="str">
        <f>IFERROR(LEFT(T_LEAVE[[#This Row],[EMPLOYEE NAME]],LEN(T_LEAVE[[#This Row],[EMPLOYEE NAME]])-3),"")</f>
        <v>BALICAS, IRISH ANN</v>
      </c>
      <c r="L462" s="48">
        <f>IFERROR(DATEVALUE(TEXT(RIGHT(T_LEAVE[[#This Row],[LEAVE DATE]],LEN(T_LEAVE[[#This Row],[LEAVE DATE]])-6),"[$-en-US]d-mmm-yyyy;@")),"")</f>
        <v>44066</v>
      </c>
      <c r="M462" s="4" t="str">
        <f>IFERROR(TRIM(T_LEAVE[[#This Row],[TYPE]]),"")</f>
        <v>MATERNITY LEAVE</v>
      </c>
      <c r="N462" s="69" t="str">
        <f>IFERROR(VLOOKUP(T_LEAVE[[#This Row],[LEAVE TYPE]],T_LEAVETYPE[#All],2,0),"")</f>
        <v>ML</v>
      </c>
    </row>
    <row r="463" spans="2:14" x14ac:dyDescent="0.25">
      <c r="B463" s="93">
        <v>44004</v>
      </c>
      <c r="C463" s="48" t="s">
        <v>304</v>
      </c>
      <c r="D463" s="48" t="s">
        <v>256</v>
      </c>
      <c r="E463" s="4" t="s">
        <v>92</v>
      </c>
      <c r="F463" s="49">
        <v>1</v>
      </c>
      <c r="G463" s="4" t="s">
        <v>296</v>
      </c>
      <c r="I463" s="4" t="s">
        <v>149</v>
      </c>
      <c r="J463" s="4" t="s">
        <v>305</v>
      </c>
      <c r="K463" s="4" t="str">
        <f>IFERROR(LEFT(T_LEAVE[[#This Row],[EMPLOYEE NAME]],LEN(T_LEAVE[[#This Row],[EMPLOYEE NAME]])-3),"")</f>
        <v>BALICAS, IRISH ANN</v>
      </c>
      <c r="L463" s="48">
        <f>IFERROR(DATEVALUE(TEXT(RIGHT(T_LEAVE[[#This Row],[LEAVE DATE]],LEN(T_LEAVE[[#This Row],[LEAVE DATE]])-6),"[$-en-US]d-mmm-yyyy;@")),"")</f>
        <v>44080</v>
      </c>
      <c r="M463" s="4" t="str">
        <f>IFERROR(TRIM(T_LEAVE[[#This Row],[TYPE]]),"")</f>
        <v>MATERNITY LEAVE</v>
      </c>
      <c r="N463" s="69" t="str">
        <f>IFERROR(VLOOKUP(T_LEAVE[[#This Row],[LEAVE TYPE]],T_LEAVETYPE[#All],2,0),"")</f>
        <v>ML</v>
      </c>
    </row>
    <row r="464" spans="2:14" x14ac:dyDescent="0.25">
      <c r="B464" s="93">
        <v>44004</v>
      </c>
      <c r="C464" s="48" t="s">
        <v>306</v>
      </c>
      <c r="D464" s="48" t="s">
        <v>256</v>
      </c>
      <c r="E464" s="4" t="s">
        <v>92</v>
      </c>
      <c r="F464" s="49">
        <v>1</v>
      </c>
      <c r="G464" s="4" t="s">
        <v>296</v>
      </c>
      <c r="I464" s="4" t="s">
        <v>149</v>
      </c>
      <c r="J464" s="4" t="s">
        <v>305</v>
      </c>
      <c r="K464" s="4" t="str">
        <f>IFERROR(LEFT(T_LEAVE[[#This Row],[EMPLOYEE NAME]],LEN(T_LEAVE[[#This Row],[EMPLOYEE NAME]])-3),"")</f>
        <v>BALICAS, IRISH ANN</v>
      </c>
      <c r="L464" s="48">
        <f>IFERROR(DATEVALUE(TEXT(RIGHT(T_LEAVE[[#This Row],[LEAVE DATE]],LEN(T_LEAVE[[#This Row],[LEAVE DATE]])-6),"[$-en-US]d-mmm-yyyy;@")),"")</f>
        <v>44082</v>
      </c>
      <c r="M464" s="4" t="str">
        <f>IFERROR(TRIM(T_LEAVE[[#This Row],[TYPE]]),"")</f>
        <v>MATERNITY LEAVE</v>
      </c>
      <c r="N464" s="69" t="str">
        <f>IFERROR(VLOOKUP(T_LEAVE[[#This Row],[LEAVE TYPE]],T_LEAVETYPE[#All],2,0),"")</f>
        <v>ML</v>
      </c>
    </row>
    <row r="465" spans="2:14" x14ac:dyDescent="0.25">
      <c r="B465" s="93">
        <v>44004</v>
      </c>
      <c r="C465" s="48" t="s">
        <v>307</v>
      </c>
      <c r="D465" s="48" t="s">
        <v>256</v>
      </c>
      <c r="E465" s="4" t="s">
        <v>92</v>
      </c>
      <c r="F465" s="49">
        <v>1</v>
      </c>
      <c r="G465" s="4" t="s">
        <v>296</v>
      </c>
      <c r="I465" s="4" t="s">
        <v>149</v>
      </c>
      <c r="J465" s="4" t="s">
        <v>308</v>
      </c>
      <c r="K465" s="4" t="str">
        <f>IFERROR(LEFT(T_LEAVE[[#This Row],[EMPLOYEE NAME]],LEN(T_LEAVE[[#This Row],[EMPLOYEE NAME]])-3),"")</f>
        <v>BALICAS, IRISH ANN</v>
      </c>
      <c r="L465" s="48">
        <f>IFERROR(DATEVALUE(TEXT(RIGHT(T_LEAVE[[#This Row],[LEAVE DATE]],LEN(T_LEAVE[[#This Row],[LEAVE DATE]])-6),"[$-en-US]d-mmm-yyyy;@")),"")</f>
        <v>44096</v>
      </c>
      <c r="M465" s="4" t="str">
        <f>IFERROR(TRIM(T_LEAVE[[#This Row],[TYPE]]),"")</f>
        <v>MATERNITY LEAVE</v>
      </c>
      <c r="N465" s="69" t="str">
        <f>IFERROR(VLOOKUP(T_LEAVE[[#This Row],[LEAVE TYPE]],T_LEAVETYPE[#All],2,0),"")</f>
        <v>ML</v>
      </c>
    </row>
    <row r="466" spans="2:14" x14ac:dyDescent="0.25">
      <c r="B466" s="93">
        <v>44004</v>
      </c>
      <c r="C466" s="48" t="s">
        <v>309</v>
      </c>
      <c r="D466" s="48" t="s">
        <v>256</v>
      </c>
      <c r="E466" s="4" t="s">
        <v>92</v>
      </c>
      <c r="F466" s="49">
        <v>1</v>
      </c>
      <c r="G466" s="4" t="s">
        <v>296</v>
      </c>
      <c r="I466" s="4" t="s">
        <v>149</v>
      </c>
      <c r="J466" s="4" t="s">
        <v>308</v>
      </c>
      <c r="K466" s="4" t="str">
        <f>IFERROR(LEFT(T_LEAVE[[#This Row],[EMPLOYEE NAME]],LEN(T_LEAVE[[#This Row],[EMPLOYEE NAME]])-3),"")</f>
        <v>BALICAS, IRISH ANN</v>
      </c>
      <c r="L466" s="48">
        <f>IFERROR(DATEVALUE(TEXT(RIGHT(T_LEAVE[[#This Row],[LEAVE DATE]],LEN(T_LEAVE[[#This Row],[LEAVE DATE]])-6),"[$-en-US]d-mmm-yyyy;@")),"")</f>
        <v>44097</v>
      </c>
      <c r="M466" s="4" t="str">
        <f>IFERROR(TRIM(T_LEAVE[[#This Row],[TYPE]]),"")</f>
        <v>MATERNITY LEAVE</v>
      </c>
      <c r="N466" s="69" t="str">
        <f>IFERROR(VLOOKUP(T_LEAVE[[#This Row],[LEAVE TYPE]],T_LEAVETYPE[#All],2,0),"")</f>
        <v>ML</v>
      </c>
    </row>
    <row r="467" spans="2:14" x14ac:dyDescent="0.25">
      <c r="B467" s="93">
        <v>44004</v>
      </c>
      <c r="C467" s="48" t="s">
        <v>188</v>
      </c>
      <c r="D467" s="48" t="s">
        <v>256</v>
      </c>
      <c r="E467" s="4" t="s">
        <v>92</v>
      </c>
      <c r="F467" s="49">
        <v>1</v>
      </c>
      <c r="G467" s="4" t="s">
        <v>296</v>
      </c>
      <c r="I467" s="4" t="s">
        <v>149</v>
      </c>
      <c r="J467" s="4" t="s">
        <v>252</v>
      </c>
      <c r="K467" s="4" t="str">
        <f>IFERROR(LEFT(T_LEAVE[[#This Row],[EMPLOYEE NAME]],LEN(T_LEAVE[[#This Row],[EMPLOYEE NAME]])-3),"")</f>
        <v>BALICAS, IRISH ANN</v>
      </c>
      <c r="L467" s="48">
        <f>IFERROR(DATEVALUE(TEXT(RIGHT(T_LEAVE[[#This Row],[LEAVE DATE]],LEN(T_LEAVE[[#This Row],[LEAVE DATE]])-6),"[$-en-US]d-mmm-yyyy;@")),"")</f>
        <v>44111</v>
      </c>
      <c r="M467" s="4" t="str">
        <f>IFERROR(TRIM(T_LEAVE[[#This Row],[TYPE]]),"")</f>
        <v>MATERNITY LEAVE</v>
      </c>
      <c r="N467" s="69" t="str">
        <f>IFERROR(VLOOKUP(T_LEAVE[[#This Row],[LEAVE TYPE]],T_LEAVETYPE[#All],2,0),"")</f>
        <v>ML</v>
      </c>
    </row>
    <row r="468" spans="2:14" x14ac:dyDescent="0.25">
      <c r="B468" s="93">
        <v>44004</v>
      </c>
      <c r="C468" s="48" t="s">
        <v>310</v>
      </c>
      <c r="D468" s="48" t="s">
        <v>256</v>
      </c>
      <c r="E468" s="4" t="s">
        <v>92</v>
      </c>
      <c r="F468" s="49">
        <v>1</v>
      </c>
      <c r="G468" s="4" t="s">
        <v>296</v>
      </c>
      <c r="I468" s="4" t="s">
        <v>149</v>
      </c>
      <c r="J468" s="4" t="s">
        <v>252</v>
      </c>
      <c r="K468" s="4" t="str">
        <f>IFERROR(LEFT(T_LEAVE[[#This Row],[EMPLOYEE NAME]],LEN(T_LEAVE[[#This Row],[EMPLOYEE NAME]])-3),"")</f>
        <v>BALICAS, IRISH ANN</v>
      </c>
      <c r="L468" s="48">
        <f>IFERROR(DATEVALUE(TEXT(RIGHT(T_LEAVE[[#This Row],[LEAVE DATE]],LEN(T_LEAVE[[#This Row],[LEAVE DATE]])-6),"[$-en-US]d-mmm-yyyy;@")),"")</f>
        <v>44112</v>
      </c>
      <c r="M468" s="4" t="str">
        <f>IFERROR(TRIM(T_LEAVE[[#This Row],[TYPE]]),"")</f>
        <v>MATERNITY LEAVE</v>
      </c>
      <c r="N468" s="69" t="str">
        <f>IFERROR(VLOOKUP(T_LEAVE[[#This Row],[LEAVE TYPE]],T_LEAVETYPE[#All],2,0),"")</f>
        <v>ML</v>
      </c>
    </row>
    <row r="469" spans="2:14" x14ac:dyDescent="0.25">
      <c r="B469" s="93">
        <v>44004</v>
      </c>
      <c r="C469" s="48" t="s">
        <v>767</v>
      </c>
      <c r="D469" s="48" t="s">
        <v>753</v>
      </c>
      <c r="E469" s="4" t="s">
        <v>88</v>
      </c>
      <c r="F469" s="49">
        <v>1</v>
      </c>
      <c r="G469" s="4" t="s">
        <v>768</v>
      </c>
      <c r="I469" s="4" t="s">
        <v>149</v>
      </c>
      <c r="J469" s="4" t="s">
        <v>769</v>
      </c>
      <c r="K469" s="4" t="str">
        <f>IFERROR(LEFT(T_LEAVE[[#This Row],[EMPLOYEE NAME]],LEN(T_LEAVE[[#This Row],[EMPLOYEE NAME]])-3),"")</f>
        <v>LEGASPI, ARABELLE</v>
      </c>
      <c r="L469" s="48">
        <f>IFERROR(DATEVALUE(TEXT(RIGHT(T_LEAVE[[#This Row],[LEAVE DATE]],LEN(T_LEAVE[[#This Row],[LEAVE DATE]])-6),"[$-en-US]d-mmm-yyyy;@")),"")</f>
        <v>43993</v>
      </c>
      <c r="M469" s="4" t="str">
        <f>IFERROR(TRIM(T_LEAVE[[#This Row],[TYPE]]),"")</f>
        <v>VACATION LEAVE</v>
      </c>
      <c r="N469" s="69" t="str">
        <f>IFERROR(VLOOKUP(T_LEAVE[[#This Row],[LEAVE TYPE]],T_LEAVETYPE[#All],2,0),"")</f>
        <v>VL</v>
      </c>
    </row>
    <row r="470" spans="2:14" x14ac:dyDescent="0.25">
      <c r="B470" s="93">
        <v>44004</v>
      </c>
      <c r="C470" s="48" t="s">
        <v>1108</v>
      </c>
      <c r="D470" s="48" t="s">
        <v>1100</v>
      </c>
      <c r="E470" s="4" t="s">
        <v>89</v>
      </c>
      <c r="F470" s="49">
        <v>1</v>
      </c>
      <c r="G470" s="4" t="s">
        <v>1109</v>
      </c>
      <c r="I470" s="4" t="s">
        <v>149</v>
      </c>
      <c r="J470" s="4" t="s">
        <v>1110</v>
      </c>
      <c r="K470" s="4" t="str">
        <f>IFERROR(LEFT(T_LEAVE[[#This Row],[EMPLOYEE NAME]],LEN(T_LEAVE[[#This Row],[EMPLOYEE NAME]])-3),"")</f>
        <v>VILLAFLOR, REA</v>
      </c>
      <c r="L470" s="48">
        <f>IFERROR(DATEVALUE(TEXT(RIGHT(T_LEAVE[[#This Row],[LEAVE DATE]],LEN(T_LEAVE[[#This Row],[LEAVE DATE]])-6),"[$-en-US]d-mmm-yyyy;@")),"")</f>
        <v>44000</v>
      </c>
      <c r="M470" s="4" t="str">
        <f>IFERROR(TRIM(T_LEAVE[[#This Row],[TYPE]]),"")</f>
        <v>SICK LEAVE</v>
      </c>
      <c r="N470" s="69" t="str">
        <f>IFERROR(VLOOKUP(T_LEAVE[[#This Row],[LEAVE TYPE]],T_LEAVETYPE[#All],2,0),"")</f>
        <v>SL</v>
      </c>
    </row>
    <row r="471" spans="2:14" x14ac:dyDescent="0.25">
      <c r="B471" s="93">
        <v>44004</v>
      </c>
      <c r="C471" s="48" t="s">
        <v>436</v>
      </c>
      <c r="D471" s="48" t="s">
        <v>1100</v>
      </c>
      <c r="E471" s="4" t="s">
        <v>89</v>
      </c>
      <c r="F471" s="49">
        <v>1</v>
      </c>
      <c r="G471" s="4" t="s">
        <v>1109</v>
      </c>
      <c r="I471" s="4" t="s">
        <v>149</v>
      </c>
      <c r="J471" s="4" t="s">
        <v>1110</v>
      </c>
      <c r="K471" s="4" t="str">
        <f>IFERROR(LEFT(T_LEAVE[[#This Row],[EMPLOYEE NAME]],LEN(T_LEAVE[[#This Row],[EMPLOYEE NAME]])-3),"")</f>
        <v>VILLAFLOR, REA</v>
      </c>
      <c r="L471" s="48">
        <f>IFERROR(DATEVALUE(TEXT(RIGHT(T_LEAVE[[#This Row],[LEAVE DATE]],LEN(T_LEAVE[[#This Row],[LEAVE DATE]])-6),"[$-en-US]d-mmm-yyyy;@")),"")</f>
        <v>44001</v>
      </c>
      <c r="M471" s="4" t="str">
        <f>IFERROR(TRIM(T_LEAVE[[#This Row],[TYPE]]),"")</f>
        <v>SICK LEAVE</v>
      </c>
      <c r="N471" s="69" t="str">
        <f>IFERROR(VLOOKUP(T_LEAVE[[#This Row],[LEAVE TYPE]],T_LEAVETYPE[#All],2,0),"")</f>
        <v>SL</v>
      </c>
    </row>
    <row r="472" spans="2:14" x14ac:dyDescent="0.25">
      <c r="B472" s="93">
        <v>44005</v>
      </c>
      <c r="C472" s="48" t="s">
        <v>287</v>
      </c>
      <c r="D472" s="48" t="s">
        <v>256</v>
      </c>
      <c r="E472" s="4" t="s">
        <v>89</v>
      </c>
      <c r="F472" s="49">
        <v>1</v>
      </c>
      <c r="G472" s="4" t="s">
        <v>288</v>
      </c>
      <c r="I472" s="4" t="s">
        <v>149</v>
      </c>
      <c r="J472" s="4" t="s">
        <v>289</v>
      </c>
      <c r="K472" s="4" t="str">
        <f>IFERROR(LEFT(T_LEAVE[[#This Row],[EMPLOYEE NAME]],LEN(T_LEAVE[[#This Row],[EMPLOYEE NAME]])-3),"")</f>
        <v>BALICAS, IRISH ANN</v>
      </c>
      <c r="L472" s="48">
        <f>IFERROR(DATEVALUE(TEXT(RIGHT(T_LEAVE[[#This Row],[LEAVE DATE]],LEN(T_LEAVE[[#This Row],[LEAVE DATE]])-6),"[$-en-US]d-mmm-yyyy;@")),"")</f>
        <v>44003</v>
      </c>
      <c r="M472" s="4" t="str">
        <f>IFERROR(TRIM(T_LEAVE[[#This Row],[TYPE]]),"")</f>
        <v>SICK LEAVE</v>
      </c>
      <c r="N472" s="69" t="str">
        <f>IFERROR(VLOOKUP(T_LEAVE[[#This Row],[LEAVE TYPE]],T_LEAVETYPE[#All],2,0),"")</f>
        <v>SL</v>
      </c>
    </row>
    <row r="473" spans="2:14" x14ac:dyDescent="0.25">
      <c r="B473" s="93">
        <v>44005</v>
      </c>
      <c r="C473" s="48" t="s">
        <v>439</v>
      </c>
      <c r="D473" s="48" t="s">
        <v>421</v>
      </c>
      <c r="E473" s="4" t="s">
        <v>89</v>
      </c>
      <c r="F473" s="49">
        <v>1</v>
      </c>
      <c r="G473" s="4" t="s">
        <v>440</v>
      </c>
      <c r="I473" s="4" t="s">
        <v>149</v>
      </c>
      <c r="J473" s="4" t="s">
        <v>441</v>
      </c>
      <c r="K473" s="4" t="str">
        <f>IFERROR(LEFT(T_LEAVE[[#This Row],[EMPLOYEE NAME]],LEN(T_LEAVE[[#This Row],[EMPLOYEE NAME]])-3),"")</f>
        <v>DE LEON, JEFFREY</v>
      </c>
      <c r="L473" s="48">
        <f>IFERROR(DATEVALUE(TEXT(RIGHT(T_LEAVE[[#This Row],[LEAVE DATE]],LEN(T_LEAVE[[#This Row],[LEAVE DATE]])-6),"[$-en-US]d-mmm-yyyy;@")),"")</f>
        <v>44002</v>
      </c>
      <c r="M473" s="4" t="str">
        <f>IFERROR(TRIM(T_LEAVE[[#This Row],[TYPE]]),"")</f>
        <v>SICK LEAVE</v>
      </c>
      <c r="N473" s="69" t="str">
        <f>IFERROR(VLOOKUP(T_LEAVE[[#This Row],[LEAVE TYPE]],T_LEAVETYPE[#All],2,0),"")</f>
        <v>SL</v>
      </c>
    </row>
    <row r="474" spans="2:14" x14ac:dyDescent="0.25">
      <c r="B474" s="93">
        <v>44005</v>
      </c>
      <c r="C474" s="48" t="s">
        <v>287</v>
      </c>
      <c r="D474" s="48" t="s">
        <v>421</v>
      </c>
      <c r="E474" s="4" t="s">
        <v>89</v>
      </c>
      <c r="F474" s="49">
        <v>1</v>
      </c>
      <c r="G474" s="4" t="s">
        <v>440</v>
      </c>
      <c r="I474" s="4" t="s">
        <v>149</v>
      </c>
      <c r="J474" s="4" t="s">
        <v>441</v>
      </c>
      <c r="K474" s="4" t="str">
        <f>IFERROR(LEFT(T_LEAVE[[#This Row],[EMPLOYEE NAME]],LEN(T_LEAVE[[#This Row],[EMPLOYEE NAME]])-3),"")</f>
        <v>DE LEON, JEFFREY</v>
      </c>
      <c r="L474" s="48">
        <f>IFERROR(DATEVALUE(TEXT(RIGHT(T_LEAVE[[#This Row],[LEAVE DATE]],LEN(T_LEAVE[[#This Row],[LEAVE DATE]])-6),"[$-en-US]d-mmm-yyyy;@")),"")</f>
        <v>44003</v>
      </c>
      <c r="M474" s="4" t="str">
        <f>IFERROR(TRIM(T_LEAVE[[#This Row],[TYPE]]),"")</f>
        <v>SICK LEAVE</v>
      </c>
      <c r="N474" s="69" t="str">
        <f>IFERROR(VLOOKUP(T_LEAVE[[#This Row],[LEAVE TYPE]],T_LEAVETYPE[#All],2,0),"")</f>
        <v>SL</v>
      </c>
    </row>
    <row r="475" spans="2:14" x14ac:dyDescent="0.25">
      <c r="B475" s="93">
        <v>44005</v>
      </c>
      <c r="C475" s="48" t="s">
        <v>407</v>
      </c>
      <c r="D475" s="48" t="s">
        <v>421</v>
      </c>
      <c r="E475" s="4" t="s">
        <v>89</v>
      </c>
      <c r="F475" s="49">
        <v>1</v>
      </c>
      <c r="G475" s="4" t="s">
        <v>440</v>
      </c>
      <c r="I475" s="4" t="s">
        <v>149</v>
      </c>
      <c r="J475" s="4" t="s">
        <v>441</v>
      </c>
      <c r="K475" s="4" t="str">
        <f>IFERROR(LEFT(T_LEAVE[[#This Row],[EMPLOYEE NAME]],LEN(T_LEAVE[[#This Row],[EMPLOYEE NAME]])-3),"")</f>
        <v>DE LEON, JEFFREY</v>
      </c>
      <c r="L475" s="48">
        <f>IFERROR(DATEVALUE(TEXT(RIGHT(T_LEAVE[[#This Row],[LEAVE DATE]],LEN(T_LEAVE[[#This Row],[LEAVE DATE]])-6),"[$-en-US]d-mmm-yyyy;@")),"")</f>
        <v>44004</v>
      </c>
      <c r="M475" s="4" t="str">
        <f>IFERROR(TRIM(T_LEAVE[[#This Row],[TYPE]]),"")</f>
        <v>SICK LEAVE</v>
      </c>
      <c r="N475" s="69" t="str">
        <f>IFERROR(VLOOKUP(T_LEAVE[[#This Row],[LEAVE TYPE]],T_LEAVETYPE[#All],2,0),"")</f>
        <v>SL</v>
      </c>
    </row>
    <row r="476" spans="2:14" x14ac:dyDescent="0.25">
      <c r="B476" s="93">
        <v>44005</v>
      </c>
      <c r="C476" s="48" t="s">
        <v>442</v>
      </c>
      <c r="D476" s="48" t="s">
        <v>421</v>
      </c>
      <c r="E476" s="4" t="s">
        <v>89</v>
      </c>
      <c r="F476" s="49">
        <v>1</v>
      </c>
      <c r="G476" s="4" t="s">
        <v>440</v>
      </c>
      <c r="I476" s="4" t="s">
        <v>149</v>
      </c>
      <c r="J476" s="4" t="s">
        <v>441</v>
      </c>
      <c r="K476" s="4" t="str">
        <f>IFERROR(LEFT(T_LEAVE[[#This Row],[EMPLOYEE NAME]],LEN(T_LEAVE[[#This Row],[EMPLOYEE NAME]])-3),"")</f>
        <v>DE LEON, JEFFREY</v>
      </c>
      <c r="L476" s="48">
        <f>IFERROR(DATEVALUE(TEXT(RIGHT(T_LEAVE[[#This Row],[LEAVE DATE]],LEN(T_LEAVE[[#This Row],[LEAVE DATE]])-6),"[$-en-US]d-mmm-yyyy;@")),"")</f>
        <v>44005</v>
      </c>
      <c r="M476" s="4" t="str">
        <f>IFERROR(TRIM(T_LEAVE[[#This Row],[TYPE]]),"")</f>
        <v>SICK LEAVE</v>
      </c>
      <c r="N476" s="69" t="str">
        <f>IFERROR(VLOOKUP(T_LEAVE[[#This Row],[LEAVE TYPE]],T_LEAVETYPE[#All],2,0),"")</f>
        <v>SL</v>
      </c>
    </row>
    <row r="477" spans="2:14" x14ac:dyDescent="0.25">
      <c r="B477" s="93">
        <v>44006</v>
      </c>
      <c r="C477" s="48" t="s">
        <v>294</v>
      </c>
      <c r="D477" s="48" t="s">
        <v>480</v>
      </c>
      <c r="E477" s="4" t="s">
        <v>88</v>
      </c>
      <c r="F477" s="49">
        <v>1</v>
      </c>
      <c r="G477" s="4" t="s">
        <v>489</v>
      </c>
      <c r="I477" s="4" t="s">
        <v>149</v>
      </c>
      <c r="J477" s="4" t="s">
        <v>490</v>
      </c>
      <c r="K477" s="4" t="str">
        <f>IFERROR(LEFT(T_LEAVE[[#This Row],[EMPLOYEE NAME]],LEN(T_LEAVE[[#This Row],[EMPLOYEE NAME]])-3),"")</f>
        <v>DELA CRUZ, R-JOHN</v>
      </c>
      <c r="L477" s="48">
        <f>IFERROR(DATEVALUE(TEXT(RIGHT(T_LEAVE[[#This Row],[LEAVE DATE]],LEN(T_LEAVE[[#This Row],[LEAVE DATE]])-6),"[$-en-US]d-mmm-yyyy;@")),"")</f>
        <v>44019</v>
      </c>
      <c r="M477" s="4" t="str">
        <f>IFERROR(TRIM(T_LEAVE[[#This Row],[TYPE]]),"")</f>
        <v>VACATION LEAVE</v>
      </c>
      <c r="N477" s="69" t="str">
        <f>IFERROR(VLOOKUP(T_LEAVE[[#This Row],[LEAVE TYPE]],T_LEAVETYPE[#All],2,0),"")</f>
        <v>VL</v>
      </c>
    </row>
    <row r="478" spans="2:14" x14ac:dyDescent="0.25">
      <c r="B478" s="93">
        <v>44006</v>
      </c>
      <c r="C478" s="48" t="s">
        <v>491</v>
      </c>
      <c r="D478" s="48" t="s">
        <v>480</v>
      </c>
      <c r="E478" s="4" t="s">
        <v>88</v>
      </c>
      <c r="F478" s="49">
        <v>1</v>
      </c>
      <c r="G478" s="4" t="s">
        <v>489</v>
      </c>
      <c r="I478" s="4" t="s">
        <v>149</v>
      </c>
      <c r="J478" s="4" t="s">
        <v>490</v>
      </c>
      <c r="K478" s="4" t="str">
        <f>IFERROR(LEFT(T_LEAVE[[#This Row],[EMPLOYEE NAME]],LEN(T_LEAVE[[#This Row],[EMPLOYEE NAME]])-3),"")</f>
        <v>DELA CRUZ, R-JOHN</v>
      </c>
      <c r="L478" s="48">
        <f>IFERROR(DATEVALUE(TEXT(RIGHT(T_LEAVE[[#This Row],[LEAVE DATE]],LEN(T_LEAVE[[#This Row],[LEAVE DATE]])-6),"[$-en-US]d-mmm-yyyy;@")),"")</f>
        <v>44020</v>
      </c>
      <c r="M478" s="4" t="str">
        <f>IFERROR(TRIM(T_LEAVE[[#This Row],[TYPE]]),"")</f>
        <v>VACATION LEAVE</v>
      </c>
      <c r="N478" s="69" t="str">
        <f>IFERROR(VLOOKUP(T_LEAVE[[#This Row],[LEAVE TYPE]],T_LEAVETYPE[#All],2,0),"")</f>
        <v>VL</v>
      </c>
    </row>
    <row r="479" spans="2:14" x14ac:dyDescent="0.25">
      <c r="B479" s="93">
        <v>44009</v>
      </c>
      <c r="C479" s="48" t="s">
        <v>443</v>
      </c>
      <c r="D479" s="48" t="s">
        <v>666</v>
      </c>
      <c r="E479" s="4" t="s">
        <v>88</v>
      </c>
      <c r="F479" s="49">
        <v>1</v>
      </c>
      <c r="G479" s="4" t="s">
        <v>684</v>
      </c>
      <c r="I479" s="4" t="s">
        <v>149</v>
      </c>
      <c r="J479" s="4" t="s">
        <v>324</v>
      </c>
      <c r="K479" s="4" t="str">
        <f>IFERROR(LEFT(T_LEAVE[[#This Row],[EMPLOYEE NAME]],LEN(T_LEAVE[[#This Row],[EMPLOYEE NAME]])-3),"")</f>
        <v>LARIZA, MELANIE DELA CRUZ</v>
      </c>
      <c r="L479" s="48">
        <f>IFERROR(DATEVALUE(TEXT(RIGHT(T_LEAVE[[#This Row],[LEAVE DATE]],LEN(T_LEAVE[[#This Row],[LEAVE DATE]])-6),"[$-en-US]d-mmm-yyyy;@")),"")</f>
        <v>44008</v>
      </c>
      <c r="M479" s="4" t="str">
        <f>IFERROR(TRIM(T_LEAVE[[#This Row],[TYPE]]),"")</f>
        <v>VACATION LEAVE</v>
      </c>
      <c r="N479" s="69" t="str">
        <f>IFERROR(VLOOKUP(T_LEAVE[[#This Row],[LEAVE TYPE]],T_LEAVETYPE[#All],2,0),"")</f>
        <v>VL</v>
      </c>
    </row>
    <row r="480" spans="2:14" x14ac:dyDescent="0.25">
      <c r="B480" s="93">
        <v>44009</v>
      </c>
      <c r="C480" s="48" t="s">
        <v>410</v>
      </c>
      <c r="D480" s="48" t="s">
        <v>666</v>
      </c>
      <c r="E480" s="4" t="s">
        <v>88</v>
      </c>
      <c r="F480" s="49">
        <v>1</v>
      </c>
      <c r="G480" s="4" t="s">
        <v>684</v>
      </c>
      <c r="I480" s="4" t="s">
        <v>149</v>
      </c>
      <c r="J480" s="4" t="s">
        <v>324</v>
      </c>
      <c r="K480" s="4" t="str">
        <f>IFERROR(LEFT(T_LEAVE[[#This Row],[EMPLOYEE NAME]],LEN(T_LEAVE[[#This Row],[EMPLOYEE NAME]])-3),"")</f>
        <v>LARIZA, MELANIE DELA CRUZ</v>
      </c>
      <c r="L480" s="48">
        <f>IFERROR(DATEVALUE(TEXT(RIGHT(T_LEAVE[[#This Row],[LEAVE DATE]],LEN(T_LEAVE[[#This Row],[LEAVE DATE]])-6),"[$-en-US]d-mmm-yyyy;@")),"")</f>
        <v>44011</v>
      </c>
      <c r="M480" s="4" t="str">
        <f>IFERROR(TRIM(T_LEAVE[[#This Row],[TYPE]]),"")</f>
        <v>VACATION LEAVE</v>
      </c>
      <c r="N480" s="69" t="str">
        <f>IFERROR(VLOOKUP(T_LEAVE[[#This Row],[LEAVE TYPE]],T_LEAVETYPE[#All],2,0),"")</f>
        <v>VL</v>
      </c>
    </row>
    <row r="481" spans="2:14" x14ac:dyDescent="0.25">
      <c r="B481" s="93">
        <v>44009</v>
      </c>
      <c r="C481" s="48" t="s">
        <v>570</v>
      </c>
      <c r="D481" s="48" t="s">
        <v>666</v>
      </c>
      <c r="E481" s="4" t="s">
        <v>88</v>
      </c>
      <c r="F481" s="49">
        <v>1</v>
      </c>
      <c r="G481" s="4" t="s">
        <v>684</v>
      </c>
      <c r="I481" s="4" t="s">
        <v>149</v>
      </c>
      <c r="J481" s="4" t="s">
        <v>324</v>
      </c>
      <c r="K481" s="4" t="str">
        <f>IFERROR(LEFT(T_LEAVE[[#This Row],[EMPLOYEE NAME]],LEN(T_LEAVE[[#This Row],[EMPLOYEE NAME]])-3),"")</f>
        <v>LARIZA, MELANIE DELA CRUZ</v>
      </c>
      <c r="L481" s="48">
        <f>IFERROR(DATEVALUE(TEXT(RIGHT(T_LEAVE[[#This Row],[LEAVE DATE]],LEN(T_LEAVE[[#This Row],[LEAVE DATE]])-6),"[$-en-US]d-mmm-yyyy;@")),"")</f>
        <v>44012</v>
      </c>
      <c r="M481" s="4" t="str">
        <f>IFERROR(TRIM(T_LEAVE[[#This Row],[TYPE]]),"")</f>
        <v>VACATION LEAVE</v>
      </c>
      <c r="N481" s="69" t="str">
        <f>IFERROR(VLOOKUP(T_LEAVE[[#This Row],[LEAVE TYPE]],T_LEAVETYPE[#All],2,0),"")</f>
        <v>VL</v>
      </c>
    </row>
    <row r="482" spans="2:14" x14ac:dyDescent="0.25">
      <c r="B482" s="93">
        <v>44009</v>
      </c>
      <c r="C482" s="48" t="s">
        <v>685</v>
      </c>
      <c r="D482" s="48" t="s">
        <v>666</v>
      </c>
      <c r="E482" s="4" t="s">
        <v>88</v>
      </c>
      <c r="F482" s="49">
        <v>1</v>
      </c>
      <c r="G482" s="4" t="s">
        <v>684</v>
      </c>
      <c r="I482" s="4" t="s">
        <v>149</v>
      </c>
      <c r="J482" s="4" t="s">
        <v>324</v>
      </c>
      <c r="K482" s="4" t="str">
        <f>IFERROR(LEFT(T_LEAVE[[#This Row],[EMPLOYEE NAME]],LEN(T_LEAVE[[#This Row],[EMPLOYEE NAME]])-3),"")</f>
        <v>LARIZA, MELANIE DELA CRUZ</v>
      </c>
      <c r="L482" s="48">
        <f>IFERROR(DATEVALUE(TEXT(RIGHT(T_LEAVE[[#This Row],[LEAVE DATE]],LEN(T_LEAVE[[#This Row],[LEAVE DATE]])-6),"[$-en-US]d-mmm-yyyy;@")),"")</f>
        <v>44013</v>
      </c>
      <c r="M482" s="4" t="str">
        <f>IFERROR(TRIM(T_LEAVE[[#This Row],[TYPE]]),"")</f>
        <v>VACATION LEAVE</v>
      </c>
      <c r="N482" s="69" t="str">
        <f>IFERROR(VLOOKUP(T_LEAVE[[#This Row],[LEAVE TYPE]],T_LEAVETYPE[#All],2,0),"")</f>
        <v>VL</v>
      </c>
    </row>
    <row r="483" spans="2:14" x14ac:dyDescent="0.25">
      <c r="B483" s="93">
        <v>44012</v>
      </c>
      <c r="C483" s="48" t="s">
        <v>322</v>
      </c>
      <c r="D483" s="48" t="s">
        <v>317</v>
      </c>
      <c r="E483" s="4" t="s">
        <v>88</v>
      </c>
      <c r="F483" s="49">
        <v>1</v>
      </c>
      <c r="G483" s="4" t="s">
        <v>323</v>
      </c>
      <c r="I483" s="4" t="s">
        <v>149</v>
      </c>
      <c r="J483" s="4" t="s">
        <v>324</v>
      </c>
      <c r="K483" s="4" t="str">
        <f>IFERROR(LEFT(T_LEAVE[[#This Row],[EMPLOYEE NAME]],LEN(T_LEAVE[[#This Row],[EMPLOYEE NAME]])-3),"")</f>
        <v>BAUTISTA, JOY MARI</v>
      </c>
      <c r="L483" s="48">
        <f>IFERROR(DATEVALUE(TEXT(RIGHT(T_LEAVE[[#This Row],[LEAVE DATE]],LEN(T_LEAVE[[#This Row],[LEAVE DATE]])-6),"[$-en-US]d-mmm-yyyy;@")),"")</f>
        <v>44015</v>
      </c>
      <c r="M483" s="4" t="str">
        <f>IFERROR(TRIM(T_LEAVE[[#This Row],[TYPE]]),"")</f>
        <v>VACATION LEAVE</v>
      </c>
      <c r="N483" s="69" t="str">
        <f>IFERROR(VLOOKUP(T_LEAVE[[#This Row],[LEAVE TYPE]],T_LEAVETYPE[#All],2,0),"")</f>
        <v>VL</v>
      </c>
    </row>
    <row r="484" spans="2:14" x14ac:dyDescent="0.25">
      <c r="B484" s="93">
        <v>44012</v>
      </c>
      <c r="C484" s="48" t="s">
        <v>410</v>
      </c>
      <c r="D484" s="48" t="s">
        <v>382</v>
      </c>
      <c r="E484" s="4" t="s">
        <v>88</v>
      </c>
      <c r="F484" s="49">
        <v>1</v>
      </c>
      <c r="G484" s="4" t="s">
        <v>411</v>
      </c>
      <c r="I484" s="4" t="s">
        <v>149</v>
      </c>
      <c r="J484" s="4" t="s">
        <v>412</v>
      </c>
      <c r="K484" s="4" t="str">
        <f>IFERROR(LEFT(T_LEAVE[[#This Row],[EMPLOYEE NAME]],LEN(T_LEAVE[[#This Row],[EMPLOYEE NAME]])-3),"")</f>
        <v>CONSTANTINO, IAN ARCHIMEDES</v>
      </c>
      <c r="L484" s="48">
        <f>IFERROR(DATEVALUE(TEXT(RIGHT(T_LEAVE[[#This Row],[LEAVE DATE]],LEN(T_LEAVE[[#This Row],[LEAVE DATE]])-6),"[$-en-US]d-mmm-yyyy;@")),"")</f>
        <v>44011</v>
      </c>
      <c r="M484" s="4" t="str">
        <f>IFERROR(TRIM(T_LEAVE[[#This Row],[TYPE]]),"")</f>
        <v>VACATION LEAVE</v>
      </c>
      <c r="N484" s="69" t="str">
        <f>IFERROR(VLOOKUP(T_LEAVE[[#This Row],[LEAVE TYPE]],T_LEAVETYPE[#All],2,0),"")</f>
        <v>VL</v>
      </c>
    </row>
    <row r="485" spans="2:14" x14ac:dyDescent="0.25">
      <c r="B485" s="93">
        <v>44012</v>
      </c>
      <c r="C485" s="48" t="s">
        <v>410</v>
      </c>
      <c r="D485" s="48" t="s">
        <v>1004</v>
      </c>
      <c r="E485" s="4" t="s">
        <v>89</v>
      </c>
      <c r="F485" s="49">
        <v>1</v>
      </c>
      <c r="G485" s="4" t="s">
        <v>1018</v>
      </c>
      <c r="I485" s="4" t="s">
        <v>149</v>
      </c>
      <c r="J485" s="4" t="s">
        <v>1019</v>
      </c>
      <c r="K485" s="4" t="str">
        <f>IFERROR(LEFT(T_LEAVE[[#This Row],[EMPLOYEE NAME]],LEN(T_LEAVE[[#This Row],[EMPLOYEE NAME]])-3),"")</f>
        <v>VALENCIA, WINDSOR ROBERT</v>
      </c>
      <c r="L485" s="48">
        <f>IFERROR(DATEVALUE(TEXT(RIGHT(T_LEAVE[[#This Row],[LEAVE DATE]],LEN(T_LEAVE[[#This Row],[LEAVE DATE]])-6),"[$-en-US]d-mmm-yyyy;@")),"")</f>
        <v>44011</v>
      </c>
      <c r="M485" s="4" t="str">
        <f>IFERROR(TRIM(T_LEAVE[[#This Row],[TYPE]]),"")</f>
        <v>SICK LEAVE</v>
      </c>
      <c r="N485" s="69" t="str">
        <f>IFERROR(VLOOKUP(T_LEAVE[[#This Row],[LEAVE TYPE]],T_LEAVETYPE[#All],2,0),"")</f>
        <v>SL</v>
      </c>
    </row>
    <row r="486" spans="2:14" x14ac:dyDescent="0.25">
      <c r="B486" s="93">
        <v>44013</v>
      </c>
      <c r="C486" s="48" t="s">
        <v>570</v>
      </c>
      <c r="D486" s="48" t="s">
        <v>899</v>
      </c>
      <c r="E486" s="4" t="s">
        <v>89</v>
      </c>
      <c r="F486" s="49">
        <v>1</v>
      </c>
      <c r="G486" s="4" t="s">
        <v>916</v>
      </c>
      <c r="I486" s="4" t="s">
        <v>149</v>
      </c>
      <c r="J486" s="4" t="s">
        <v>821</v>
      </c>
      <c r="K486" s="4" t="str">
        <f>IFERROR(LEFT(T_LEAVE[[#This Row],[EMPLOYEE NAME]],LEN(T_LEAVE[[#This Row],[EMPLOYEE NAME]])-3),"")</f>
        <v>PATULOT, MARIROSE</v>
      </c>
      <c r="L486" s="48">
        <f>IFERROR(DATEVALUE(TEXT(RIGHT(T_LEAVE[[#This Row],[LEAVE DATE]],LEN(T_LEAVE[[#This Row],[LEAVE DATE]])-6),"[$-en-US]d-mmm-yyyy;@")),"")</f>
        <v>44012</v>
      </c>
      <c r="M486" s="4" t="str">
        <f>IFERROR(TRIM(T_LEAVE[[#This Row],[TYPE]]),"")</f>
        <v>SICK LEAVE</v>
      </c>
      <c r="N486" s="69" t="str">
        <f>IFERROR(VLOOKUP(T_LEAVE[[#This Row],[LEAVE TYPE]],T_LEAVETYPE[#All],2,0),"")</f>
        <v>SL</v>
      </c>
    </row>
    <row r="487" spans="2:14" x14ac:dyDescent="0.25">
      <c r="B487" s="93">
        <v>44017</v>
      </c>
      <c r="C487" s="48" t="s">
        <v>570</v>
      </c>
      <c r="D487" s="48" t="s">
        <v>558</v>
      </c>
      <c r="E487" s="4" t="s">
        <v>88</v>
      </c>
      <c r="F487" s="49">
        <v>1</v>
      </c>
      <c r="G487" s="4" t="s">
        <v>571</v>
      </c>
      <c r="I487" s="4" t="s">
        <v>149</v>
      </c>
      <c r="J487" s="4" t="s">
        <v>572</v>
      </c>
      <c r="K487" s="4" t="str">
        <f>IFERROR(LEFT(T_LEAVE[[#This Row],[EMPLOYEE NAME]],LEN(T_LEAVE[[#This Row],[EMPLOYEE NAME]])-3),"")</f>
        <v>GONZALES, MA-ANNE</v>
      </c>
      <c r="L487" s="48">
        <f>IFERROR(DATEVALUE(TEXT(RIGHT(T_LEAVE[[#This Row],[LEAVE DATE]],LEN(T_LEAVE[[#This Row],[LEAVE DATE]])-6),"[$-en-US]d-mmm-yyyy;@")),"")</f>
        <v>44012</v>
      </c>
      <c r="M487" s="4" t="str">
        <f>IFERROR(TRIM(T_LEAVE[[#This Row],[TYPE]]),"")</f>
        <v>VACATION LEAVE</v>
      </c>
      <c r="N487" s="69" t="str">
        <f>IFERROR(VLOOKUP(T_LEAVE[[#This Row],[LEAVE TYPE]],T_LEAVETYPE[#All],2,0),"")</f>
        <v>VL</v>
      </c>
    </row>
    <row r="488" spans="2:14" x14ac:dyDescent="0.25">
      <c r="B488" s="93">
        <v>44019</v>
      </c>
      <c r="C488" s="48" t="s">
        <v>290</v>
      </c>
      <c r="D488" s="48" t="s">
        <v>256</v>
      </c>
      <c r="E488" s="4" t="s">
        <v>89</v>
      </c>
      <c r="F488" s="49">
        <v>1</v>
      </c>
      <c r="G488" s="4" t="s">
        <v>291</v>
      </c>
      <c r="I488" s="4" t="s">
        <v>149</v>
      </c>
      <c r="J488" s="4" t="s">
        <v>292</v>
      </c>
      <c r="K488" s="4" t="str">
        <f>IFERROR(LEFT(T_LEAVE[[#This Row],[EMPLOYEE NAME]],LEN(T_LEAVE[[#This Row],[EMPLOYEE NAME]])-3),"")</f>
        <v>BALICAS, IRISH ANN</v>
      </c>
      <c r="L488" s="48">
        <f>IFERROR(DATEVALUE(TEXT(RIGHT(T_LEAVE[[#This Row],[LEAVE DATE]],LEN(T_LEAVE[[#This Row],[LEAVE DATE]])-6),"[$-en-US]d-mmm-yyyy;@")),"")</f>
        <v>44017</v>
      </c>
      <c r="M488" s="4" t="str">
        <f>IFERROR(TRIM(T_LEAVE[[#This Row],[TYPE]]),"")</f>
        <v>SICK LEAVE</v>
      </c>
      <c r="N488" s="69" t="str">
        <f>IFERROR(VLOOKUP(T_LEAVE[[#This Row],[LEAVE TYPE]],T_LEAVETYPE[#All],2,0),"")</f>
        <v>SL</v>
      </c>
    </row>
    <row r="489" spans="2:14" x14ac:dyDescent="0.25">
      <c r="B489" s="93">
        <v>44019</v>
      </c>
      <c r="C489" s="48" t="s">
        <v>293</v>
      </c>
      <c r="D489" s="48" t="s">
        <v>256</v>
      </c>
      <c r="E489" s="4" t="s">
        <v>89</v>
      </c>
      <c r="F489" s="49">
        <v>1</v>
      </c>
      <c r="G489" s="4" t="s">
        <v>291</v>
      </c>
      <c r="I489" s="4" t="s">
        <v>149</v>
      </c>
      <c r="J489" s="4" t="s">
        <v>292</v>
      </c>
      <c r="K489" s="4" t="str">
        <f>IFERROR(LEFT(T_LEAVE[[#This Row],[EMPLOYEE NAME]],LEN(T_LEAVE[[#This Row],[EMPLOYEE NAME]])-3),"")</f>
        <v>BALICAS, IRISH ANN</v>
      </c>
      <c r="L489" s="48">
        <f>IFERROR(DATEVALUE(TEXT(RIGHT(T_LEAVE[[#This Row],[LEAVE DATE]],LEN(T_LEAVE[[#This Row],[LEAVE DATE]])-6),"[$-en-US]d-mmm-yyyy;@")),"")</f>
        <v>44018</v>
      </c>
      <c r="M489" s="4" t="str">
        <f>IFERROR(TRIM(T_LEAVE[[#This Row],[TYPE]]),"")</f>
        <v>SICK LEAVE</v>
      </c>
      <c r="N489" s="69" t="str">
        <f>IFERROR(VLOOKUP(T_LEAVE[[#This Row],[LEAVE TYPE]],T_LEAVETYPE[#All],2,0),"")</f>
        <v>SL</v>
      </c>
    </row>
    <row r="490" spans="2:14" x14ac:dyDescent="0.25">
      <c r="B490" s="93">
        <v>44019</v>
      </c>
      <c r="C490" s="48" t="s">
        <v>294</v>
      </c>
      <c r="D490" s="48" t="s">
        <v>256</v>
      </c>
      <c r="E490" s="4" t="s">
        <v>89</v>
      </c>
      <c r="F490" s="49">
        <v>1</v>
      </c>
      <c r="G490" s="4" t="s">
        <v>291</v>
      </c>
      <c r="I490" s="4" t="s">
        <v>149</v>
      </c>
      <c r="J490" s="4" t="s">
        <v>292</v>
      </c>
      <c r="K490" s="4" t="str">
        <f>IFERROR(LEFT(T_LEAVE[[#This Row],[EMPLOYEE NAME]],LEN(T_LEAVE[[#This Row],[EMPLOYEE NAME]])-3),"")</f>
        <v>BALICAS, IRISH ANN</v>
      </c>
      <c r="L490" s="48">
        <f>IFERROR(DATEVALUE(TEXT(RIGHT(T_LEAVE[[#This Row],[LEAVE DATE]],LEN(T_LEAVE[[#This Row],[LEAVE DATE]])-6),"[$-en-US]d-mmm-yyyy;@")),"")</f>
        <v>44019</v>
      </c>
      <c r="M490" s="4" t="str">
        <f>IFERROR(TRIM(T_LEAVE[[#This Row],[TYPE]]),"")</f>
        <v>SICK LEAVE</v>
      </c>
      <c r="N490" s="69" t="str">
        <f>IFERROR(VLOOKUP(T_LEAVE[[#This Row],[LEAVE TYPE]],T_LEAVETYPE[#All],2,0),"")</f>
        <v>SL</v>
      </c>
    </row>
    <row r="491" spans="2:14" x14ac:dyDescent="0.25">
      <c r="B491" s="93">
        <v>44020</v>
      </c>
      <c r="C491" s="48" t="s">
        <v>491</v>
      </c>
      <c r="D491" s="48" t="s">
        <v>834</v>
      </c>
      <c r="E491" s="4" t="s">
        <v>89</v>
      </c>
      <c r="F491" s="49">
        <v>1</v>
      </c>
      <c r="G491" s="4" t="s">
        <v>841</v>
      </c>
      <c r="I491" s="4" t="s">
        <v>149</v>
      </c>
      <c r="J491" s="4" t="s">
        <v>842</v>
      </c>
      <c r="K491" s="4" t="str">
        <f>IFERROR(LEFT(T_LEAVE[[#This Row],[EMPLOYEE NAME]],LEN(T_LEAVE[[#This Row],[EMPLOYEE NAME]])-3),"")</f>
        <v>MARINAS, ELMERA</v>
      </c>
      <c r="L491" s="48">
        <f>IFERROR(DATEVALUE(TEXT(RIGHT(T_LEAVE[[#This Row],[LEAVE DATE]],LEN(T_LEAVE[[#This Row],[LEAVE DATE]])-6),"[$-en-US]d-mmm-yyyy;@")),"")</f>
        <v>44020</v>
      </c>
      <c r="M491" s="4" t="str">
        <f>IFERROR(TRIM(T_LEAVE[[#This Row],[TYPE]]),"")</f>
        <v>SICK LEAVE</v>
      </c>
      <c r="N491" s="69" t="str">
        <f>IFERROR(VLOOKUP(T_LEAVE[[#This Row],[LEAVE TYPE]],T_LEAVETYPE[#All],2,0),"")</f>
        <v>SL</v>
      </c>
    </row>
    <row r="492" spans="2:14" x14ac:dyDescent="0.25">
      <c r="B492" s="93">
        <v>44020</v>
      </c>
      <c r="C492" s="48" t="s">
        <v>294</v>
      </c>
      <c r="D492" s="48" t="s">
        <v>1004</v>
      </c>
      <c r="E492" s="4" t="s">
        <v>89</v>
      </c>
      <c r="F492" s="49">
        <v>1</v>
      </c>
      <c r="G492" s="4" t="s">
        <v>1017</v>
      </c>
      <c r="I492" s="4" t="s">
        <v>149</v>
      </c>
      <c r="J492" s="4" t="s">
        <v>842</v>
      </c>
      <c r="K492" s="4" t="str">
        <f>IFERROR(LEFT(T_LEAVE[[#This Row],[EMPLOYEE NAME]],LEN(T_LEAVE[[#This Row],[EMPLOYEE NAME]])-3),"")</f>
        <v>VALENCIA, WINDSOR ROBERT</v>
      </c>
      <c r="L492" s="48">
        <f>IFERROR(DATEVALUE(TEXT(RIGHT(T_LEAVE[[#This Row],[LEAVE DATE]],LEN(T_LEAVE[[#This Row],[LEAVE DATE]])-6),"[$-en-US]d-mmm-yyyy;@")),"")</f>
        <v>44019</v>
      </c>
      <c r="M492" s="4" t="str">
        <f>IFERROR(TRIM(T_LEAVE[[#This Row],[TYPE]]),"")</f>
        <v>SICK LEAVE</v>
      </c>
      <c r="N492" s="69" t="str">
        <f>IFERROR(VLOOKUP(T_LEAVE[[#This Row],[LEAVE TYPE]],T_LEAVETYPE[#All],2,0),"")</f>
        <v>SL</v>
      </c>
    </row>
    <row r="493" spans="2:14" x14ac:dyDescent="0.25">
      <c r="B493" s="93">
        <v>44020</v>
      </c>
      <c r="C493" s="48" t="s">
        <v>294</v>
      </c>
      <c r="D493" s="48" t="s">
        <v>1064</v>
      </c>
      <c r="E493" s="4" t="s">
        <v>89</v>
      </c>
      <c r="F493" s="49">
        <v>1</v>
      </c>
      <c r="G493" s="4" t="s">
        <v>51</v>
      </c>
      <c r="I493" s="4" t="s">
        <v>149</v>
      </c>
      <c r="J493" s="4" t="s">
        <v>842</v>
      </c>
      <c r="K493" s="4" t="str">
        <f>IFERROR(LEFT(T_LEAVE[[#This Row],[EMPLOYEE NAME]],LEN(T_LEAVE[[#This Row],[EMPLOYEE NAME]])-3),"")</f>
        <v>VIADO, DANAH LORRAINE</v>
      </c>
      <c r="L493" s="48">
        <f>IFERROR(DATEVALUE(TEXT(RIGHT(T_LEAVE[[#This Row],[LEAVE DATE]],LEN(T_LEAVE[[#This Row],[LEAVE DATE]])-6),"[$-en-US]d-mmm-yyyy;@")),"")</f>
        <v>44019</v>
      </c>
      <c r="M493" s="4" t="str">
        <f>IFERROR(TRIM(T_LEAVE[[#This Row],[TYPE]]),"")</f>
        <v>SICK LEAVE</v>
      </c>
      <c r="N493" s="69" t="str">
        <f>IFERROR(VLOOKUP(T_LEAVE[[#This Row],[LEAVE TYPE]],T_LEAVETYPE[#All],2,0),"")</f>
        <v>SL</v>
      </c>
    </row>
    <row r="494" spans="2:14" x14ac:dyDescent="0.25">
      <c r="B494" s="93">
        <v>44021</v>
      </c>
      <c r="C494" s="48" t="s">
        <v>894</v>
      </c>
      <c r="D494" s="48" t="s">
        <v>889</v>
      </c>
      <c r="E494" s="4" t="s">
        <v>88</v>
      </c>
      <c r="F494" s="49">
        <v>1</v>
      </c>
      <c r="G494" s="4" t="s">
        <v>895</v>
      </c>
      <c r="I494" s="4" t="s">
        <v>149</v>
      </c>
      <c r="J494" s="4" t="s">
        <v>896</v>
      </c>
      <c r="K494" s="4" t="str">
        <f>IFERROR(LEFT(T_LEAVE[[#This Row],[EMPLOYEE NAME]],LEN(T_LEAVE[[#This Row],[EMPLOYEE NAME]])-3),"")</f>
        <v>MONTIEL, HEIZEL</v>
      </c>
      <c r="L494" s="48">
        <f>IFERROR(DATEVALUE(TEXT(RIGHT(T_LEAVE[[#This Row],[LEAVE DATE]],LEN(T_LEAVE[[#This Row],[LEAVE DATE]])-6),"[$-en-US]d-mmm-yyyy;@")),"")</f>
        <v>44039</v>
      </c>
      <c r="M494" s="4" t="str">
        <f>IFERROR(TRIM(T_LEAVE[[#This Row],[TYPE]]),"")</f>
        <v>VACATION LEAVE</v>
      </c>
      <c r="N494" s="69" t="str">
        <f>IFERROR(VLOOKUP(T_LEAVE[[#This Row],[LEAVE TYPE]],T_LEAVETYPE[#All],2,0),"")</f>
        <v>VL</v>
      </c>
    </row>
    <row r="495" spans="2:14" x14ac:dyDescent="0.25">
      <c r="B495" s="93">
        <v>44026</v>
      </c>
      <c r="C495" s="48" t="s">
        <v>413</v>
      </c>
      <c r="D495" s="48" t="s">
        <v>382</v>
      </c>
      <c r="E495" s="4" t="s">
        <v>88</v>
      </c>
      <c r="F495" s="49">
        <v>1</v>
      </c>
      <c r="G495" s="4" t="s">
        <v>414</v>
      </c>
      <c r="I495" s="4" t="s">
        <v>149</v>
      </c>
      <c r="J495" s="4" t="s">
        <v>415</v>
      </c>
      <c r="K495" s="4" t="str">
        <f>IFERROR(LEFT(T_LEAVE[[#This Row],[EMPLOYEE NAME]],LEN(T_LEAVE[[#This Row],[EMPLOYEE NAME]])-3),"")</f>
        <v>CONSTANTINO, IAN ARCHIMEDES</v>
      </c>
      <c r="L495" s="48">
        <f>IFERROR(DATEVALUE(TEXT(RIGHT(T_LEAVE[[#This Row],[LEAVE DATE]],LEN(T_LEAVE[[#This Row],[LEAVE DATE]])-6),"[$-en-US]d-mmm-yyyy;@")),"")</f>
        <v>44051</v>
      </c>
      <c r="M495" s="4" t="str">
        <f>IFERROR(TRIM(T_LEAVE[[#This Row],[TYPE]]),"")</f>
        <v>VACATION LEAVE</v>
      </c>
      <c r="N495" s="69" t="str">
        <f>IFERROR(VLOOKUP(T_LEAVE[[#This Row],[LEAVE TYPE]],T_LEAVETYPE[#All],2,0),"")</f>
        <v>VL</v>
      </c>
    </row>
    <row r="496" spans="2:14" x14ac:dyDescent="0.25">
      <c r="B496" s="93">
        <v>44028</v>
      </c>
      <c r="C496" s="48" t="s">
        <v>573</v>
      </c>
      <c r="D496" s="48" t="s">
        <v>558</v>
      </c>
      <c r="E496" s="4" t="s">
        <v>89</v>
      </c>
      <c r="F496" s="49">
        <v>1</v>
      </c>
      <c r="G496" s="4" t="s">
        <v>574</v>
      </c>
      <c r="I496" s="4" t="s">
        <v>149</v>
      </c>
      <c r="J496" s="4" t="s">
        <v>415</v>
      </c>
      <c r="K496" s="4" t="str">
        <f>IFERROR(LEFT(T_LEAVE[[#This Row],[EMPLOYEE NAME]],LEN(T_LEAVE[[#This Row],[EMPLOYEE NAME]])-3),"")</f>
        <v>GONZALES, MA-ANNE</v>
      </c>
      <c r="L496" s="48">
        <f>IFERROR(DATEVALUE(TEXT(RIGHT(T_LEAVE[[#This Row],[LEAVE DATE]],LEN(T_LEAVE[[#This Row],[LEAVE DATE]])-6),"[$-en-US]d-mmm-yyyy;@")),"")</f>
        <v>44026</v>
      </c>
      <c r="M496" s="4" t="str">
        <f>IFERROR(TRIM(T_LEAVE[[#This Row],[TYPE]]),"")</f>
        <v>SICK LEAVE</v>
      </c>
      <c r="N496" s="69" t="str">
        <f>IFERROR(VLOOKUP(T_LEAVE[[#This Row],[LEAVE TYPE]],T_LEAVETYPE[#All],2,0),"")</f>
        <v>SL</v>
      </c>
    </row>
    <row r="497" spans="2:14" x14ac:dyDescent="0.25">
      <c r="B497" s="93">
        <v>44029</v>
      </c>
      <c r="C497" s="48" t="s">
        <v>1052</v>
      </c>
      <c r="D497" s="48" t="s">
        <v>1033</v>
      </c>
      <c r="E497" s="4" t="s">
        <v>88</v>
      </c>
      <c r="F497" s="49">
        <v>1</v>
      </c>
      <c r="G497" s="4" t="s">
        <v>52</v>
      </c>
      <c r="I497" s="4" t="s">
        <v>149</v>
      </c>
      <c r="J497" s="4" t="s">
        <v>415</v>
      </c>
      <c r="K497" s="4" t="str">
        <f>IFERROR(LEFT(T_LEAVE[[#This Row],[EMPLOYEE NAME]],LEN(T_LEAVE[[#This Row],[EMPLOYEE NAME]])-3),"")</f>
        <v>VALLADARES, ALLEN</v>
      </c>
      <c r="L497" s="48">
        <f>IFERROR(DATEVALUE(TEXT(RIGHT(T_LEAVE[[#This Row],[LEAVE DATE]],LEN(T_LEAVE[[#This Row],[LEAVE DATE]])-6),"[$-en-US]d-mmm-yyyy;@")),"")</f>
        <v>44036</v>
      </c>
      <c r="M497" s="4" t="str">
        <f>IFERROR(TRIM(T_LEAVE[[#This Row],[TYPE]]),"")</f>
        <v>VACATION LEAVE</v>
      </c>
      <c r="N497" s="69" t="str">
        <f>IFERROR(VLOOKUP(T_LEAVE[[#This Row],[LEAVE TYPE]],T_LEAVETYPE[#All],2,0),"")</f>
        <v>VL</v>
      </c>
    </row>
    <row r="498" spans="2:14" x14ac:dyDescent="0.25">
      <c r="B498" s="93">
        <v>44030</v>
      </c>
      <c r="C498" s="48" t="s">
        <v>619</v>
      </c>
      <c r="D498" s="48" t="s">
        <v>602</v>
      </c>
      <c r="E498" s="4" t="s">
        <v>89</v>
      </c>
      <c r="F498" s="49">
        <v>1</v>
      </c>
      <c r="G498" s="4" t="s">
        <v>620</v>
      </c>
      <c r="I498" s="4" t="s">
        <v>149</v>
      </c>
      <c r="J498" s="4" t="s">
        <v>621</v>
      </c>
      <c r="K498" s="4" t="str">
        <f>IFERROR(LEFT(T_LEAVE[[#This Row],[EMPLOYEE NAME]],LEN(T_LEAVE[[#This Row],[EMPLOYEE NAME]])-3),"")</f>
        <v>HIPOLITO, JOYCE ANN KENETH</v>
      </c>
      <c r="L498" s="48">
        <f>IFERROR(DATEVALUE(TEXT(RIGHT(T_LEAVE[[#This Row],[LEAVE DATE]],LEN(T_LEAVE[[#This Row],[LEAVE DATE]])-6),"[$-en-US]d-mmm-yyyy;@")),"")</f>
        <v>44028</v>
      </c>
      <c r="M498" s="4" t="str">
        <f>IFERROR(TRIM(T_LEAVE[[#This Row],[TYPE]]),"")</f>
        <v>SICK LEAVE</v>
      </c>
      <c r="N498" s="69" t="str">
        <f>IFERROR(VLOOKUP(T_LEAVE[[#This Row],[LEAVE TYPE]],T_LEAVETYPE[#All],2,0),"")</f>
        <v>SL</v>
      </c>
    </row>
    <row r="499" spans="2:14" x14ac:dyDescent="0.25">
      <c r="B499" s="93">
        <v>44030</v>
      </c>
      <c r="C499" s="48" t="s">
        <v>619</v>
      </c>
      <c r="D499" s="48" t="s">
        <v>1100</v>
      </c>
      <c r="E499" s="4" t="s">
        <v>89</v>
      </c>
      <c r="F499" s="49">
        <v>1</v>
      </c>
      <c r="G499" s="4" t="s">
        <v>1111</v>
      </c>
      <c r="I499" s="4" t="s">
        <v>149</v>
      </c>
      <c r="J499" s="4" t="s">
        <v>1112</v>
      </c>
      <c r="K499" s="4" t="str">
        <f>IFERROR(LEFT(T_LEAVE[[#This Row],[EMPLOYEE NAME]],LEN(T_LEAVE[[#This Row],[EMPLOYEE NAME]])-3),"")</f>
        <v>VILLAFLOR, REA</v>
      </c>
      <c r="L499" s="48">
        <f>IFERROR(DATEVALUE(TEXT(RIGHT(T_LEAVE[[#This Row],[LEAVE DATE]],LEN(T_LEAVE[[#This Row],[LEAVE DATE]])-6),"[$-en-US]d-mmm-yyyy;@")),"")</f>
        <v>44028</v>
      </c>
      <c r="M499" s="4" t="str">
        <f>IFERROR(TRIM(T_LEAVE[[#This Row],[TYPE]]),"")</f>
        <v>SICK LEAVE</v>
      </c>
      <c r="N499" s="69" t="str">
        <f>IFERROR(VLOOKUP(T_LEAVE[[#This Row],[LEAVE TYPE]],T_LEAVETYPE[#All],2,0),"")</f>
        <v>SL</v>
      </c>
    </row>
    <row r="500" spans="2:14" x14ac:dyDescent="0.25">
      <c r="B500" s="93">
        <v>44031</v>
      </c>
      <c r="C500" s="48" t="s">
        <v>301</v>
      </c>
      <c r="D500" s="48" t="s">
        <v>558</v>
      </c>
      <c r="E500" s="4" t="s">
        <v>88</v>
      </c>
      <c r="F500" s="49">
        <v>1</v>
      </c>
      <c r="G500" s="4" t="s">
        <v>386</v>
      </c>
      <c r="I500" s="4" t="s">
        <v>149</v>
      </c>
      <c r="J500" s="4" t="s">
        <v>575</v>
      </c>
      <c r="K500" s="4" t="str">
        <f>IFERROR(LEFT(T_LEAVE[[#This Row],[EMPLOYEE NAME]],LEN(T_LEAVE[[#This Row],[EMPLOYEE NAME]])-3),"")</f>
        <v>GONZALES, MA-ANNE</v>
      </c>
      <c r="L500" s="48">
        <f>IFERROR(DATEVALUE(TEXT(RIGHT(T_LEAVE[[#This Row],[LEAVE DATE]],LEN(T_LEAVE[[#This Row],[LEAVE DATE]])-6),"[$-en-US]d-mmm-yyyy;@")),"")</f>
        <v>44049</v>
      </c>
      <c r="M500" s="4" t="str">
        <f>IFERROR(TRIM(T_LEAVE[[#This Row],[TYPE]]),"")</f>
        <v>VACATION LEAVE</v>
      </c>
      <c r="N500" s="69" t="str">
        <f>IFERROR(VLOOKUP(T_LEAVE[[#This Row],[LEAVE TYPE]],T_LEAVETYPE[#All],2,0),"")</f>
        <v>VL</v>
      </c>
    </row>
    <row r="501" spans="2:14" x14ac:dyDescent="0.25">
      <c r="B501" s="93">
        <v>44031</v>
      </c>
      <c r="C501" s="48" t="s">
        <v>295</v>
      </c>
      <c r="D501" s="48" t="s">
        <v>1004</v>
      </c>
      <c r="E501" s="4" t="s">
        <v>88</v>
      </c>
      <c r="F501" s="49">
        <v>1</v>
      </c>
      <c r="G501" s="4" t="s">
        <v>195</v>
      </c>
      <c r="I501" s="4" t="s">
        <v>149</v>
      </c>
      <c r="J501" s="4" t="s">
        <v>1020</v>
      </c>
      <c r="K501" s="4" t="str">
        <f>IFERROR(LEFT(T_LEAVE[[#This Row],[EMPLOYEE NAME]],LEN(T_LEAVE[[#This Row],[EMPLOYEE NAME]])-3),"")</f>
        <v>VALENCIA, WINDSOR ROBERT</v>
      </c>
      <c r="L501" s="48">
        <f>IFERROR(DATEVALUE(TEXT(RIGHT(T_LEAVE[[#This Row],[LEAVE DATE]],LEN(T_LEAVE[[#This Row],[LEAVE DATE]])-6),"[$-en-US]d-mmm-yyyy;@")),"")</f>
        <v>44045</v>
      </c>
      <c r="M501" s="4" t="str">
        <f>IFERROR(TRIM(T_LEAVE[[#This Row],[TYPE]]),"")</f>
        <v>VACATION LEAVE</v>
      </c>
      <c r="N501" s="69" t="str">
        <f>IFERROR(VLOOKUP(T_LEAVE[[#This Row],[LEAVE TYPE]],T_LEAVETYPE[#All],2,0),"")</f>
        <v>VL</v>
      </c>
    </row>
    <row r="502" spans="2:14" x14ac:dyDescent="0.25">
      <c r="B502" s="93">
        <v>44032</v>
      </c>
      <c r="C502" s="48" t="s">
        <v>725</v>
      </c>
      <c r="D502" s="48" t="s">
        <v>691</v>
      </c>
      <c r="E502" s="4" t="s">
        <v>698</v>
      </c>
      <c r="F502" s="49">
        <v>1</v>
      </c>
      <c r="G502" s="4" t="s">
        <v>726</v>
      </c>
      <c r="H502" s="4" t="s">
        <v>165</v>
      </c>
      <c r="I502" s="4" t="s">
        <v>149</v>
      </c>
      <c r="J502" s="4" t="s">
        <v>621</v>
      </c>
      <c r="K502" s="4" t="str">
        <f>IFERROR(LEFT(T_LEAVE[[#This Row],[EMPLOYEE NAME]],LEN(T_LEAVE[[#This Row],[EMPLOYEE NAME]])-3),"")</f>
        <v>LATUGA, PHOEBE</v>
      </c>
      <c r="L502" s="48">
        <f>IFERROR(DATEVALUE(TEXT(RIGHT(T_LEAVE[[#This Row],[LEAVE DATE]],LEN(T_LEAVE[[#This Row],[LEAVE DATE]])-6),"[$-en-US]d-mmm-yyyy;@")),"")</f>
        <v>44034</v>
      </c>
      <c r="M502" s="4" t="str">
        <f>IFERROR(TRIM(T_LEAVE[[#This Row],[TYPE]]),"")</f>
        <v>SOLO PARENT LEAVE</v>
      </c>
      <c r="N502" s="69" t="str">
        <f>IFERROR(VLOOKUP(T_LEAVE[[#This Row],[LEAVE TYPE]],T_LEAVETYPE[#All],2,0),"")</f>
        <v/>
      </c>
    </row>
    <row r="503" spans="2:14" x14ac:dyDescent="0.25">
      <c r="B503" s="93">
        <v>44032</v>
      </c>
      <c r="C503" s="48" t="s">
        <v>1049</v>
      </c>
      <c r="D503" s="48" t="s">
        <v>1033</v>
      </c>
      <c r="E503" s="4" t="s">
        <v>89</v>
      </c>
      <c r="F503" s="49">
        <v>1</v>
      </c>
      <c r="G503" s="4" t="s">
        <v>1050</v>
      </c>
      <c r="I503" s="4" t="s">
        <v>149</v>
      </c>
      <c r="J503" s="4" t="s">
        <v>1051</v>
      </c>
      <c r="K503" s="4" t="str">
        <f>IFERROR(LEFT(T_LEAVE[[#This Row],[EMPLOYEE NAME]],LEN(T_LEAVE[[#This Row],[EMPLOYEE NAME]])-3),"")</f>
        <v>VALLADARES, ALLEN</v>
      </c>
      <c r="L503" s="48">
        <f>IFERROR(DATEVALUE(TEXT(RIGHT(T_LEAVE[[#This Row],[LEAVE DATE]],LEN(T_LEAVE[[#This Row],[LEAVE DATE]])-6),"[$-en-US]d-mmm-yyyy;@")),"")</f>
        <v>44029</v>
      </c>
      <c r="M503" s="4" t="str">
        <f>IFERROR(TRIM(T_LEAVE[[#This Row],[TYPE]]),"")</f>
        <v>SICK LEAVE</v>
      </c>
      <c r="N503" s="69" t="str">
        <f>IFERROR(VLOOKUP(T_LEAVE[[#This Row],[LEAVE TYPE]],T_LEAVETYPE[#All],2,0),"")</f>
        <v>SL</v>
      </c>
    </row>
    <row r="504" spans="2:14" x14ac:dyDescent="0.25">
      <c r="B504" s="93">
        <v>44032</v>
      </c>
      <c r="C504" s="48" t="s">
        <v>573</v>
      </c>
      <c r="D504" s="48" t="s">
        <v>1064</v>
      </c>
      <c r="E504" s="4" t="s">
        <v>89</v>
      </c>
      <c r="F504" s="49">
        <v>1</v>
      </c>
      <c r="G504" s="4" t="s">
        <v>51</v>
      </c>
      <c r="I504" s="4" t="s">
        <v>149</v>
      </c>
      <c r="J504" s="4" t="s">
        <v>1070</v>
      </c>
      <c r="K504" s="4" t="str">
        <f>IFERROR(LEFT(T_LEAVE[[#This Row],[EMPLOYEE NAME]],LEN(T_LEAVE[[#This Row],[EMPLOYEE NAME]])-3),"")</f>
        <v>VIADO, DANAH LORRAINE</v>
      </c>
      <c r="L504" s="48">
        <f>IFERROR(DATEVALUE(TEXT(RIGHT(T_LEAVE[[#This Row],[LEAVE DATE]],LEN(T_LEAVE[[#This Row],[LEAVE DATE]])-6),"[$-en-US]d-mmm-yyyy;@")),"")</f>
        <v>44026</v>
      </c>
      <c r="M504" s="4" t="str">
        <f>IFERROR(TRIM(T_LEAVE[[#This Row],[TYPE]]),"")</f>
        <v>SICK LEAVE</v>
      </c>
      <c r="N504" s="69" t="str">
        <f>IFERROR(VLOOKUP(T_LEAVE[[#This Row],[LEAVE TYPE]],T_LEAVETYPE[#All],2,0),"")</f>
        <v>SL</v>
      </c>
    </row>
    <row r="505" spans="2:14" x14ac:dyDescent="0.25">
      <c r="B505" s="93">
        <v>44032</v>
      </c>
      <c r="C505" s="48" t="s">
        <v>1071</v>
      </c>
      <c r="D505" s="48" t="s">
        <v>1064</v>
      </c>
      <c r="E505" s="4" t="s">
        <v>89</v>
      </c>
      <c r="F505" s="49">
        <v>1</v>
      </c>
      <c r="G505" s="4" t="s">
        <v>51</v>
      </c>
      <c r="I505" s="4" t="s">
        <v>149</v>
      </c>
      <c r="J505" s="4" t="s">
        <v>1070</v>
      </c>
      <c r="K505" s="4" t="str">
        <f>IFERROR(LEFT(T_LEAVE[[#This Row],[EMPLOYEE NAME]],LEN(T_LEAVE[[#This Row],[EMPLOYEE NAME]])-3),"")</f>
        <v>VIADO, DANAH LORRAINE</v>
      </c>
      <c r="L505" s="48">
        <f>IFERROR(DATEVALUE(TEXT(RIGHT(T_LEAVE[[#This Row],[LEAVE DATE]],LEN(T_LEAVE[[#This Row],[LEAVE DATE]])-6),"[$-en-US]d-mmm-yyyy;@")),"")</f>
        <v>44027</v>
      </c>
      <c r="M505" s="4" t="str">
        <f>IFERROR(TRIM(T_LEAVE[[#This Row],[TYPE]]),"")</f>
        <v>SICK LEAVE</v>
      </c>
      <c r="N505" s="69" t="str">
        <f>IFERROR(VLOOKUP(T_LEAVE[[#This Row],[LEAVE TYPE]],T_LEAVETYPE[#All],2,0),"")</f>
        <v>SL</v>
      </c>
    </row>
    <row r="506" spans="2:14" x14ac:dyDescent="0.25">
      <c r="B506" s="93">
        <v>44032</v>
      </c>
      <c r="C506" s="48" t="s">
        <v>619</v>
      </c>
      <c r="D506" s="48" t="s">
        <v>1064</v>
      </c>
      <c r="E506" s="4" t="s">
        <v>89</v>
      </c>
      <c r="F506" s="49">
        <v>1</v>
      </c>
      <c r="G506" s="4" t="s">
        <v>51</v>
      </c>
      <c r="I506" s="4" t="s">
        <v>149</v>
      </c>
      <c r="J506" s="4" t="s">
        <v>1072</v>
      </c>
      <c r="K506" s="4" t="str">
        <f>IFERROR(LEFT(T_LEAVE[[#This Row],[EMPLOYEE NAME]],LEN(T_LEAVE[[#This Row],[EMPLOYEE NAME]])-3),"")</f>
        <v>VIADO, DANAH LORRAINE</v>
      </c>
      <c r="L506" s="48">
        <f>IFERROR(DATEVALUE(TEXT(RIGHT(T_LEAVE[[#This Row],[LEAVE DATE]],LEN(T_LEAVE[[#This Row],[LEAVE DATE]])-6),"[$-en-US]d-mmm-yyyy;@")),"")</f>
        <v>44028</v>
      </c>
      <c r="M506" s="4" t="str">
        <f>IFERROR(TRIM(T_LEAVE[[#This Row],[TYPE]]),"")</f>
        <v>SICK LEAVE</v>
      </c>
      <c r="N506" s="69" t="str">
        <f>IFERROR(VLOOKUP(T_LEAVE[[#This Row],[LEAVE TYPE]],T_LEAVETYPE[#All],2,0),"")</f>
        <v>SL</v>
      </c>
    </row>
    <row r="507" spans="2:14" x14ac:dyDescent="0.25">
      <c r="B507" s="93">
        <v>44032</v>
      </c>
      <c r="C507" s="48" t="s">
        <v>1049</v>
      </c>
      <c r="D507" s="48" t="s">
        <v>1064</v>
      </c>
      <c r="E507" s="4" t="s">
        <v>89</v>
      </c>
      <c r="F507" s="49">
        <v>1</v>
      </c>
      <c r="G507" s="4" t="s">
        <v>51</v>
      </c>
      <c r="I507" s="4" t="s">
        <v>149</v>
      </c>
      <c r="J507" s="4" t="s">
        <v>1072</v>
      </c>
      <c r="K507" s="4" t="str">
        <f>IFERROR(LEFT(T_LEAVE[[#This Row],[EMPLOYEE NAME]],LEN(T_LEAVE[[#This Row],[EMPLOYEE NAME]])-3),"")</f>
        <v>VIADO, DANAH LORRAINE</v>
      </c>
      <c r="L507" s="48">
        <f>IFERROR(DATEVALUE(TEXT(RIGHT(T_LEAVE[[#This Row],[LEAVE DATE]],LEN(T_LEAVE[[#This Row],[LEAVE DATE]])-6),"[$-en-US]d-mmm-yyyy;@")),"")</f>
        <v>44029</v>
      </c>
      <c r="M507" s="4" t="str">
        <f>IFERROR(TRIM(T_LEAVE[[#This Row],[TYPE]]),"")</f>
        <v>SICK LEAVE</v>
      </c>
      <c r="N507" s="69" t="str">
        <f>IFERROR(VLOOKUP(T_LEAVE[[#This Row],[LEAVE TYPE]],T_LEAVETYPE[#All],2,0),"")</f>
        <v>SL</v>
      </c>
    </row>
    <row r="508" spans="2:14" x14ac:dyDescent="0.25">
      <c r="B508" s="93">
        <v>44033</v>
      </c>
      <c r="C508" s="48" t="s">
        <v>985</v>
      </c>
      <c r="D508" s="48" t="s">
        <v>971</v>
      </c>
      <c r="E508" s="4" t="s">
        <v>89</v>
      </c>
      <c r="F508" s="49">
        <v>1</v>
      </c>
      <c r="G508" s="4" t="s">
        <v>986</v>
      </c>
      <c r="H508" s="4" t="s">
        <v>165</v>
      </c>
      <c r="I508" s="4" t="s">
        <v>149</v>
      </c>
      <c r="J508" s="4" t="s">
        <v>987</v>
      </c>
      <c r="K508" s="4" t="str">
        <f>IFERROR(LEFT(T_LEAVE[[#This Row],[EMPLOYEE NAME]],LEN(T_LEAVE[[#This Row],[EMPLOYEE NAME]])-3),"")</f>
        <v>TABIA, JENNIFER</v>
      </c>
      <c r="L508" s="48">
        <f>IFERROR(DATEVALUE(TEXT(RIGHT(T_LEAVE[[#This Row],[LEAVE DATE]],LEN(T_LEAVE[[#This Row],[LEAVE DATE]])-6),"[$-en-US]d-mmm-yyyy;@")),"")</f>
        <v>44021</v>
      </c>
      <c r="M508" s="4" t="str">
        <f>IFERROR(TRIM(T_LEAVE[[#This Row],[TYPE]]),"")</f>
        <v>SICK LEAVE</v>
      </c>
      <c r="N508" s="69" t="str">
        <f>IFERROR(VLOOKUP(T_LEAVE[[#This Row],[LEAVE TYPE]],T_LEAVETYPE[#All],2,0),"")</f>
        <v>SL</v>
      </c>
    </row>
    <row r="509" spans="2:14" x14ac:dyDescent="0.25">
      <c r="B509" s="93">
        <v>44033</v>
      </c>
      <c r="C509" s="48" t="s">
        <v>988</v>
      </c>
      <c r="D509" s="48" t="s">
        <v>971</v>
      </c>
      <c r="E509" s="4" t="s">
        <v>89</v>
      </c>
      <c r="F509" s="49">
        <v>1</v>
      </c>
      <c r="G509" s="4" t="s">
        <v>986</v>
      </c>
      <c r="H509" s="4" t="s">
        <v>165</v>
      </c>
      <c r="I509" s="4" t="s">
        <v>149</v>
      </c>
      <c r="J509" s="4" t="s">
        <v>987</v>
      </c>
      <c r="K509" s="4" t="str">
        <f>IFERROR(LEFT(T_LEAVE[[#This Row],[EMPLOYEE NAME]],LEN(T_LEAVE[[#This Row],[EMPLOYEE NAME]])-3),"")</f>
        <v>TABIA, JENNIFER</v>
      </c>
      <c r="L509" s="48">
        <f>IFERROR(DATEVALUE(TEXT(RIGHT(T_LEAVE[[#This Row],[LEAVE DATE]],LEN(T_LEAVE[[#This Row],[LEAVE DATE]])-6),"[$-en-US]d-mmm-yyyy;@")),"")</f>
        <v>44022</v>
      </c>
      <c r="M509" s="4" t="str">
        <f>IFERROR(TRIM(T_LEAVE[[#This Row],[TYPE]]),"")</f>
        <v>SICK LEAVE</v>
      </c>
      <c r="N509" s="69" t="str">
        <f>IFERROR(VLOOKUP(T_LEAVE[[#This Row],[LEAVE TYPE]],T_LEAVETYPE[#All],2,0),"")</f>
        <v>SL</v>
      </c>
    </row>
    <row r="510" spans="2:14" x14ac:dyDescent="0.25">
      <c r="B510" s="93">
        <v>44034</v>
      </c>
      <c r="C510" s="48" t="s">
        <v>533</v>
      </c>
      <c r="D510" s="48" t="s">
        <v>517</v>
      </c>
      <c r="E510" s="4" t="s">
        <v>88</v>
      </c>
      <c r="F510" s="49">
        <v>1</v>
      </c>
      <c r="G510" s="4" t="s">
        <v>534</v>
      </c>
      <c r="I510" s="4" t="s">
        <v>149</v>
      </c>
      <c r="J510" s="4" t="s">
        <v>535</v>
      </c>
      <c r="K510" s="4" t="str">
        <f>IFERROR(LEFT(T_LEAVE[[#This Row],[EMPLOYEE NAME]],LEN(T_LEAVE[[#This Row],[EMPLOYEE NAME]])-3),"")</f>
        <v>FESTEJO, ABIEL CAMBYSES</v>
      </c>
      <c r="L510" s="48">
        <f>IFERROR(DATEVALUE(TEXT(RIGHT(T_LEAVE[[#This Row],[LEAVE DATE]],LEN(T_LEAVE[[#This Row],[LEAVE DATE]])-6),"[$-en-US]d-mmm-yyyy;@")),"")</f>
        <v>44035</v>
      </c>
      <c r="M510" s="4" t="str">
        <f>IFERROR(TRIM(T_LEAVE[[#This Row],[TYPE]]),"")</f>
        <v>VACATION LEAVE</v>
      </c>
      <c r="N510" s="69" t="str">
        <f>IFERROR(VLOOKUP(T_LEAVE[[#This Row],[LEAVE TYPE]],T_LEAVETYPE[#All],2,0),"")</f>
        <v>VL</v>
      </c>
    </row>
    <row r="511" spans="2:14" x14ac:dyDescent="0.25">
      <c r="B511" s="93">
        <v>44036</v>
      </c>
      <c r="C511" s="48" t="s">
        <v>795</v>
      </c>
      <c r="D511" s="48" t="s">
        <v>777</v>
      </c>
      <c r="E511" s="4" t="s">
        <v>89</v>
      </c>
      <c r="F511" s="49">
        <v>1</v>
      </c>
      <c r="G511" s="4" t="s">
        <v>796</v>
      </c>
      <c r="I511" s="4" t="s">
        <v>149</v>
      </c>
      <c r="J511" s="4" t="s">
        <v>797</v>
      </c>
      <c r="K511" s="4" t="str">
        <f>IFERROR(LEFT(T_LEAVE[[#This Row],[EMPLOYEE NAME]],LEN(T_LEAVE[[#This Row],[EMPLOYEE NAME]])-3),"")</f>
        <v>MACALALAD, ANAMARIE</v>
      </c>
      <c r="L511" s="48">
        <f>IFERROR(DATEVALUE(TEXT(RIGHT(T_LEAVE[[#This Row],[LEAVE DATE]],LEN(T_LEAVE[[#This Row],[LEAVE DATE]])-6),"[$-en-US]d-mmm-yyyy;@")),"")</f>
        <v>44032</v>
      </c>
      <c r="M511" s="4" t="str">
        <f>IFERROR(TRIM(T_LEAVE[[#This Row],[TYPE]]),"")</f>
        <v>SICK LEAVE</v>
      </c>
      <c r="N511" s="69" t="str">
        <f>IFERROR(VLOOKUP(T_LEAVE[[#This Row],[LEAVE TYPE]],T_LEAVETYPE[#All],2,0),"")</f>
        <v>SL</v>
      </c>
    </row>
    <row r="512" spans="2:14" x14ac:dyDescent="0.25">
      <c r="B512" s="93">
        <v>44036</v>
      </c>
      <c r="C512" s="48" t="s">
        <v>725</v>
      </c>
      <c r="D512" s="48" t="s">
        <v>777</v>
      </c>
      <c r="E512" s="4" t="s">
        <v>88</v>
      </c>
      <c r="F512" s="49">
        <v>1</v>
      </c>
      <c r="G512" s="4" t="s">
        <v>798</v>
      </c>
      <c r="I512" s="4" t="s">
        <v>149</v>
      </c>
      <c r="J512" s="4" t="s">
        <v>799</v>
      </c>
      <c r="K512" s="4" t="str">
        <f>IFERROR(LEFT(T_LEAVE[[#This Row],[EMPLOYEE NAME]],LEN(T_LEAVE[[#This Row],[EMPLOYEE NAME]])-3),"")</f>
        <v>MACALALAD, ANAMARIE</v>
      </c>
      <c r="L512" s="48">
        <f>IFERROR(DATEVALUE(TEXT(RIGHT(T_LEAVE[[#This Row],[LEAVE DATE]],LEN(T_LEAVE[[#This Row],[LEAVE DATE]])-6),"[$-en-US]d-mmm-yyyy;@")),"")</f>
        <v>44034</v>
      </c>
      <c r="M512" s="4" t="str">
        <f>IFERROR(TRIM(T_LEAVE[[#This Row],[TYPE]]),"")</f>
        <v>VACATION LEAVE</v>
      </c>
      <c r="N512" s="69" t="str">
        <f>IFERROR(VLOOKUP(T_LEAVE[[#This Row],[LEAVE TYPE]],T_LEAVETYPE[#All],2,0),"")</f>
        <v>VL</v>
      </c>
    </row>
    <row r="513" spans="2:14" x14ac:dyDescent="0.25">
      <c r="B513" s="93">
        <v>44036</v>
      </c>
      <c r="C513" s="48" t="s">
        <v>533</v>
      </c>
      <c r="D513" s="48" t="s">
        <v>777</v>
      </c>
      <c r="E513" s="4" t="s">
        <v>88</v>
      </c>
      <c r="F513" s="49">
        <v>1</v>
      </c>
      <c r="G513" s="4" t="s">
        <v>798</v>
      </c>
      <c r="I513" s="4" t="s">
        <v>149</v>
      </c>
      <c r="J513" s="4" t="s">
        <v>799</v>
      </c>
      <c r="K513" s="4" t="str">
        <f>IFERROR(LEFT(T_LEAVE[[#This Row],[EMPLOYEE NAME]],LEN(T_LEAVE[[#This Row],[EMPLOYEE NAME]])-3),"")</f>
        <v>MACALALAD, ANAMARIE</v>
      </c>
      <c r="L513" s="48">
        <f>IFERROR(DATEVALUE(TEXT(RIGHT(T_LEAVE[[#This Row],[LEAVE DATE]],LEN(T_LEAVE[[#This Row],[LEAVE DATE]])-6),"[$-en-US]d-mmm-yyyy;@")),"")</f>
        <v>44035</v>
      </c>
      <c r="M513" s="4" t="str">
        <f>IFERROR(TRIM(T_LEAVE[[#This Row],[TYPE]]),"")</f>
        <v>VACATION LEAVE</v>
      </c>
      <c r="N513" s="69" t="str">
        <f>IFERROR(VLOOKUP(T_LEAVE[[#This Row],[LEAVE TYPE]],T_LEAVETYPE[#All],2,0),"")</f>
        <v>VL</v>
      </c>
    </row>
    <row r="514" spans="2:14" x14ac:dyDescent="0.25">
      <c r="B514" s="93">
        <v>44036</v>
      </c>
      <c r="C514" s="48" t="s">
        <v>533</v>
      </c>
      <c r="D514" s="48" t="s">
        <v>1100</v>
      </c>
      <c r="E514" s="4" t="s">
        <v>89</v>
      </c>
      <c r="F514" s="49">
        <v>1</v>
      </c>
      <c r="G514" s="4" t="s">
        <v>1113</v>
      </c>
      <c r="I514" s="4" t="s">
        <v>149</v>
      </c>
      <c r="J514" s="4" t="s">
        <v>1114</v>
      </c>
      <c r="K514" s="4" t="str">
        <f>IFERROR(LEFT(T_LEAVE[[#This Row],[EMPLOYEE NAME]],LEN(T_LEAVE[[#This Row],[EMPLOYEE NAME]])-3),"")</f>
        <v>VILLAFLOR, REA</v>
      </c>
      <c r="L514" s="48">
        <f>IFERROR(DATEVALUE(TEXT(RIGHT(T_LEAVE[[#This Row],[LEAVE DATE]],LEN(T_LEAVE[[#This Row],[LEAVE DATE]])-6),"[$-en-US]d-mmm-yyyy;@")),"")</f>
        <v>44035</v>
      </c>
      <c r="M514" s="4" t="str">
        <f>IFERROR(TRIM(T_LEAVE[[#This Row],[TYPE]]),"")</f>
        <v>SICK LEAVE</v>
      </c>
      <c r="N514" s="69" t="str">
        <f>IFERROR(VLOOKUP(T_LEAVE[[#This Row],[LEAVE TYPE]],T_LEAVETYPE[#All],2,0),"")</f>
        <v>SL</v>
      </c>
    </row>
    <row r="515" spans="2:14" x14ac:dyDescent="0.25">
      <c r="B515" s="93">
        <v>44038</v>
      </c>
      <c r="C515" s="48" t="s">
        <v>246</v>
      </c>
      <c r="D515" s="48" t="s">
        <v>240</v>
      </c>
      <c r="E515" s="4" t="s">
        <v>88</v>
      </c>
      <c r="F515" s="49">
        <v>1</v>
      </c>
      <c r="G515" s="4" t="s">
        <v>247</v>
      </c>
      <c r="I515" s="4" t="s">
        <v>149</v>
      </c>
      <c r="J515" s="4" t="s">
        <v>248</v>
      </c>
      <c r="K515" s="4" t="str">
        <f>IFERROR(LEFT(T_LEAVE[[#This Row],[EMPLOYEE NAME]],LEN(T_LEAVE[[#This Row],[EMPLOYEE NAME]])-3),"")</f>
        <v>AYAG, PRINCESS</v>
      </c>
      <c r="L515" s="48">
        <f>IFERROR(DATEVALUE(TEXT(RIGHT(T_LEAVE[[#This Row],[LEAVE DATE]],LEN(T_LEAVE[[#This Row],[LEAVE DATE]])-6),"[$-en-US]d-mmm-yyyy;@")),"")</f>
        <v>44063</v>
      </c>
      <c r="M515" s="4" t="str">
        <f>IFERROR(TRIM(T_LEAVE[[#This Row],[TYPE]]),"")</f>
        <v>VACATION LEAVE</v>
      </c>
      <c r="N515" s="69" t="str">
        <f>IFERROR(VLOOKUP(T_LEAVE[[#This Row],[LEAVE TYPE]],T_LEAVETYPE[#All],2,0),"")</f>
        <v>VL</v>
      </c>
    </row>
    <row r="516" spans="2:14" x14ac:dyDescent="0.25">
      <c r="B516" s="93">
        <v>44038</v>
      </c>
      <c r="C516" s="48" t="s">
        <v>249</v>
      </c>
      <c r="D516" s="48" t="s">
        <v>240</v>
      </c>
      <c r="E516" s="4" t="s">
        <v>88</v>
      </c>
      <c r="F516" s="49">
        <v>1</v>
      </c>
      <c r="G516" s="4" t="s">
        <v>247</v>
      </c>
      <c r="I516" s="4" t="s">
        <v>149</v>
      </c>
      <c r="J516" s="4" t="s">
        <v>248</v>
      </c>
      <c r="K516" s="4" t="str">
        <f>IFERROR(LEFT(T_LEAVE[[#This Row],[EMPLOYEE NAME]],LEN(T_LEAVE[[#This Row],[EMPLOYEE NAME]])-3),"")</f>
        <v>AYAG, PRINCESS</v>
      </c>
      <c r="L516" s="48">
        <f>IFERROR(DATEVALUE(TEXT(RIGHT(T_LEAVE[[#This Row],[LEAVE DATE]],LEN(T_LEAVE[[#This Row],[LEAVE DATE]])-6),"[$-en-US]d-mmm-yyyy;@")),"")</f>
        <v>44064</v>
      </c>
      <c r="M516" s="4" t="str">
        <f>IFERROR(TRIM(T_LEAVE[[#This Row],[TYPE]]),"")</f>
        <v>VACATION LEAVE</v>
      </c>
      <c r="N516" s="69" t="str">
        <f>IFERROR(VLOOKUP(T_LEAVE[[#This Row],[LEAVE TYPE]],T_LEAVETYPE[#All],2,0),"")</f>
        <v>VL</v>
      </c>
    </row>
    <row r="517" spans="2:14" x14ac:dyDescent="0.25">
      <c r="B517" s="93">
        <v>44041</v>
      </c>
      <c r="C517" s="48" t="s">
        <v>514</v>
      </c>
      <c r="D517" s="48" t="s">
        <v>1064</v>
      </c>
      <c r="E517" s="4" t="s">
        <v>88</v>
      </c>
      <c r="F517" s="49">
        <v>1</v>
      </c>
      <c r="G517" s="4" t="s">
        <v>1073</v>
      </c>
      <c r="I517" s="4" t="s">
        <v>149</v>
      </c>
      <c r="J517" s="4" t="s">
        <v>1002</v>
      </c>
      <c r="K517" s="4" t="str">
        <f>IFERROR(LEFT(T_LEAVE[[#This Row],[EMPLOYEE NAME]],LEN(T_LEAVE[[#This Row],[EMPLOYEE NAME]])-3),"")</f>
        <v>VIADO, DANAH LORRAINE</v>
      </c>
      <c r="L517" s="48">
        <f>IFERROR(DATEVALUE(TEXT(RIGHT(T_LEAVE[[#This Row],[LEAVE DATE]],LEN(T_LEAVE[[#This Row],[LEAVE DATE]])-6),"[$-en-US]d-mmm-yyyy;@")),"")</f>
        <v>44068</v>
      </c>
      <c r="M517" s="4" t="str">
        <f>IFERROR(TRIM(T_LEAVE[[#This Row],[TYPE]]),"")</f>
        <v>VACATION LEAVE</v>
      </c>
      <c r="N517" s="69" t="str">
        <f>IFERROR(VLOOKUP(T_LEAVE[[#This Row],[LEAVE TYPE]],T_LEAVETYPE[#All],2,0),"")</f>
        <v>VL</v>
      </c>
    </row>
    <row r="518" spans="2:14" x14ac:dyDescent="0.25">
      <c r="B518" s="93">
        <v>44044</v>
      </c>
      <c r="C518" s="48" t="s">
        <v>416</v>
      </c>
      <c r="D518" s="48" t="s">
        <v>777</v>
      </c>
      <c r="E518" s="4" t="s">
        <v>698</v>
      </c>
      <c r="F518" s="49">
        <v>1</v>
      </c>
      <c r="G518" s="4" t="s">
        <v>800</v>
      </c>
      <c r="H518" s="4" t="s">
        <v>165</v>
      </c>
      <c r="I518" s="4" t="s">
        <v>149</v>
      </c>
      <c r="J518" s="4" t="s">
        <v>511</v>
      </c>
      <c r="K518" s="4" t="str">
        <f>IFERROR(LEFT(T_LEAVE[[#This Row],[EMPLOYEE NAME]],LEN(T_LEAVE[[#This Row],[EMPLOYEE NAME]])-3),"")</f>
        <v>MACALALAD, ANAMARIE</v>
      </c>
      <c r="L518" s="48">
        <f>IFERROR(DATEVALUE(TEXT(RIGHT(T_LEAVE[[#This Row],[LEAVE DATE]],LEN(T_LEAVE[[#This Row],[LEAVE DATE]])-6),"[$-en-US]d-mmm-yyyy;@")),"")</f>
        <v>44067</v>
      </c>
      <c r="M518" s="4" t="str">
        <f>IFERROR(TRIM(T_LEAVE[[#This Row],[TYPE]]),"")</f>
        <v>SOLO PARENT LEAVE</v>
      </c>
      <c r="N518" s="69" t="str">
        <f>IFERROR(VLOOKUP(T_LEAVE[[#This Row],[LEAVE TYPE]],T_LEAVETYPE[#All],2,0),"")</f>
        <v/>
      </c>
    </row>
    <row r="519" spans="2:14" x14ac:dyDescent="0.25">
      <c r="B519" s="93">
        <v>44048</v>
      </c>
      <c r="C519" s="48" t="s">
        <v>298</v>
      </c>
      <c r="D519" s="48" t="s">
        <v>889</v>
      </c>
      <c r="E519" s="4" t="s">
        <v>89</v>
      </c>
      <c r="F519" s="49">
        <v>1</v>
      </c>
      <c r="G519" s="4" t="s">
        <v>897</v>
      </c>
      <c r="I519" s="4" t="s">
        <v>149</v>
      </c>
      <c r="J519" s="4" t="s">
        <v>898</v>
      </c>
      <c r="K519" s="4" t="str">
        <f>IFERROR(LEFT(T_LEAVE[[#This Row],[EMPLOYEE NAME]],LEN(T_LEAVE[[#This Row],[EMPLOYEE NAME]])-3),"")</f>
        <v>MONTIEL, HEIZEL</v>
      </c>
      <c r="L519" s="48">
        <f>IFERROR(DATEVALUE(TEXT(RIGHT(T_LEAVE[[#This Row],[LEAVE DATE]],LEN(T_LEAVE[[#This Row],[LEAVE DATE]])-6),"[$-en-US]d-mmm-yyyy;@")),"")</f>
        <v>44046</v>
      </c>
      <c r="M519" s="4" t="str">
        <f>IFERROR(TRIM(T_LEAVE[[#This Row],[TYPE]]),"")</f>
        <v>SICK LEAVE</v>
      </c>
      <c r="N519" s="69" t="str">
        <f>IFERROR(VLOOKUP(T_LEAVE[[#This Row],[LEAVE TYPE]],T_LEAVETYPE[#All],2,0),"")</f>
        <v>SL</v>
      </c>
    </row>
    <row r="520" spans="2:14" x14ac:dyDescent="0.25">
      <c r="B520" s="93">
        <v>44048</v>
      </c>
      <c r="C520" s="48" t="s">
        <v>730</v>
      </c>
      <c r="D520" s="48" t="s">
        <v>989</v>
      </c>
      <c r="E520" s="4" t="s">
        <v>88</v>
      </c>
      <c r="F520" s="49">
        <v>1</v>
      </c>
      <c r="G520" s="4" t="s">
        <v>1001</v>
      </c>
      <c r="I520" s="4" t="s">
        <v>149</v>
      </c>
      <c r="J520" s="4" t="s">
        <v>1002</v>
      </c>
      <c r="K520" s="4" t="str">
        <f>IFERROR(LEFT(T_LEAVE[[#This Row],[EMPLOYEE NAME]],LEN(T_LEAVE[[#This Row],[EMPLOYEE NAME]])-3),"")</f>
        <v>TABUNAN, LIZEL</v>
      </c>
      <c r="L520" s="48">
        <f>IFERROR(DATEVALUE(TEXT(RIGHT(T_LEAVE[[#This Row],[LEAVE DATE]],LEN(T_LEAVE[[#This Row],[LEAVE DATE]])-6),"[$-en-US]d-mmm-yyyy;@")),"")</f>
        <v>44055</v>
      </c>
      <c r="M520" s="4" t="str">
        <f>IFERROR(TRIM(T_LEAVE[[#This Row],[TYPE]]),"")</f>
        <v>VACATION LEAVE</v>
      </c>
      <c r="N520" s="69" t="str">
        <f>IFERROR(VLOOKUP(T_LEAVE[[#This Row],[LEAVE TYPE]],T_LEAVETYPE[#All],2,0),"")</f>
        <v>VL</v>
      </c>
    </row>
    <row r="521" spans="2:14" x14ac:dyDescent="0.25">
      <c r="B521" s="93">
        <v>44050</v>
      </c>
      <c r="C521" s="48" t="s">
        <v>249</v>
      </c>
      <c r="D521" s="48" t="s">
        <v>496</v>
      </c>
      <c r="E521" s="4" t="s">
        <v>89</v>
      </c>
      <c r="F521" s="49">
        <v>1</v>
      </c>
      <c r="G521" s="4" t="s">
        <v>510</v>
      </c>
      <c r="I521" s="4" t="s">
        <v>149</v>
      </c>
      <c r="J521" s="4" t="s">
        <v>511</v>
      </c>
      <c r="K521" s="4" t="str">
        <f>IFERROR(LEFT(T_LEAVE[[#This Row],[EMPLOYEE NAME]],LEN(T_LEAVE[[#This Row],[EMPLOYEE NAME]])-3),"")</f>
        <v>FACTO, SHANICE</v>
      </c>
      <c r="L521" s="48">
        <f>IFERROR(DATEVALUE(TEXT(RIGHT(T_LEAVE[[#This Row],[LEAVE DATE]],LEN(T_LEAVE[[#This Row],[LEAVE DATE]])-6),"[$-en-US]d-mmm-yyyy;@")),"")</f>
        <v>44064</v>
      </c>
      <c r="M521" s="4" t="str">
        <f>IFERROR(TRIM(T_LEAVE[[#This Row],[TYPE]]),"")</f>
        <v>SICK LEAVE</v>
      </c>
      <c r="N521" s="69" t="str">
        <f>IFERROR(VLOOKUP(T_LEAVE[[#This Row],[LEAVE TYPE]],T_LEAVETYPE[#All],2,0),"")</f>
        <v>SL</v>
      </c>
    </row>
    <row r="522" spans="2:14" x14ac:dyDescent="0.25">
      <c r="B522" s="93">
        <v>44050</v>
      </c>
      <c r="C522" s="48" t="s">
        <v>935</v>
      </c>
      <c r="D522" s="48" t="s">
        <v>923</v>
      </c>
      <c r="E522" s="4" t="s">
        <v>88</v>
      </c>
      <c r="F522" s="49">
        <v>1</v>
      </c>
      <c r="G522" s="4" t="s">
        <v>226</v>
      </c>
      <c r="I522" s="4" t="s">
        <v>149</v>
      </c>
      <c r="J522" s="4" t="s">
        <v>936</v>
      </c>
      <c r="K522" s="4" t="str">
        <f>IFERROR(LEFT(T_LEAVE[[#This Row],[EMPLOYEE NAME]],LEN(T_LEAVE[[#This Row],[EMPLOYEE NAME]])-3),"")</f>
        <v>REOTIREZ, REYMONG</v>
      </c>
      <c r="L522" s="48">
        <f>IFERROR(DATEVALUE(TEXT(RIGHT(T_LEAVE[[#This Row],[LEAVE DATE]],LEN(T_LEAVE[[#This Row],[LEAVE DATE]])-6),"[$-en-US]d-mmm-yyyy;@")),"")</f>
        <v>44072</v>
      </c>
      <c r="M522" s="4" t="str">
        <f>IFERROR(TRIM(T_LEAVE[[#This Row],[TYPE]]),"")</f>
        <v>VACATION LEAVE</v>
      </c>
      <c r="N522" s="69" t="str">
        <f>IFERROR(VLOOKUP(T_LEAVE[[#This Row],[LEAVE TYPE]],T_LEAVETYPE[#All],2,0),"")</f>
        <v>VL</v>
      </c>
    </row>
    <row r="523" spans="2:14" x14ac:dyDescent="0.25">
      <c r="B523" s="93">
        <v>44050</v>
      </c>
      <c r="C523" s="48" t="s">
        <v>959</v>
      </c>
      <c r="D523" s="48" t="s">
        <v>950</v>
      </c>
      <c r="E523" s="4" t="s">
        <v>88</v>
      </c>
      <c r="F523" s="49">
        <v>1</v>
      </c>
      <c r="G523" s="4" t="s">
        <v>960</v>
      </c>
      <c r="I523" s="4" t="s">
        <v>149</v>
      </c>
      <c r="J523" s="4" t="s">
        <v>961</v>
      </c>
      <c r="K523" s="4" t="str">
        <f>IFERROR(LEFT(T_LEAVE[[#This Row],[EMPLOYEE NAME]],LEN(T_LEAVE[[#This Row],[EMPLOYEE NAME]])-3),"")</f>
        <v>SANTOS, JERICK</v>
      </c>
      <c r="L523" s="48">
        <f>IFERROR(DATEVALUE(TEXT(RIGHT(T_LEAVE[[#This Row],[LEAVE DATE]],LEN(T_LEAVE[[#This Row],[LEAVE DATE]])-6),"[$-en-US]d-mmm-yyyy;@")),"")</f>
        <v>44058</v>
      </c>
      <c r="M523" s="4" t="str">
        <f>IFERROR(TRIM(T_LEAVE[[#This Row],[TYPE]]),"")</f>
        <v>VACATION LEAVE</v>
      </c>
      <c r="N523" s="69" t="str">
        <f>IFERROR(VLOOKUP(T_LEAVE[[#This Row],[LEAVE TYPE]],T_LEAVETYPE[#All],2,0),"")</f>
        <v>VL</v>
      </c>
    </row>
    <row r="524" spans="2:14" x14ac:dyDescent="0.25">
      <c r="B524" s="93">
        <v>44051</v>
      </c>
      <c r="C524" s="48" t="s">
        <v>445</v>
      </c>
      <c r="D524" s="48" t="s">
        <v>421</v>
      </c>
      <c r="E524" s="4" t="s">
        <v>88</v>
      </c>
      <c r="F524" s="49">
        <v>1</v>
      </c>
      <c r="G524" s="4" t="s">
        <v>446</v>
      </c>
      <c r="I524" s="4" t="s">
        <v>149</v>
      </c>
      <c r="J524" s="4" t="s">
        <v>447</v>
      </c>
      <c r="K524" s="4" t="str">
        <f>IFERROR(LEFT(T_LEAVE[[#This Row],[EMPLOYEE NAME]],LEN(T_LEAVE[[#This Row],[EMPLOYEE NAME]])-3),"")</f>
        <v>DE LEON, JEFFREY</v>
      </c>
      <c r="L524" s="48">
        <f>IFERROR(DATEVALUE(TEXT(RIGHT(T_LEAVE[[#This Row],[LEAVE DATE]],LEN(T_LEAVE[[#This Row],[LEAVE DATE]])-6),"[$-en-US]d-mmm-yyyy;@")),"")</f>
        <v>44054</v>
      </c>
      <c r="M524" s="4" t="str">
        <f>IFERROR(TRIM(T_LEAVE[[#This Row],[TYPE]]),"")</f>
        <v>VACATION LEAVE</v>
      </c>
      <c r="N524" s="69" t="str">
        <f>IFERROR(VLOOKUP(T_LEAVE[[#This Row],[LEAVE TYPE]],T_LEAVETYPE[#All],2,0),"")</f>
        <v>VL</v>
      </c>
    </row>
    <row r="525" spans="2:14" x14ac:dyDescent="0.25">
      <c r="B525" s="93">
        <v>44052</v>
      </c>
      <c r="C525" s="48" t="s">
        <v>935</v>
      </c>
      <c r="D525" s="48" t="s">
        <v>1033</v>
      </c>
      <c r="E525" s="4" t="s">
        <v>88</v>
      </c>
      <c r="F525" s="49">
        <v>1</v>
      </c>
      <c r="G525" s="4" t="s">
        <v>90</v>
      </c>
      <c r="I525" s="4" t="s">
        <v>149</v>
      </c>
      <c r="J525" s="4" t="s">
        <v>447</v>
      </c>
      <c r="K525" s="4" t="str">
        <f>IFERROR(LEFT(T_LEAVE[[#This Row],[EMPLOYEE NAME]],LEN(T_LEAVE[[#This Row],[EMPLOYEE NAME]])-3),"")</f>
        <v>VALLADARES, ALLEN</v>
      </c>
      <c r="L525" s="48">
        <f>IFERROR(DATEVALUE(TEXT(RIGHT(T_LEAVE[[#This Row],[LEAVE DATE]],LEN(T_LEAVE[[#This Row],[LEAVE DATE]])-6),"[$-en-US]d-mmm-yyyy;@")),"")</f>
        <v>44072</v>
      </c>
      <c r="M525" s="4" t="str">
        <f>IFERROR(TRIM(T_LEAVE[[#This Row],[TYPE]]),"")</f>
        <v>VACATION LEAVE</v>
      </c>
      <c r="N525" s="69" t="str">
        <f>IFERROR(VLOOKUP(T_LEAVE[[#This Row],[LEAVE TYPE]],T_LEAVETYPE[#All],2,0),"")</f>
        <v>VL</v>
      </c>
    </row>
    <row r="526" spans="2:14" x14ac:dyDescent="0.25">
      <c r="B526" s="93">
        <v>44053</v>
      </c>
      <c r="C526" s="48" t="s">
        <v>727</v>
      </c>
      <c r="D526" s="48" t="s">
        <v>691</v>
      </c>
      <c r="E526" s="4" t="s">
        <v>698</v>
      </c>
      <c r="F526" s="49">
        <v>1</v>
      </c>
      <c r="G526" s="4" t="s">
        <v>728</v>
      </c>
      <c r="H526" s="4" t="s">
        <v>165</v>
      </c>
      <c r="I526" s="4" t="s">
        <v>149</v>
      </c>
      <c r="J526" s="4" t="s">
        <v>729</v>
      </c>
      <c r="K526" s="4" t="str">
        <f>IFERROR(LEFT(T_LEAVE[[#This Row],[EMPLOYEE NAME]],LEN(T_LEAVE[[#This Row],[EMPLOYEE NAME]])-3),"")</f>
        <v>LATUGA, PHOEBE</v>
      </c>
      <c r="L526" s="48">
        <f>IFERROR(DATEVALUE(TEXT(RIGHT(T_LEAVE[[#This Row],[LEAVE DATE]],LEN(T_LEAVE[[#This Row],[LEAVE DATE]])-6),"[$-en-US]d-mmm-yyyy;@")),"")</f>
        <v>44053</v>
      </c>
      <c r="M526" s="4" t="str">
        <f>IFERROR(TRIM(T_LEAVE[[#This Row],[TYPE]]),"")</f>
        <v>SOLO PARENT LEAVE</v>
      </c>
      <c r="N526" s="69" t="str">
        <f>IFERROR(VLOOKUP(T_LEAVE[[#This Row],[LEAVE TYPE]],T_LEAVETYPE[#All],2,0),"")</f>
        <v/>
      </c>
    </row>
    <row r="527" spans="2:14" x14ac:dyDescent="0.25">
      <c r="B527" s="93">
        <v>44053</v>
      </c>
      <c r="C527" s="48" t="s">
        <v>445</v>
      </c>
      <c r="D527" s="48" t="s">
        <v>691</v>
      </c>
      <c r="E527" s="4" t="s">
        <v>698</v>
      </c>
      <c r="F527" s="49">
        <v>1</v>
      </c>
      <c r="G527" s="4" t="s">
        <v>728</v>
      </c>
      <c r="H527" s="4" t="s">
        <v>165</v>
      </c>
      <c r="I527" s="4" t="s">
        <v>149</v>
      </c>
      <c r="J527" s="4" t="s">
        <v>729</v>
      </c>
      <c r="K527" s="4" t="str">
        <f>IFERROR(LEFT(T_LEAVE[[#This Row],[EMPLOYEE NAME]],LEN(T_LEAVE[[#This Row],[EMPLOYEE NAME]])-3),"")</f>
        <v>LATUGA, PHOEBE</v>
      </c>
      <c r="L527" s="48">
        <f>IFERROR(DATEVALUE(TEXT(RIGHT(T_LEAVE[[#This Row],[LEAVE DATE]],LEN(T_LEAVE[[#This Row],[LEAVE DATE]])-6),"[$-en-US]d-mmm-yyyy;@")),"")</f>
        <v>44054</v>
      </c>
      <c r="M527" s="4" t="str">
        <f>IFERROR(TRIM(T_LEAVE[[#This Row],[TYPE]]),"")</f>
        <v>SOLO PARENT LEAVE</v>
      </c>
      <c r="N527" s="69" t="str">
        <f>IFERROR(VLOOKUP(T_LEAVE[[#This Row],[LEAVE TYPE]],T_LEAVETYPE[#All],2,0),"")</f>
        <v/>
      </c>
    </row>
    <row r="528" spans="2:14" x14ac:dyDescent="0.25">
      <c r="B528" s="93">
        <v>44053</v>
      </c>
      <c r="C528" s="48" t="s">
        <v>730</v>
      </c>
      <c r="D528" s="48" t="s">
        <v>691</v>
      </c>
      <c r="E528" s="4" t="s">
        <v>698</v>
      </c>
      <c r="F528" s="49">
        <v>1</v>
      </c>
      <c r="G528" s="4" t="s">
        <v>728</v>
      </c>
      <c r="H528" s="4" t="s">
        <v>165</v>
      </c>
      <c r="I528" s="4" t="s">
        <v>149</v>
      </c>
      <c r="J528" s="4" t="s">
        <v>729</v>
      </c>
      <c r="K528" s="4" t="str">
        <f>IFERROR(LEFT(T_LEAVE[[#This Row],[EMPLOYEE NAME]],LEN(T_LEAVE[[#This Row],[EMPLOYEE NAME]])-3),"")</f>
        <v>LATUGA, PHOEBE</v>
      </c>
      <c r="L528" s="48">
        <f>IFERROR(DATEVALUE(TEXT(RIGHT(T_LEAVE[[#This Row],[LEAVE DATE]],LEN(T_LEAVE[[#This Row],[LEAVE DATE]])-6),"[$-en-US]d-mmm-yyyy;@")),"")</f>
        <v>44055</v>
      </c>
      <c r="M528" s="4" t="str">
        <f>IFERROR(TRIM(T_LEAVE[[#This Row],[TYPE]]),"")</f>
        <v>SOLO PARENT LEAVE</v>
      </c>
      <c r="N528" s="69" t="str">
        <f>IFERROR(VLOOKUP(T_LEAVE[[#This Row],[LEAVE TYPE]],T_LEAVETYPE[#All],2,0),"")</f>
        <v/>
      </c>
    </row>
    <row r="529" spans="2:14" x14ac:dyDescent="0.25">
      <c r="B529" s="93">
        <v>44064</v>
      </c>
      <c r="C529" s="48" t="s">
        <v>185</v>
      </c>
      <c r="D529" s="48" t="s">
        <v>147</v>
      </c>
      <c r="E529" s="4" t="s">
        <v>88</v>
      </c>
      <c r="F529" s="49">
        <v>1</v>
      </c>
      <c r="G529" s="4" t="s">
        <v>186</v>
      </c>
      <c r="I529" s="4" t="s">
        <v>149</v>
      </c>
      <c r="J529" s="4" t="s">
        <v>187</v>
      </c>
      <c r="K529" s="4" t="str">
        <f>IFERROR(LEFT(T_LEAVE[[#This Row],[EMPLOYEE NAME]],LEN(T_LEAVE[[#This Row],[EMPLOYEE NAME]])-3),"")</f>
        <v>ACOSTA, JOSEPH VAUGHN</v>
      </c>
      <c r="L529" s="48">
        <f>IFERROR(DATEVALUE(TEXT(RIGHT(T_LEAVE[[#This Row],[LEAVE DATE]],LEN(T_LEAVE[[#This Row],[LEAVE DATE]])-6),"[$-en-US]d-mmm-yyyy;@")),"")</f>
        <v>44099</v>
      </c>
      <c r="M529" s="4" t="str">
        <f>IFERROR(TRIM(T_LEAVE[[#This Row],[TYPE]]),"")</f>
        <v>VACATION LEAVE</v>
      </c>
      <c r="N529" s="4" t="str">
        <f>IFERROR(VLOOKUP(T_LEAVE[[#This Row],[LEAVE TYPE]],T_LEAVETYPE[#All],2,0),"")</f>
        <v>VL</v>
      </c>
    </row>
    <row r="530" spans="2:14" x14ac:dyDescent="0.25">
      <c r="B530" s="93">
        <v>44067</v>
      </c>
      <c r="C530" s="48" t="s">
        <v>590</v>
      </c>
      <c r="D530" s="48" t="s">
        <v>811</v>
      </c>
      <c r="E530" s="4" t="s">
        <v>88</v>
      </c>
      <c r="F530" s="49">
        <v>1</v>
      </c>
      <c r="G530" s="4" t="s">
        <v>822</v>
      </c>
      <c r="I530" s="4" t="s">
        <v>149</v>
      </c>
      <c r="J530" s="4" t="s">
        <v>823</v>
      </c>
      <c r="K530" s="4" t="str">
        <f>IFERROR(LEFT(T_LEAVE[[#This Row],[EMPLOYEE NAME]],LEN(T_LEAVE[[#This Row],[EMPLOYEE NAME]])-3),"")</f>
        <v>MAGNO, ALVIN</v>
      </c>
      <c r="L530" s="48">
        <f>IFERROR(DATEVALUE(TEXT(RIGHT(T_LEAVE[[#This Row],[LEAVE DATE]],LEN(T_LEAVE[[#This Row],[LEAVE DATE]])-6),"[$-en-US]d-mmm-yyyy;@")),"")</f>
        <v>44089</v>
      </c>
      <c r="M530" s="4" t="str">
        <f>IFERROR(TRIM(T_LEAVE[[#This Row],[TYPE]]),"")</f>
        <v>VACATION LEAVE</v>
      </c>
      <c r="N530" s="69" t="str">
        <f>IFERROR(VLOOKUP(T_LEAVE[[#This Row],[LEAVE TYPE]],T_LEAVETYPE[#All],2,0),"")</f>
        <v>VL</v>
      </c>
    </row>
    <row r="531" spans="2:14" x14ac:dyDescent="0.25">
      <c r="B531" s="93">
        <v>44068</v>
      </c>
      <c r="C531" s="48" t="s">
        <v>416</v>
      </c>
      <c r="D531" s="48" t="s">
        <v>382</v>
      </c>
      <c r="E531" s="4" t="s">
        <v>89</v>
      </c>
      <c r="F531" s="49">
        <v>1</v>
      </c>
      <c r="G531" s="4" t="s">
        <v>398</v>
      </c>
      <c r="I531" s="4" t="s">
        <v>149</v>
      </c>
      <c r="J531" s="4" t="s">
        <v>417</v>
      </c>
      <c r="K531" s="4" t="str">
        <f>IFERROR(LEFT(T_LEAVE[[#This Row],[EMPLOYEE NAME]],LEN(T_LEAVE[[#This Row],[EMPLOYEE NAME]])-3),"")</f>
        <v>CONSTANTINO, IAN ARCHIMEDES</v>
      </c>
      <c r="L531" s="48">
        <f>IFERROR(DATEVALUE(TEXT(RIGHT(T_LEAVE[[#This Row],[LEAVE DATE]],LEN(T_LEAVE[[#This Row],[LEAVE DATE]])-6),"[$-en-US]d-mmm-yyyy;@")),"")</f>
        <v>44067</v>
      </c>
      <c r="M531" s="4" t="str">
        <f>IFERROR(TRIM(T_LEAVE[[#This Row],[TYPE]]),"")</f>
        <v>SICK LEAVE</v>
      </c>
      <c r="N531" s="69" t="str">
        <f>IFERROR(VLOOKUP(T_LEAVE[[#This Row],[LEAVE TYPE]],T_LEAVETYPE[#All],2,0),"")</f>
        <v>SL</v>
      </c>
    </row>
    <row r="532" spans="2:14" x14ac:dyDescent="0.25">
      <c r="B532" s="93">
        <v>44071</v>
      </c>
      <c r="C532" s="48" t="s">
        <v>416</v>
      </c>
      <c r="D532" s="48" t="s">
        <v>496</v>
      </c>
      <c r="E532" s="4" t="s">
        <v>89</v>
      </c>
      <c r="F532" s="49">
        <v>1</v>
      </c>
      <c r="G532" s="4" t="s">
        <v>512</v>
      </c>
      <c r="I532" s="4" t="s">
        <v>149</v>
      </c>
      <c r="J532" s="4" t="s">
        <v>513</v>
      </c>
      <c r="K532" s="4" t="str">
        <f>IFERROR(LEFT(T_LEAVE[[#This Row],[EMPLOYEE NAME]],LEN(T_LEAVE[[#This Row],[EMPLOYEE NAME]])-3),"")</f>
        <v>FACTO, SHANICE</v>
      </c>
      <c r="L532" s="48">
        <f>IFERROR(DATEVALUE(TEXT(RIGHT(T_LEAVE[[#This Row],[LEAVE DATE]],LEN(T_LEAVE[[#This Row],[LEAVE DATE]])-6),"[$-en-US]d-mmm-yyyy;@")),"")</f>
        <v>44067</v>
      </c>
      <c r="M532" s="4" t="str">
        <f>IFERROR(TRIM(T_LEAVE[[#This Row],[TYPE]]),"")</f>
        <v>SICK LEAVE</v>
      </c>
      <c r="N532" s="69" t="str">
        <f>IFERROR(VLOOKUP(T_LEAVE[[#This Row],[LEAVE TYPE]],T_LEAVETYPE[#All],2,0),"")</f>
        <v>SL</v>
      </c>
    </row>
    <row r="533" spans="2:14" x14ac:dyDescent="0.25">
      <c r="B533" s="93">
        <v>44071</v>
      </c>
      <c r="C533" s="48" t="s">
        <v>514</v>
      </c>
      <c r="D533" s="48" t="s">
        <v>496</v>
      </c>
      <c r="E533" s="4" t="s">
        <v>89</v>
      </c>
      <c r="F533" s="49">
        <v>1</v>
      </c>
      <c r="G533" s="4" t="s">
        <v>512</v>
      </c>
      <c r="I533" s="4" t="s">
        <v>149</v>
      </c>
      <c r="J533" s="4" t="s">
        <v>513</v>
      </c>
      <c r="K533" s="4" t="str">
        <f>IFERROR(LEFT(T_LEAVE[[#This Row],[EMPLOYEE NAME]],LEN(T_LEAVE[[#This Row],[EMPLOYEE NAME]])-3),"")</f>
        <v>FACTO, SHANICE</v>
      </c>
      <c r="L533" s="48">
        <f>IFERROR(DATEVALUE(TEXT(RIGHT(T_LEAVE[[#This Row],[LEAVE DATE]],LEN(T_LEAVE[[#This Row],[LEAVE DATE]])-6),"[$-en-US]d-mmm-yyyy;@")),"")</f>
        <v>44068</v>
      </c>
      <c r="M533" s="4" t="str">
        <f>IFERROR(TRIM(T_LEAVE[[#This Row],[TYPE]]),"")</f>
        <v>SICK LEAVE</v>
      </c>
      <c r="N533" s="69" t="str">
        <f>IFERROR(VLOOKUP(T_LEAVE[[#This Row],[LEAVE TYPE]],T_LEAVETYPE[#All],2,0),"")</f>
        <v>SL</v>
      </c>
    </row>
    <row r="534" spans="2:14" x14ac:dyDescent="0.25">
      <c r="B534" s="93">
        <v>44078</v>
      </c>
      <c r="C534" s="48" t="s">
        <v>643</v>
      </c>
      <c r="D534" s="48" t="s">
        <v>629</v>
      </c>
      <c r="E534" s="4" t="s">
        <v>89</v>
      </c>
      <c r="F534" s="49">
        <v>1</v>
      </c>
      <c r="G534" s="4" t="s">
        <v>205</v>
      </c>
      <c r="I534" s="4" t="s">
        <v>149</v>
      </c>
      <c r="J534" s="4" t="s">
        <v>644</v>
      </c>
      <c r="K534" s="4" t="str">
        <f>IFERROR(LEFT(T_LEAVE[[#This Row],[EMPLOYEE NAME]],LEN(T_LEAVE[[#This Row],[EMPLOYEE NAME]])-3),"")</f>
        <v>JAIME, JACYLYN</v>
      </c>
      <c r="L534" s="48">
        <f>IFERROR(DATEVALUE(TEXT(RIGHT(T_LEAVE[[#This Row],[LEAVE DATE]],LEN(T_LEAVE[[#This Row],[LEAVE DATE]])-6),"[$-en-US]d-mmm-yyyy;@")),"")</f>
        <v>44076</v>
      </c>
      <c r="M534" s="4" t="str">
        <f>IFERROR(TRIM(T_LEAVE[[#This Row],[TYPE]]),"")</f>
        <v>SICK LEAVE</v>
      </c>
      <c r="N534" s="69" t="str">
        <f>IFERROR(VLOOKUP(T_LEAVE[[#This Row],[LEAVE TYPE]],T_LEAVETYPE[#All],2,0),"")</f>
        <v>SL</v>
      </c>
    </row>
    <row r="535" spans="2:14" x14ac:dyDescent="0.25">
      <c r="B535" s="93">
        <v>44079</v>
      </c>
      <c r="C535" s="48" t="s">
        <v>917</v>
      </c>
      <c r="D535" s="48" t="s">
        <v>899</v>
      </c>
      <c r="E535" s="4" t="s">
        <v>89</v>
      </c>
      <c r="F535" s="49">
        <v>1</v>
      </c>
      <c r="G535" s="4" t="s">
        <v>918</v>
      </c>
      <c r="I535" s="4" t="s">
        <v>149</v>
      </c>
      <c r="J535" s="4" t="s">
        <v>644</v>
      </c>
      <c r="K535" s="4" t="str">
        <f>IFERROR(LEFT(T_LEAVE[[#This Row],[EMPLOYEE NAME]],LEN(T_LEAVE[[#This Row],[EMPLOYEE NAME]])-3),"")</f>
        <v>PATULOT, MARIROSE</v>
      </c>
      <c r="L535" s="48">
        <f>IFERROR(DATEVALUE(TEXT(RIGHT(T_LEAVE[[#This Row],[LEAVE DATE]],LEN(T_LEAVE[[#This Row],[LEAVE DATE]])-6),"[$-en-US]d-mmm-yyyy;@")),"")</f>
        <v>44083</v>
      </c>
      <c r="M535" s="4" t="str">
        <f>IFERROR(TRIM(T_LEAVE[[#This Row],[TYPE]]),"")</f>
        <v>SICK LEAVE</v>
      </c>
      <c r="N535" s="69" t="str">
        <f>IFERROR(VLOOKUP(T_LEAVE[[#This Row],[LEAVE TYPE]],T_LEAVETYPE[#All],2,0),"")</f>
        <v>SL</v>
      </c>
    </row>
    <row r="536" spans="2:14" x14ac:dyDescent="0.25">
      <c r="B536" s="93">
        <v>44079</v>
      </c>
      <c r="C536" s="48" t="s">
        <v>325</v>
      </c>
      <c r="D536" s="48" t="s">
        <v>899</v>
      </c>
      <c r="E536" s="4" t="s">
        <v>89</v>
      </c>
      <c r="F536" s="49">
        <v>1</v>
      </c>
      <c r="G536" s="4" t="s">
        <v>919</v>
      </c>
      <c r="I536" s="4" t="s">
        <v>149</v>
      </c>
      <c r="J536" s="4" t="s">
        <v>920</v>
      </c>
      <c r="K536" s="4" t="str">
        <f>IFERROR(LEFT(T_LEAVE[[#This Row],[EMPLOYEE NAME]],LEN(T_LEAVE[[#This Row],[EMPLOYEE NAME]])-3),"")</f>
        <v>PATULOT, MARIROSE</v>
      </c>
      <c r="L536" s="48">
        <f>IFERROR(DATEVALUE(TEXT(RIGHT(T_LEAVE[[#This Row],[LEAVE DATE]],LEN(T_LEAVE[[#This Row],[LEAVE DATE]])-6),"[$-en-US]d-mmm-yyyy;@")),"")</f>
        <v>44084</v>
      </c>
      <c r="M536" s="4" t="str">
        <f>IFERROR(TRIM(T_LEAVE[[#This Row],[TYPE]]),"")</f>
        <v>SICK LEAVE</v>
      </c>
      <c r="N536" s="69" t="str">
        <f>IFERROR(VLOOKUP(T_LEAVE[[#This Row],[LEAVE TYPE]],T_LEAVETYPE[#All],2,0),"")</f>
        <v>SL</v>
      </c>
    </row>
    <row r="537" spans="2:14" x14ac:dyDescent="0.25">
      <c r="B537" s="93">
        <v>44081</v>
      </c>
      <c r="C537" s="48" t="s">
        <v>937</v>
      </c>
      <c r="D537" s="48" t="s">
        <v>923</v>
      </c>
      <c r="E537" s="4" t="s">
        <v>88</v>
      </c>
      <c r="F537" s="49">
        <v>1</v>
      </c>
      <c r="G537" s="4" t="s">
        <v>226</v>
      </c>
      <c r="I537" s="4" t="s">
        <v>149</v>
      </c>
      <c r="J537" s="4" t="s">
        <v>938</v>
      </c>
      <c r="K537" s="4" t="str">
        <f>IFERROR(LEFT(T_LEAVE[[#This Row],[EMPLOYEE NAME]],LEN(T_LEAVE[[#This Row],[EMPLOYEE NAME]])-3),"")</f>
        <v>REOTIREZ, REYMONG</v>
      </c>
      <c r="L537" s="48">
        <f>IFERROR(DATEVALUE(TEXT(RIGHT(T_LEAVE[[#This Row],[LEAVE DATE]],LEN(T_LEAVE[[#This Row],[LEAVE DATE]])-6),"[$-en-US]d-mmm-yyyy;@")),"")</f>
        <v>44102</v>
      </c>
      <c r="M537" s="4" t="str">
        <f>IFERROR(TRIM(T_LEAVE[[#This Row],[TYPE]]),"")</f>
        <v>VACATION LEAVE</v>
      </c>
      <c r="N537" s="69" t="str">
        <f>IFERROR(VLOOKUP(T_LEAVE[[#This Row],[LEAVE TYPE]],T_LEAVETYPE[#All],2,0),"")</f>
        <v>VL</v>
      </c>
    </row>
    <row r="538" spans="2:14" x14ac:dyDescent="0.25">
      <c r="B538" s="93">
        <v>44081</v>
      </c>
      <c r="C538" s="48" t="s">
        <v>1053</v>
      </c>
      <c r="D538" s="48" t="s">
        <v>1033</v>
      </c>
      <c r="E538" s="4" t="s">
        <v>88</v>
      </c>
      <c r="F538" s="49">
        <v>1</v>
      </c>
      <c r="G538" s="4" t="s">
        <v>52</v>
      </c>
      <c r="I538" s="4" t="s">
        <v>149</v>
      </c>
      <c r="J538" s="4" t="s">
        <v>1054</v>
      </c>
      <c r="K538" s="4" t="str">
        <f>IFERROR(LEFT(T_LEAVE[[#This Row],[EMPLOYEE NAME]],LEN(T_LEAVE[[#This Row],[EMPLOYEE NAME]])-3),"")</f>
        <v>VALLADARES, ALLEN</v>
      </c>
      <c r="L538" s="48">
        <f>IFERROR(DATEVALUE(TEXT(RIGHT(T_LEAVE[[#This Row],[LEAVE DATE]],LEN(T_LEAVE[[#This Row],[LEAVE DATE]])-6),"[$-en-US]d-mmm-yyyy;@")),"")</f>
        <v>44094</v>
      </c>
      <c r="M538" s="4" t="str">
        <f>IFERROR(TRIM(T_LEAVE[[#This Row],[TYPE]]),"")</f>
        <v>VACATION LEAVE</v>
      </c>
      <c r="N538" s="69" t="str">
        <f>IFERROR(VLOOKUP(T_LEAVE[[#This Row],[LEAVE TYPE]],T_LEAVETYPE[#All],2,0),"")</f>
        <v>VL</v>
      </c>
    </row>
    <row r="539" spans="2:14" x14ac:dyDescent="0.25">
      <c r="B539" s="93">
        <v>44081</v>
      </c>
      <c r="C539" s="48" t="s">
        <v>1055</v>
      </c>
      <c r="D539" s="48" t="s">
        <v>1033</v>
      </c>
      <c r="E539" s="4" t="s">
        <v>88</v>
      </c>
      <c r="F539" s="49">
        <v>1</v>
      </c>
      <c r="G539" s="4" t="s">
        <v>52</v>
      </c>
      <c r="I539" s="4" t="s">
        <v>149</v>
      </c>
      <c r="J539" s="4" t="s">
        <v>1054</v>
      </c>
      <c r="K539" s="4" t="str">
        <f>IFERROR(LEFT(T_LEAVE[[#This Row],[EMPLOYEE NAME]],LEN(T_LEAVE[[#This Row],[EMPLOYEE NAME]])-3),"")</f>
        <v>VALLADARES, ALLEN</v>
      </c>
      <c r="L539" s="48">
        <f>IFERROR(DATEVALUE(TEXT(RIGHT(T_LEAVE[[#This Row],[LEAVE DATE]],LEN(T_LEAVE[[#This Row],[LEAVE DATE]])-6),"[$-en-US]d-mmm-yyyy;@")),"")</f>
        <v>44095</v>
      </c>
      <c r="M539" s="4" t="str">
        <f>IFERROR(TRIM(T_LEAVE[[#This Row],[TYPE]]),"")</f>
        <v>VACATION LEAVE</v>
      </c>
      <c r="N539" s="69" t="str">
        <f>IFERROR(VLOOKUP(T_LEAVE[[#This Row],[LEAVE TYPE]],T_LEAVETYPE[#All],2,0),"")</f>
        <v>VL</v>
      </c>
    </row>
    <row r="540" spans="2:14" x14ac:dyDescent="0.25">
      <c r="B540" s="93">
        <v>44081</v>
      </c>
      <c r="C540" s="48" t="s">
        <v>307</v>
      </c>
      <c r="D540" s="48" t="s">
        <v>1033</v>
      </c>
      <c r="E540" s="4" t="s">
        <v>88</v>
      </c>
      <c r="F540" s="49">
        <v>1</v>
      </c>
      <c r="G540" s="4" t="s">
        <v>52</v>
      </c>
      <c r="I540" s="4" t="s">
        <v>149</v>
      </c>
      <c r="J540" s="4" t="s">
        <v>1054</v>
      </c>
      <c r="K540" s="4" t="str">
        <f>IFERROR(LEFT(T_LEAVE[[#This Row],[EMPLOYEE NAME]],LEN(T_LEAVE[[#This Row],[EMPLOYEE NAME]])-3),"")</f>
        <v>VALLADARES, ALLEN</v>
      </c>
      <c r="L540" s="48">
        <f>IFERROR(DATEVALUE(TEXT(RIGHT(T_LEAVE[[#This Row],[LEAVE DATE]],LEN(T_LEAVE[[#This Row],[LEAVE DATE]])-6),"[$-en-US]d-mmm-yyyy;@")),"")</f>
        <v>44096</v>
      </c>
      <c r="M540" s="4" t="str">
        <f>IFERROR(TRIM(T_LEAVE[[#This Row],[TYPE]]),"")</f>
        <v>VACATION LEAVE</v>
      </c>
      <c r="N540" s="69" t="str">
        <f>IFERROR(VLOOKUP(T_LEAVE[[#This Row],[LEAVE TYPE]],T_LEAVETYPE[#All],2,0),"")</f>
        <v>VL</v>
      </c>
    </row>
    <row r="541" spans="2:14" x14ac:dyDescent="0.25">
      <c r="B541" s="93">
        <v>44082</v>
      </c>
      <c r="C541" s="48" t="s">
        <v>686</v>
      </c>
      <c r="D541" s="48" t="s">
        <v>950</v>
      </c>
      <c r="E541" s="4" t="s">
        <v>88</v>
      </c>
      <c r="F541" s="49">
        <v>1</v>
      </c>
      <c r="G541" s="4" t="s">
        <v>962</v>
      </c>
      <c r="I541" s="4" t="s">
        <v>149</v>
      </c>
      <c r="J541" s="4" t="s">
        <v>843</v>
      </c>
      <c r="K541" s="4" t="str">
        <f>IFERROR(LEFT(T_LEAVE[[#This Row],[EMPLOYEE NAME]],LEN(T_LEAVE[[#This Row],[EMPLOYEE NAME]])-3),"")</f>
        <v>SANTOS, JERICK</v>
      </c>
      <c r="L541" s="48">
        <f>IFERROR(DATEVALUE(TEXT(RIGHT(T_LEAVE[[#This Row],[LEAVE DATE]],LEN(T_LEAVE[[#This Row],[LEAVE DATE]])-6),"[$-en-US]d-mmm-yyyy;@")),"")</f>
        <v>44105</v>
      </c>
      <c r="M541" s="4" t="str">
        <f>IFERROR(TRIM(T_LEAVE[[#This Row],[TYPE]]),"")</f>
        <v>VACATION LEAVE</v>
      </c>
      <c r="N541" s="69" t="str">
        <f>IFERROR(VLOOKUP(T_LEAVE[[#This Row],[LEAVE TYPE]],T_LEAVETYPE[#All],2,0),"")</f>
        <v>VL</v>
      </c>
    </row>
    <row r="542" spans="2:14" x14ac:dyDescent="0.25">
      <c r="B542" s="93">
        <v>44082</v>
      </c>
      <c r="C542" s="48" t="s">
        <v>732</v>
      </c>
      <c r="D542" s="48" t="s">
        <v>950</v>
      </c>
      <c r="E542" s="4" t="s">
        <v>88</v>
      </c>
      <c r="F542" s="49">
        <v>1</v>
      </c>
      <c r="G542" s="4" t="s">
        <v>962</v>
      </c>
      <c r="I542" s="4" t="s">
        <v>149</v>
      </c>
      <c r="J542" s="4" t="s">
        <v>843</v>
      </c>
      <c r="K542" s="4" t="str">
        <f>IFERROR(LEFT(T_LEAVE[[#This Row],[EMPLOYEE NAME]],LEN(T_LEAVE[[#This Row],[EMPLOYEE NAME]])-3),"")</f>
        <v>SANTOS, JERICK</v>
      </c>
      <c r="L542" s="48">
        <f>IFERROR(DATEVALUE(TEXT(RIGHT(T_LEAVE[[#This Row],[LEAVE DATE]],LEN(T_LEAVE[[#This Row],[LEAVE DATE]])-6),"[$-en-US]d-mmm-yyyy;@")),"")</f>
        <v>44106</v>
      </c>
      <c r="M542" s="4" t="str">
        <f>IFERROR(TRIM(T_LEAVE[[#This Row],[TYPE]]),"")</f>
        <v>VACATION LEAVE</v>
      </c>
      <c r="N542" s="69" t="str">
        <f>IFERROR(VLOOKUP(T_LEAVE[[#This Row],[LEAVE TYPE]],T_LEAVETYPE[#All],2,0),"")</f>
        <v>VL</v>
      </c>
    </row>
    <row r="543" spans="2:14" x14ac:dyDescent="0.25">
      <c r="B543" s="93">
        <v>44083</v>
      </c>
      <c r="C543" s="48" t="s">
        <v>185</v>
      </c>
      <c r="D543" s="48" t="s">
        <v>989</v>
      </c>
      <c r="E543" s="4" t="s">
        <v>88</v>
      </c>
      <c r="F543" s="49">
        <v>1</v>
      </c>
      <c r="G543" s="4" t="s">
        <v>226</v>
      </c>
      <c r="I543" s="4" t="s">
        <v>149</v>
      </c>
      <c r="J543" s="4" t="s">
        <v>938</v>
      </c>
      <c r="K543" s="4" t="str">
        <f>IFERROR(LEFT(T_LEAVE[[#This Row],[EMPLOYEE NAME]],LEN(T_LEAVE[[#This Row],[EMPLOYEE NAME]])-3),"")</f>
        <v>TABUNAN, LIZEL</v>
      </c>
      <c r="L543" s="48">
        <f>IFERROR(DATEVALUE(TEXT(RIGHT(T_LEAVE[[#This Row],[LEAVE DATE]],LEN(T_LEAVE[[#This Row],[LEAVE DATE]])-6),"[$-en-US]d-mmm-yyyy;@")),"")</f>
        <v>44099</v>
      </c>
      <c r="M543" s="4" t="str">
        <f>IFERROR(TRIM(T_LEAVE[[#This Row],[TYPE]]),"")</f>
        <v>VACATION LEAVE</v>
      </c>
      <c r="N543" s="69" t="str">
        <f>IFERROR(VLOOKUP(T_LEAVE[[#This Row],[LEAVE TYPE]],T_LEAVETYPE[#All],2,0),"")</f>
        <v>VL</v>
      </c>
    </row>
    <row r="544" spans="2:14" x14ac:dyDescent="0.25">
      <c r="B544" s="93">
        <v>44084</v>
      </c>
      <c r="C544" s="48" t="s">
        <v>328</v>
      </c>
      <c r="D544" s="48" t="s">
        <v>899</v>
      </c>
      <c r="E544" s="4" t="s">
        <v>89</v>
      </c>
      <c r="F544" s="49">
        <v>1</v>
      </c>
      <c r="G544" s="4" t="s">
        <v>921</v>
      </c>
      <c r="I544" s="4" t="s">
        <v>149</v>
      </c>
      <c r="J544" s="4" t="s">
        <v>922</v>
      </c>
      <c r="K544" s="4" t="str">
        <f>IFERROR(LEFT(T_LEAVE[[#This Row],[EMPLOYEE NAME]],LEN(T_LEAVE[[#This Row],[EMPLOYEE NAME]])-3),"")</f>
        <v>PATULOT, MARIROSE</v>
      </c>
      <c r="L544" s="48">
        <f>IFERROR(DATEVALUE(TEXT(RIGHT(T_LEAVE[[#This Row],[LEAVE DATE]],LEN(T_LEAVE[[#This Row],[LEAVE DATE]])-6),"[$-en-US]d-mmm-yyyy;@")),"")</f>
        <v>44085</v>
      </c>
      <c r="M544" s="4" t="str">
        <f>IFERROR(TRIM(T_LEAVE[[#This Row],[TYPE]]),"")</f>
        <v>SICK LEAVE</v>
      </c>
      <c r="N544" s="69" t="str">
        <f>IFERROR(VLOOKUP(T_LEAVE[[#This Row],[LEAVE TYPE]],T_LEAVETYPE[#All],2,0),"")</f>
        <v>SL</v>
      </c>
    </row>
    <row r="545" spans="2:14" x14ac:dyDescent="0.25">
      <c r="B545" s="93">
        <v>44086</v>
      </c>
      <c r="C545" s="48" t="s">
        <v>185</v>
      </c>
      <c r="D545" s="48" t="s">
        <v>753</v>
      </c>
      <c r="E545" s="4" t="s">
        <v>88</v>
      </c>
      <c r="F545" s="49">
        <v>1</v>
      </c>
      <c r="G545" s="4" t="s">
        <v>770</v>
      </c>
      <c r="I545" s="4" t="s">
        <v>149</v>
      </c>
      <c r="J545" s="4" t="s">
        <v>771</v>
      </c>
      <c r="K545" s="4" t="str">
        <f>IFERROR(LEFT(T_LEAVE[[#This Row],[EMPLOYEE NAME]],LEN(T_LEAVE[[#This Row],[EMPLOYEE NAME]])-3),"")</f>
        <v>LEGASPI, ARABELLE</v>
      </c>
      <c r="L545" s="48">
        <f>IFERROR(DATEVALUE(TEXT(RIGHT(T_LEAVE[[#This Row],[LEAVE DATE]],LEN(T_LEAVE[[#This Row],[LEAVE DATE]])-6),"[$-en-US]d-mmm-yyyy;@")),"")</f>
        <v>44099</v>
      </c>
      <c r="M545" s="4" t="str">
        <f>IFERROR(TRIM(T_LEAVE[[#This Row],[TYPE]]),"")</f>
        <v>VACATION LEAVE</v>
      </c>
      <c r="N545" s="69" t="str">
        <f>IFERROR(VLOOKUP(T_LEAVE[[#This Row],[LEAVE TYPE]],T_LEAVETYPE[#All],2,0),"")</f>
        <v>VL</v>
      </c>
    </row>
    <row r="546" spans="2:14" x14ac:dyDescent="0.25">
      <c r="B546" s="93">
        <v>44086</v>
      </c>
      <c r="C546" s="48" t="s">
        <v>624</v>
      </c>
      <c r="D546" s="48" t="s">
        <v>847</v>
      </c>
      <c r="E546" s="4" t="s">
        <v>88</v>
      </c>
      <c r="F546" s="49">
        <v>1</v>
      </c>
      <c r="G546" s="4" t="s">
        <v>873</v>
      </c>
      <c r="I546" s="4" t="s">
        <v>149</v>
      </c>
      <c r="J546" s="4" t="s">
        <v>843</v>
      </c>
      <c r="K546" s="4" t="str">
        <f>IFERROR(LEFT(T_LEAVE[[#This Row],[EMPLOYEE NAME]],LEN(T_LEAVE[[#This Row],[EMPLOYEE NAME]])-3),"")</f>
        <v>MATIGNAS, JAYDEE</v>
      </c>
      <c r="L546" s="48">
        <f>IFERROR(DATEVALUE(TEXT(RIGHT(T_LEAVE[[#This Row],[LEAVE DATE]],LEN(T_LEAVE[[#This Row],[LEAVE DATE]])-6),"[$-en-US]d-mmm-yyyy;@")),"")</f>
        <v>44114</v>
      </c>
      <c r="M546" s="4" t="str">
        <f>IFERROR(TRIM(T_LEAVE[[#This Row],[TYPE]]),"")</f>
        <v>VACATION LEAVE</v>
      </c>
      <c r="N546" s="69" t="str">
        <f>IFERROR(VLOOKUP(T_LEAVE[[#This Row],[LEAVE TYPE]],T_LEAVETYPE[#All],2,0),"")</f>
        <v>VL</v>
      </c>
    </row>
    <row r="547" spans="2:14" x14ac:dyDescent="0.25">
      <c r="B547" s="93">
        <v>44086</v>
      </c>
      <c r="C547" s="48" t="s">
        <v>874</v>
      </c>
      <c r="D547" s="48" t="s">
        <v>847</v>
      </c>
      <c r="E547" s="4" t="s">
        <v>88</v>
      </c>
      <c r="F547" s="49">
        <v>1</v>
      </c>
      <c r="G547" s="4" t="s">
        <v>873</v>
      </c>
      <c r="I547" s="4" t="s">
        <v>149</v>
      </c>
      <c r="J547" s="4" t="s">
        <v>843</v>
      </c>
      <c r="K547" s="4" t="str">
        <f>IFERROR(LEFT(T_LEAVE[[#This Row],[EMPLOYEE NAME]],LEN(T_LEAVE[[#This Row],[EMPLOYEE NAME]])-3),"")</f>
        <v>MATIGNAS, JAYDEE</v>
      </c>
      <c r="L547" s="48">
        <f>IFERROR(DATEVALUE(TEXT(RIGHT(T_LEAVE[[#This Row],[LEAVE DATE]],LEN(T_LEAVE[[#This Row],[LEAVE DATE]])-6),"[$-en-US]d-mmm-yyyy;@")),"")</f>
        <v>44115</v>
      </c>
      <c r="M547" s="4" t="str">
        <f>IFERROR(TRIM(T_LEAVE[[#This Row],[TYPE]]),"")</f>
        <v>VACATION LEAVE</v>
      </c>
      <c r="N547" s="69" t="str">
        <f>IFERROR(VLOOKUP(T_LEAVE[[#This Row],[LEAVE TYPE]],T_LEAVETYPE[#All],2,0),"")</f>
        <v>VL</v>
      </c>
    </row>
    <row r="548" spans="2:14" x14ac:dyDescent="0.25">
      <c r="B548" s="93">
        <v>44087</v>
      </c>
      <c r="C548" s="48" t="s">
        <v>1056</v>
      </c>
      <c r="D548" s="48" t="s">
        <v>1033</v>
      </c>
      <c r="E548" s="4" t="s">
        <v>88</v>
      </c>
      <c r="F548" s="49">
        <v>1</v>
      </c>
      <c r="G548" s="4" t="s">
        <v>1057</v>
      </c>
      <c r="I548" s="4" t="s">
        <v>149</v>
      </c>
      <c r="J548" s="4" t="s">
        <v>771</v>
      </c>
      <c r="K548" s="4" t="str">
        <f>IFERROR(LEFT(T_LEAVE[[#This Row],[EMPLOYEE NAME]],LEN(T_LEAVE[[#This Row],[EMPLOYEE NAME]])-3),"")</f>
        <v>VALLADARES, ALLEN</v>
      </c>
      <c r="L548" s="48">
        <f>IFERROR(DATEVALUE(TEXT(RIGHT(T_LEAVE[[#This Row],[LEAVE DATE]],LEN(T_LEAVE[[#This Row],[LEAVE DATE]])-6),"[$-en-US]d-mmm-yyyy;@")),"")</f>
        <v>44101</v>
      </c>
      <c r="M548" s="4" t="str">
        <f>IFERROR(TRIM(T_LEAVE[[#This Row],[TYPE]]),"")</f>
        <v>VACATION LEAVE</v>
      </c>
      <c r="N548" s="69" t="str">
        <f>IFERROR(VLOOKUP(T_LEAVE[[#This Row],[LEAVE TYPE]],T_LEAVETYPE[#All],2,0),"")</f>
        <v>VL</v>
      </c>
    </row>
    <row r="549" spans="2:14" x14ac:dyDescent="0.25">
      <c r="B549" s="93">
        <v>44089</v>
      </c>
      <c r="C549" s="48" t="s">
        <v>325</v>
      </c>
      <c r="D549" s="48" t="s">
        <v>317</v>
      </c>
      <c r="E549" s="4" t="s">
        <v>89</v>
      </c>
      <c r="F549" s="49">
        <v>1</v>
      </c>
      <c r="G549" s="4" t="s">
        <v>326</v>
      </c>
      <c r="I549" s="4" t="s">
        <v>149</v>
      </c>
      <c r="J549" s="4" t="s">
        <v>327</v>
      </c>
      <c r="K549" s="4" t="str">
        <f>IFERROR(LEFT(T_LEAVE[[#This Row],[EMPLOYEE NAME]],LEN(T_LEAVE[[#This Row],[EMPLOYEE NAME]])-3),"")</f>
        <v>BAUTISTA, JOY MARI</v>
      </c>
      <c r="L549" s="48">
        <f>IFERROR(DATEVALUE(TEXT(RIGHT(T_LEAVE[[#This Row],[LEAVE DATE]],LEN(T_LEAVE[[#This Row],[LEAVE DATE]])-6),"[$-en-US]d-mmm-yyyy;@")),"")</f>
        <v>44084</v>
      </c>
      <c r="M549" s="4" t="str">
        <f>IFERROR(TRIM(T_LEAVE[[#This Row],[TYPE]]),"")</f>
        <v>SICK LEAVE</v>
      </c>
      <c r="N549" s="69" t="str">
        <f>IFERROR(VLOOKUP(T_LEAVE[[#This Row],[LEAVE TYPE]],T_LEAVETYPE[#All],2,0),"")</f>
        <v>SL</v>
      </c>
    </row>
    <row r="550" spans="2:14" x14ac:dyDescent="0.25">
      <c r="B550" s="93">
        <v>44089</v>
      </c>
      <c r="C550" s="48" t="s">
        <v>328</v>
      </c>
      <c r="D550" s="48" t="s">
        <v>317</v>
      </c>
      <c r="E550" s="4" t="s">
        <v>89</v>
      </c>
      <c r="F550" s="49">
        <v>1</v>
      </c>
      <c r="G550" s="4" t="s">
        <v>326</v>
      </c>
      <c r="I550" s="4" t="s">
        <v>149</v>
      </c>
      <c r="J550" s="4" t="s">
        <v>327</v>
      </c>
      <c r="K550" s="4" t="str">
        <f>IFERROR(LEFT(T_LEAVE[[#This Row],[EMPLOYEE NAME]],LEN(T_LEAVE[[#This Row],[EMPLOYEE NAME]])-3),"")</f>
        <v>BAUTISTA, JOY MARI</v>
      </c>
      <c r="L550" s="48">
        <f>IFERROR(DATEVALUE(TEXT(RIGHT(T_LEAVE[[#This Row],[LEAVE DATE]],LEN(T_LEAVE[[#This Row],[LEAVE DATE]])-6),"[$-en-US]d-mmm-yyyy;@")),"")</f>
        <v>44085</v>
      </c>
      <c r="M550" s="4" t="str">
        <f>IFERROR(TRIM(T_LEAVE[[#This Row],[TYPE]]),"")</f>
        <v>SICK LEAVE</v>
      </c>
      <c r="N550" s="69" t="str">
        <f>IFERROR(VLOOKUP(T_LEAVE[[#This Row],[LEAVE TYPE]],T_LEAVETYPE[#All],2,0),"")</f>
        <v>SL</v>
      </c>
    </row>
    <row r="551" spans="2:14" x14ac:dyDescent="0.25">
      <c r="B551" s="93">
        <v>44089</v>
      </c>
      <c r="C551" s="48" t="s">
        <v>590</v>
      </c>
      <c r="D551" s="48" t="s">
        <v>579</v>
      </c>
      <c r="E551" s="4" t="s">
        <v>89</v>
      </c>
      <c r="F551" s="49">
        <v>1</v>
      </c>
      <c r="G551" s="4" t="s">
        <v>205</v>
      </c>
      <c r="I551" s="4" t="s">
        <v>149</v>
      </c>
      <c r="J551" s="4" t="s">
        <v>591</v>
      </c>
      <c r="K551" s="4" t="str">
        <f>IFERROR(LEFT(T_LEAVE[[#This Row],[EMPLOYEE NAME]],LEN(T_LEAVE[[#This Row],[EMPLOYEE NAME]])-3),"")</f>
        <v>GORDORA, AIREEN GRACE</v>
      </c>
      <c r="L551" s="48">
        <f>IFERROR(DATEVALUE(TEXT(RIGHT(T_LEAVE[[#This Row],[LEAVE DATE]],LEN(T_LEAVE[[#This Row],[LEAVE DATE]])-6),"[$-en-US]d-mmm-yyyy;@")),"")</f>
        <v>44089</v>
      </c>
      <c r="M551" s="4" t="str">
        <f>IFERROR(TRIM(T_LEAVE[[#This Row],[TYPE]]),"")</f>
        <v>SICK LEAVE</v>
      </c>
      <c r="N551" s="69" t="str">
        <f>IFERROR(VLOOKUP(T_LEAVE[[#This Row],[LEAVE TYPE]],T_LEAVETYPE[#All],2,0),"")</f>
        <v>SL</v>
      </c>
    </row>
    <row r="552" spans="2:14" x14ac:dyDescent="0.25">
      <c r="B552" s="93">
        <v>44089</v>
      </c>
      <c r="C552" s="48" t="s">
        <v>686</v>
      </c>
      <c r="D552" s="48" t="s">
        <v>691</v>
      </c>
      <c r="E552" s="4" t="s">
        <v>88</v>
      </c>
      <c r="F552" s="49">
        <v>1</v>
      </c>
      <c r="G552" s="4" t="s">
        <v>731</v>
      </c>
      <c r="I552" s="4" t="s">
        <v>149</v>
      </c>
      <c r="J552" s="4" t="s">
        <v>688</v>
      </c>
      <c r="K552" s="4" t="str">
        <f>IFERROR(LEFT(T_LEAVE[[#This Row],[EMPLOYEE NAME]],LEN(T_LEAVE[[#This Row],[EMPLOYEE NAME]])-3),"")</f>
        <v>LATUGA, PHOEBE</v>
      </c>
      <c r="L552" s="48">
        <f>IFERROR(DATEVALUE(TEXT(RIGHT(T_LEAVE[[#This Row],[LEAVE DATE]],LEN(T_LEAVE[[#This Row],[LEAVE DATE]])-6),"[$-en-US]d-mmm-yyyy;@")),"")</f>
        <v>44105</v>
      </c>
      <c r="M552" s="4" t="str">
        <f>IFERROR(TRIM(T_LEAVE[[#This Row],[TYPE]]),"")</f>
        <v>VACATION LEAVE</v>
      </c>
      <c r="N552" s="69" t="str">
        <f>IFERROR(VLOOKUP(T_LEAVE[[#This Row],[LEAVE TYPE]],T_LEAVETYPE[#All],2,0),"")</f>
        <v>VL</v>
      </c>
    </row>
    <row r="553" spans="2:14" x14ac:dyDescent="0.25">
      <c r="B553" s="93">
        <v>44089</v>
      </c>
      <c r="C553" s="48" t="s">
        <v>732</v>
      </c>
      <c r="D553" s="48" t="s">
        <v>691</v>
      </c>
      <c r="E553" s="4" t="s">
        <v>88</v>
      </c>
      <c r="F553" s="49">
        <v>1</v>
      </c>
      <c r="G553" s="4" t="s">
        <v>731</v>
      </c>
      <c r="I553" s="4" t="s">
        <v>149</v>
      </c>
      <c r="J553" s="4" t="s">
        <v>688</v>
      </c>
      <c r="K553" s="4" t="str">
        <f>IFERROR(LEFT(T_LEAVE[[#This Row],[EMPLOYEE NAME]],LEN(T_LEAVE[[#This Row],[EMPLOYEE NAME]])-3),"")</f>
        <v>LATUGA, PHOEBE</v>
      </c>
      <c r="L553" s="48">
        <f>IFERROR(DATEVALUE(TEXT(RIGHT(T_LEAVE[[#This Row],[LEAVE DATE]],LEN(T_LEAVE[[#This Row],[LEAVE DATE]])-6),"[$-en-US]d-mmm-yyyy;@")),"")</f>
        <v>44106</v>
      </c>
      <c r="M553" s="4" t="str">
        <f>IFERROR(TRIM(T_LEAVE[[#This Row],[TYPE]]),"")</f>
        <v>VACATION LEAVE</v>
      </c>
      <c r="N553" s="69" t="str">
        <f>IFERROR(VLOOKUP(T_LEAVE[[#This Row],[LEAVE TYPE]],T_LEAVETYPE[#All],2,0),"")</f>
        <v>VL</v>
      </c>
    </row>
    <row r="554" spans="2:14" x14ac:dyDescent="0.25">
      <c r="B554" s="93">
        <v>44089</v>
      </c>
      <c r="C554" s="48" t="s">
        <v>733</v>
      </c>
      <c r="D554" s="48" t="s">
        <v>691</v>
      </c>
      <c r="E554" s="4" t="s">
        <v>88</v>
      </c>
      <c r="F554" s="49">
        <v>1</v>
      </c>
      <c r="G554" s="4" t="s">
        <v>734</v>
      </c>
      <c r="I554" s="4" t="s">
        <v>149</v>
      </c>
      <c r="J554" s="4" t="s">
        <v>688</v>
      </c>
      <c r="K554" s="4" t="str">
        <f>IFERROR(LEFT(T_LEAVE[[#This Row],[EMPLOYEE NAME]],LEN(T_LEAVE[[#This Row],[EMPLOYEE NAME]])-3),"")</f>
        <v>LATUGA, PHOEBE</v>
      </c>
      <c r="L554" s="48">
        <f>IFERROR(DATEVALUE(TEXT(RIGHT(T_LEAVE[[#This Row],[LEAVE DATE]],LEN(T_LEAVE[[#This Row],[LEAVE DATE]])-6),"[$-en-US]d-mmm-yyyy;@")),"")</f>
        <v>44109</v>
      </c>
      <c r="M554" s="4" t="str">
        <f>IFERROR(TRIM(T_LEAVE[[#This Row],[TYPE]]),"")</f>
        <v>VACATION LEAVE</v>
      </c>
      <c r="N554" s="69" t="str">
        <f>IFERROR(VLOOKUP(T_LEAVE[[#This Row],[LEAVE TYPE]],T_LEAVETYPE[#All],2,0),"")</f>
        <v>VL</v>
      </c>
    </row>
    <row r="555" spans="2:14" x14ac:dyDescent="0.25">
      <c r="B555" s="93">
        <v>44089</v>
      </c>
      <c r="C555" s="48" t="s">
        <v>735</v>
      </c>
      <c r="D555" s="48" t="s">
        <v>691</v>
      </c>
      <c r="E555" s="4" t="s">
        <v>88</v>
      </c>
      <c r="F555" s="49">
        <v>1</v>
      </c>
      <c r="G555" s="4" t="s">
        <v>734</v>
      </c>
      <c r="I555" s="4" t="s">
        <v>149</v>
      </c>
      <c r="J555" s="4" t="s">
        <v>688</v>
      </c>
      <c r="K555" s="4" t="str">
        <f>IFERROR(LEFT(T_LEAVE[[#This Row],[EMPLOYEE NAME]],LEN(T_LEAVE[[#This Row],[EMPLOYEE NAME]])-3),"")</f>
        <v>LATUGA, PHOEBE</v>
      </c>
      <c r="L555" s="48">
        <f>IFERROR(DATEVALUE(TEXT(RIGHT(T_LEAVE[[#This Row],[LEAVE DATE]],LEN(T_LEAVE[[#This Row],[LEAVE DATE]])-6),"[$-en-US]d-mmm-yyyy;@")),"")</f>
        <v>44110</v>
      </c>
      <c r="M555" s="4" t="str">
        <f>IFERROR(TRIM(T_LEAVE[[#This Row],[TYPE]]),"")</f>
        <v>VACATION LEAVE</v>
      </c>
      <c r="N555" s="69" t="str">
        <f>IFERROR(VLOOKUP(T_LEAVE[[#This Row],[LEAVE TYPE]],T_LEAVETYPE[#All],2,0),"")</f>
        <v>VL</v>
      </c>
    </row>
    <row r="556" spans="2:14" x14ac:dyDescent="0.25">
      <c r="B556" s="93">
        <v>44091</v>
      </c>
      <c r="C556" s="48" t="s">
        <v>418</v>
      </c>
      <c r="D556" s="48" t="s">
        <v>382</v>
      </c>
      <c r="E556" s="4" t="s">
        <v>89</v>
      </c>
      <c r="F556" s="49">
        <v>1</v>
      </c>
      <c r="G556" s="4" t="s">
        <v>398</v>
      </c>
      <c r="I556" s="4" t="s">
        <v>149</v>
      </c>
      <c r="J556" s="4" t="s">
        <v>419</v>
      </c>
      <c r="K556" s="4" t="str">
        <f>IFERROR(LEFT(T_LEAVE[[#This Row],[EMPLOYEE NAME]],LEN(T_LEAVE[[#This Row],[EMPLOYEE NAME]])-3),"")</f>
        <v>CONSTANTINO, IAN ARCHIMEDES</v>
      </c>
      <c r="L556" s="48">
        <f>IFERROR(DATEVALUE(TEXT(RIGHT(T_LEAVE[[#This Row],[LEAVE DATE]],LEN(T_LEAVE[[#This Row],[LEAVE DATE]])-6),"[$-en-US]d-mmm-yyyy;@")),"")</f>
        <v>44090</v>
      </c>
      <c r="M556" s="4" t="str">
        <f>IFERROR(TRIM(T_LEAVE[[#This Row],[TYPE]]),"")</f>
        <v>SICK LEAVE</v>
      </c>
      <c r="N556" s="69" t="str">
        <f>IFERROR(VLOOKUP(T_LEAVE[[#This Row],[LEAVE TYPE]],T_LEAVETYPE[#All],2,0),"")</f>
        <v>SL</v>
      </c>
    </row>
    <row r="557" spans="2:14" x14ac:dyDescent="0.25">
      <c r="B557" s="93">
        <v>44091</v>
      </c>
      <c r="C557" s="48" t="s">
        <v>622</v>
      </c>
      <c r="D557" s="48" t="s">
        <v>602</v>
      </c>
      <c r="E557" s="4" t="s">
        <v>88</v>
      </c>
      <c r="F557" s="49">
        <v>1</v>
      </c>
      <c r="G557" s="4" t="s">
        <v>623</v>
      </c>
      <c r="I557" s="4" t="s">
        <v>149</v>
      </c>
      <c r="J557" s="4" t="s">
        <v>577</v>
      </c>
      <c r="K557" s="4" t="str">
        <f>IFERROR(LEFT(T_LEAVE[[#This Row],[EMPLOYEE NAME]],LEN(T_LEAVE[[#This Row],[EMPLOYEE NAME]])-3),"")</f>
        <v>HIPOLITO, JOYCE ANN KENETH</v>
      </c>
      <c r="L557" s="48">
        <f>IFERROR(DATEVALUE(TEXT(RIGHT(T_LEAVE[[#This Row],[LEAVE DATE]],LEN(T_LEAVE[[#This Row],[LEAVE DATE]])-6),"[$-en-US]d-mmm-yyyy;@")),"")</f>
        <v>44091</v>
      </c>
      <c r="M557" s="4" t="str">
        <f>IFERROR(TRIM(T_LEAVE[[#This Row],[TYPE]]),"")</f>
        <v>VACATION LEAVE</v>
      </c>
      <c r="N557" s="69" t="str">
        <f>IFERROR(VLOOKUP(T_LEAVE[[#This Row],[LEAVE TYPE]],T_LEAVETYPE[#All],2,0),"")</f>
        <v>VL</v>
      </c>
    </row>
    <row r="558" spans="2:14" x14ac:dyDescent="0.25">
      <c r="B558" s="93">
        <v>44093</v>
      </c>
      <c r="C558" s="48" t="s">
        <v>363</v>
      </c>
      <c r="D558" s="48" t="s">
        <v>811</v>
      </c>
      <c r="E558" s="4" t="s">
        <v>88</v>
      </c>
      <c r="F558" s="49">
        <v>1</v>
      </c>
      <c r="G558" s="4" t="s">
        <v>523</v>
      </c>
      <c r="I558" s="4" t="s">
        <v>149</v>
      </c>
      <c r="J558" s="4" t="s">
        <v>773</v>
      </c>
      <c r="K558" s="4" t="str">
        <f>IFERROR(LEFT(T_LEAVE[[#This Row],[EMPLOYEE NAME]],LEN(T_LEAVE[[#This Row],[EMPLOYEE NAME]])-3),"")</f>
        <v>MAGNO, ALVIN</v>
      </c>
      <c r="L558" s="48">
        <f>IFERROR(DATEVALUE(TEXT(RIGHT(T_LEAVE[[#This Row],[LEAVE DATE]],LEN(T_LEAVE[[#This Row],[LEAVE DATE]])-6),"[$-en-US]d-mmm-yyyy;@")),"")</f>
        <v>44120</v>
      </c>
      <c r="M558" s="4" t="str">
        <f>IFERROR(TRIM(T_LEAVE[[#This Row],[TYPE]]),"")</f>
        <v>VACATION LEAVE</v>
      </c>
      <c r="N558" s="69" t="str">
        <f>IFERROR(VLOOKUP(T_LEAVE[[#This Row],[LEAVE TYPE]],T_LEAVETYPE[#All],2,0),"")</f>
        <v>VL</v>
      </c>
    </row>
    <row r="559" spans="2:14" x14ac:dyDescent="0.25">
      <c r="B559" s="93">
        <v>44094</v>
      </c>
      <c r="C559" s="48" t="s">
        <v>732</v>
      </c>
      <c r="D559" s="48" t="s">
        <v>753</v>
      </c>
      <c r="E559" s="4" t="s">
        <v>88</v>
      </c>
      <c r="F559" s="49">
        <v>1</v>
      </c>
      <c r="G559" s="4" t="s">
        <v>772</v>
      </c>
      <c r="I559" s="4" t="s">
        <v>149</v>
      </c>
      <c r="J559" s="4" t="s">
        <v>773</v>
      </c>
      <c r="K559" s="4" t="str">
        <f>IFERROR(LEFT(T_LEAVE[[#This Row],[EMPLOYEE NAME]],LEN(T_LEAVE[[#This Row],[EMPLOYEE NAME]])-3),"")</f>
        <v>LEGASPI, ARABELLE</v>
      </c>
      <c r="L559" s="48">
        <f>IFERROR(DATEVALUE(TEXT(RIGHT(T_LEAVE[[#This Row],[LEAVE DATE]],LEN(T_LEAVE[[#This Row],[LEAVE DATE]])-6),"[$-en-US]d-mmm-yyyy;@")),"")</f>
        <v>44106</v>
      </c>
      <c r="M559" s="4" t="str">
        <f>IFERROR(TRIM(T_LEAVE[[#This Row],[TYPE]]),"")</f>
        <v>VACATION LEAVE</v>
      </c>
      <c r="N559" s="69" t="str">
        <f>IFERROR(VLOOKUP(T_LEAVE[[#This Row],[LEAVE TYPE]],T_LEAVETYPE[#All],2,0),"")</f>
        <v>VL</v>
      </c>
    </row>
    <row r="560" spans="2:14" x14ac:dyDescent="0.25">
      <c r="B560" s="93">
        <v>44095</v>
      </c>
      <c r="C560" s="48" t="s">
        <v>309</v>
      </c>
      <c r="D560" s="48" t="s">
        <v>939</v>
      </c>
      <c r="E560" s="4" t="s">
        <v>88</v>
      </c>
      <c r="F560" s="49">
        <v>1</v>
      </c>
      <c r="G560" s="4" t="s">
        <v>948</v>
      </c>
      <c r="I560" s="4" t="s">
        <v>149</v>
      </c>
      <c r="J560" s="4" t="s">
        <v>949</v>
      </c>
      <c r="K560" s="4" t="str">
        <f>IFERROR(LEFT(T_LEAVE[[#This Row],[EMPLOYEE NAME]],LEN(T_LEAVE[[#This Row],[EMPLOYEE NAME]])-3),"")</f>
        <v>ROCA, SHARON</v>
      </c>
      <c r="L560" s="48">
        <f>IFERROR(DATEVALUE(TEXT(RIGHT(T_LEAVE[[#This Row],[LEAVE DATE]],LEN(T_LEAVE[[#This Row],[LEAVE DATE]])-6),"[$-en-US]d-mmm-yyyy;@")),"")</f>
        <v>44097</v>
      </c>
      <c r="M560" s="4" t="str">
        <f>IFERROR(TRIM(T_LEAVE[[#This Row],[TYPE]]),"")</f>
        <v>VACATION LEAVE</v>
      </c>
      <c r="N560" s="69" t="str">
        <f>IFERROR(VLOOKUP(T_LEAVE[[#This Row],[LEAVE TYPE]],T_LEAVETYPE[#All],2,0),"")</f>
        <v>VL</v>
      </c>
    </row>
    <row r="561" spans="2:14" x14ac:dyDescent="0.25">
      <c r="B561" s="93">
        <v>44096</v>
      </c>
      <c r="C561" s="48" t="s">
        <v>576</v>
      </c>
      <c r="D561" s="48" t="s">
        <v>558</v>
      </c>
      <c r="E561" s="4" t="s">
        <v>89</v>
      </c>
      <c r="F561" s="49">
        <v>1</v>
      </c>
      <c r="G561" s="4" t="s">
        <v>401</v>
      </c>
      <c r="I561" s="4" t="s">
        <v>149</v>
      </c>
      <c r="J561" s="4" t="s">
        <v>577</v>
      </c>
      <c r="K561" s="4" t="str">
        <f>IFERROR(LEFT(T_LEAVE[[#This Row],[EMPLOYEE NAME]],LEN(T_LEAVE[[#This Row],[EMPLOYEE NAME]])-3),"")</f>
        <v>GONZALES, MA-ANNE</v>
      </c>
      <c r="L561" s="48">
        <f>IFERROR(DATEVALUE(TEXT(RIGHT(T_LEAVE[[#This Row],[LEAVE DATE]],LEN(T_LEAVE[[#This Row],[LEAVE DATE]])-6),"[$-en-US]d-mmm-yyyy;@")),"")</f>
        <v>44093</v>
      </c>
      <c r="M561" s="4" t="str">
        <f>IFERROR(TRIM(T_LEAVE[[#This Row],[TYPE]]),"")</f>
        <v>SICK LEAVE</v>
      </c>
      <c r="N561" s="69" t="str">
        <f>IFERROR(VLOOKUP(T_LEAVE[[#This Row],[LEAVE TYPE]],T_LEAVETYPE[#All],2,0),"")</f>
        <v>SL</v>
      </c>
    </row>
    <row r="562" spans="2:14" x14ac:dyDescent="0.25">
      <c r="B562" s="93">
        <v>44096</v>
      </c>
      <c r="C562" s="48" t="s">
        <v>307</v>
      </c>
      <c r="D562" s="48" t="s">
        <v>939</v>
      </c>
      <c r="E562" s="4" t="s">
        <v>88</v>
      </c>
      <c r="F562" s="49">
        <v>1</v>
      </c>
      <c r="G562" s="4" t="s">
        <v>948</v>
      </c>
      <c r="I562" s="4" t="s">
        <v>149</v>
      </c>
      <c r="J562" s="4" t="s">
        <v>949</v>
      </c>
      <c r="K562" s="4" t="str">
        <f>IFERROR(LEFT(T_LEAVE[[#This Row],[EMPLOYEE NAME]],LEN(T_LEAVE[[#This Row],[EMPLOYEE NAME]])-3),"")</f>
        <v>ROCA, SHARON</v>
      </c>
      <c r="L562" s="48">
        <f>IFERROR(DATEVALUE(TEXT(RIGHT(T_LEAVE[[#This Row],[LEAVE DATE]],LEN(T_LEAVE[[#This Row],[LEAVE DATE]])-6),"[$-en-US]d-mmm-yyyy;@")),"")</f>
        <v>44096</v>
      </c>
      <c r="M562" s="4" t="str">
        <f>IFERROR(TRIM(T_LEAVE[[#This Row],[TYPE]]),"")</f>
        <v>VACATION LEAVE</v>
      </c>
      <c r="N562" s="69" t="str">
        <f>IFERROR(VLOOKUP(T_LEAVE[[#This Row],[LEAVE TYPE]],T_LEAVETYPE[#All],2,0),"")</f>
        <v>VL</v>
      </c>
    </row>
    <row r="563" spans="2:14" x14ac:dyDescent="0.25">
      <c r="B563" s="93">
        <v>44096</v>
      </c>
      <c r="C563" s="48" t="s">
        <v>1074</v>
      </c>
      <c r="D563" s="48" t="s">
        <v>1064</v>
      </c>
      <c r="E563" s="4" t="s">
        <v>89</v>
      </c>
      <c r="F563" s="49">
        <v>1</v>
      </c>
      <c r="G563" s="4" t="s">
        <v>1075</v>
      </c>
      <c r="I563" s="4" t="s">
        <v>149</v>
      </c>
      <c r="J563" s="4" t="s">
        <v>1076</v>
      </c>
      <c r="K563" s="4" t="str">
        <f>IFERROR(LEFT(T_LEAVE[[#This Row],[EMPLOYEE NAME]],LEN(T_LEAVE[[#This Row],[EMPLOYEE NAME]])-3),"")</f>
        <v>VIADO, DANAH LORRAINE</v>
      </c>
      <c r="L563" s="48">
        <f>IFERROR(DATEVALUE(TEXT(RIGHT(T_LEAVE[[#This Row],[LEAVE DATE]],LEN(T_LEAVE[[#This Row],[LEAVE DATE]])-6),"[$-en-US]d-mmm-yyyy;@")),"")</f>
        <v>44098</v>
      </c>
      <c r="M563" s="4" t="str">
        <f>IFERROR(TRIM(T_LEAVE[[#This Row],[TYPE]]),"")</f>
        <v>SICK LEAVE</v>
      </c>
      <c r="N563" s="69" t="str">
        <f>IFERROR(VLOOKUP(T_LEAVE[[#This Row],[LEAVE TYPE]],T_LEAVETYPE[#All],2,0),"")</f>
        <v>SL</v>
      </c>
    </row>
    <row r="564" spans="2:14" x14ac:dyDescent="0.25">
      <c r="B564" s="93">
        <v>44097</v>
      </c>
      <c r="C564" s="48" t="s">
        <v>686</v>
      </c>
      <c r="D564" s="48" t="s">
        <v>666</v>
      </c>
      <c r="E564" s="4" t="s">
        <v>88</v>
      </c>
      <c r="F564" s="49">
        <v>1</v>
      </c>
      <c r="G564" s="4" t="s">
        <v>687</v>
      </c>
      <c r="I564" s="4" t="s">
        <v>149</v>
      </c>
      <c r="J564" s="4" t="s">
        <v>688</v>
      </c>
      <c r="K564" s="4" t="str">
        <f>IFERROR(LEFT(T_LEAVE[[#This Row],[EMPLOYEE NAME]],LEN(T_LEAVE[[#This Row],[EMPLOYEE NAME]])-3),"")</f>
        <v>LARIZA, MELANIE DELA CRUZ</v>
      </c>
      <c r="L564" s="48">
        <f>IFERROR(DATEVALUE(TEXT(RIGHT(T_LEAVE[[#This Row],[LEAVE DATE]],LEN(T_LEAVE[[#This Row],[LEAVE DATE]])-6),"[$-en-US]d-mmm-yyyy;@")),"")</f>
        <v>44105</v>
      </c>
      <c r="M564" s="4" t="str">
        <f>IFERROR(TRIM(T_LEAVE[[#This Row],[TYPE]]),"")</f>
        <v>VACATION LEAVE</v>
      </c>
      <c r="N564" s="69" t="str">
        <f>IFERROR(VLOOKUP(T_LEAVE[[#This Row],[LEAVE TYPE]],T_LEAVETYPE[#All],2,0),"")</f>
        <v>VL</v>
      </c>
    </row>
    <row r="565" spans="2:14" x14ac:dyDescent="0.25">
      <c r="B565" s="93">
        <v>44102</v>
      </c>
      <c r="C565" s="48" t="s">
        <v>624</v>
      </c>
      <c r="D565" s="48" t="s">
        <v>1064</v>
      </c>
      <c r="E565" s="4" t="s">
        <v>88</v>
      </c>
      <c r="F565" s="49">
        <v>1</v>
      </c>
      <c r="G565" s="4" t="s">
        <v>1077</v>
      </c>
      <c r="I565" s="4" t="s">
        <v>149</v>
      </c>
      <c r="J565" s="4" t="s">
        <v>1078</v>
      </c>
      <c r="K565" s="4" t="str">
        <f>IFERROR(LEFT(T_LEAVE[[#This Row],[EMPLOYEE NAME]],LEN(T_LEAVE[[#This Row],[EMPLOYEE NAME]])-3),"")</f>
        <v>VIADO, DANAH LORRAINE</v>
      </c>
      <c r="L565" s="48">
        <f>IFERROR(DATEVALUE(TEXT(RIGHT(T_LEAVE[[#This Row],[LEAVE DATE]],LEN(T_LEAVE[[#This Row],[LEAVE DATE]])-6),"[$-en-US]d-mmm-yyyy;@")),"")</f>
        <v>44114</v>
      </c>
      <c r="M565" s="4" t="str">
        <f>IFERROR(TRIM(T_LEAVE[[#This Row],[TYPE]]),"")</f>
        <v>VACATION LEAVE</v>
      </c>
      <c r="N565" s="69" t="str">
        <f>IFERROR(VLOOKUP(T_LEAVE[[#This Row],[LEAVE TYPE]],T_LEAVETYPE[#All],2,0),"")</f>
        <v>VL</v>
      </c>
    </row>
    <row r="566" spans="2:14" x14ac:dyDescent="0.25">
      <c r="B566" s="93">
        <v>44102</v>
      </c>
      <c r="C566" s="48" t="s">
        <v>874</v>
      </c>
      <c r="D566" s="48" t="s">
        <v>1064</v>
      </c>
      <c r="E566" s="4" t="s">
        <v>88</v>
      </c>
      <c r="F566" s="49">
        <v>1</v>
      </c>
      <c r="G566" s="4" t="s">
        <v>1077</v>
      </c>
      <c r="I566" s="4" t="s">
        <v>149</v>
      </c>
      <c r="J566" s="4" t="s">
        <v>1078</v>
      </c>
      <c r="K566" s="4" t="str">
        <f>IFERROR(LEFT(T_LEAVE[[#This Row],[EMPLOYEE NAME]],LEN(T_LEAVE[[#This Row],[EMPLOYEE NAME]])-3),"")</f>
        <v>VIADO, DANAH LORRAINE</v>
      </c>
      <c r="L566" s="48">
        <f>IFERROR(DATEVALUE(TEXT(RIGHT(T_LEAVE[[#This Row],[LEAVE DATE]],LEN(T_LEAVE[[#This Row],[LEAVE DATE]])-6),"[$-en-US]d-mmm-yyyy;@")),"")</f>
        <v>44115</v>
      </c>
      <c r="M566" s="4" t="str">
        <f>IFERROR(TRIM(T_LEAVE[[#This Row],[TYPE]]),"")</f>
        <v>VACATION LEAVE</v>
      </c>
      <c r="N566" s="69" t="str">
        <f>IFERROR(VLOOKUP(T_LEAVE[[#This Row],[LEAVE TYPE]],T_LEAVETYPE[#All],2,0),"")</f>
        <v>VL</v>
      </c>
    </row>
    <row r="567" spans="2:14" x14ac:dyDescent="0.25">
      <c r="B567" s="93">
        <v>44103</v>
      </c>
      <c r="C567" s="48" t="s">
        <v>250</v>
      </c>
      <c r="D567" s="48" t="s">
        <v>240</v>
      </c>
      <c r="E567" s="4" t="s">
        <v>88</v>
      </c>
      <c r="F567" s="49">
        <v>1</v>
      </c>
      <c r="G567" s="4" t="s">
        <v>251</v>
      </c>
      <c r="I567" s="4" t="s">
        <v>149</v>
      </c>
      <c r="J567" s="4" t="s">
        <v>252</v>
      </c>
      <c r="K567" s="4" t="str">
        <f>IFERROR(LEFT(T_LEAVE[[#This Row],[EMPLOYEE NAME]],LEN(T_LEAVE[[#This Row],[EMPLOYEE NAME]])-3),"")</f>
        <v>AYAG, PRINCESS</v>
      </c>
      <c r="L567" s="48">
        <f>IFERROR(DATEVALUE(TEXT(RIGHT(T_LEAVE[[#This Row],[LEAVE DATE]],LEN(T_LEAVE[[#This Row],[LEAVE DATE]])-6),"[$-en-US]d-mmm-yyyy;@")),"")</f>
        <v>44125</v>
      </c>
      <c r="M567" s="4" t="str">
        <f>IFERROR(TRIM(T_LEAVE[[#This Row],[TYPE]]),"")</f>
        <v>VACATION LEAVE</v>
      </c>
      <c r="N567" s="69" t="str">
        <f>IFERROR(VLOOKUP(T_LEAVE[[#This Row],[LEAVE TYPE]],T_LEAVETYPE[#All],2,0),"")</f>
        <v>VL</v>
      </c>
    </row>
    <row r="568" spans="2:14" x14ac:dyDescent="0.25">
      <c r="B568" s="93">
        <v>44103</v>
      </c>
      <c r="C568" s="48" t="s">
        <v>185</v>
      </c>
      <c r="D568" s="48" t="s">
        <v>834</v>
      </c>
      <c r="E568" s="4" t="s">
        <v>89</v>
      </c>
      <c r="F568" s="49">
        <v>1</v>
      </c>
      <c r="G568" s="4" t="s">
        <v>205</v>
      </c>
      <c r="I568" s="4" t="s">
        <v>149</v>
      </c>
      <c r="J568" s="4" t="s">
        <v>843</v>
      </c>
      <c r="K568" s="4" t="str">
        <f>IFERROR(LEFT(T_LEAVE[[#This Row],[EMPLOYEE NAME]],LEN(T_LEAVE[[#This Row],[EMPLOYEE NAME]])-3),"")</f>
        <v>MARINAS, ELMERA</v>
      </c>
      <c r="L568" s="48">
        <f>IFERROR(DATEVALUE(TEXT(RIGHT(T_LEAVE[[#This Row],[LEAVE DATE]],LEN(T_LEAVE[[#This Row],[LEAVE DATE]])-6),"[$-en-US]d-mmm-yyyy;@")),"")</f>
        <v>44099</v>
      </c>
      <c r="M568" s="4" t="str">
        <f>IFERROR(TRIM(T_LEAVE[[#This Row],[TYPE]]),"")</f>
        <v>SICK LEAVE</v>
      </c>
      <c r="N568" s="69" t="str">
        <f>IFERROR(VLOOKUP(T_LEAVE[[#This Row],[LEAVE TYPE]],T_LEAVETYPE[#All],2,0),"")</f>
        <v>SL</v>
      </c>
    </row>
    <row r="569" spans="2:14" x14ac:dyDescent="0.25">
      <c r="B569" s="93">
        <v>44103</v>
      </c>
      <c r="C569" s="48" t="s">
        <v>844</v>
      </c>
      <c r="D569" s="48" t="s">
        <v>834</v>
      </c>
      <c r="E569" s="4" t="s">
        <v>88</v>
      </c>
      <c r="F569" s="49">
        <v>1</v>
      </c>
      <c r="G569" s="4" t="s">
        <v>612</v>
      </c>
      <c r="I569" s="4" t="s">
        <v>149</v>
      </c>
      <c r="J569" s="4" t="s">
        <v>843</v>
      </c>
      <c r="K569" s="4" t="str">
        <f>IFERROR(LEFT(T_LEAVE[[#This Row],[EMPLOYEE NAME]],LEN(T_LEAVE[[#This Row],[EMPLOYEE NAME]])-3),"")</f>
        <v>MARINAS, ELMERA</v>
      </c>
      <c r="L569" s="48">
        <f>IFERROR(DATEVALUE(TEXT(RIGHT(T_LEAVE[[#This Row],[LEAVE DATE]],LEN(T_LEAVE[[#This Row],[LEAVE DATE]])-6),"[$-en-US]d-mmm-yyyy;@")),"")</f>
        <v>44128</v>
      </c>
      <c r="M569" s="4" t="str">
        <f>IFERROR(TRIM(T_LEAVE[[#This Row],[TYPE]]),"")</f>
        <v>VACATION LEAVE</v>
      </c>
      <c r="N569" s="69" t="str">
        <f>IFERROR(VLOOKUP(T_LEAVE[[#This Row],[LEAVE TYPE]],T_LEAVETYPE[#All],2,0),"")</f>
        <v>VL</v>
      </c>
    </row>
    <row r="570" spans="2:14" x14ac:dyDescent="0.25">
      <c r="B570" s="93">
        <v>44105</v>
      </c>
      <c r="C570" s="48" t="s">
        <v>624</v>
      </c>
      <c r="D570" s="48" t="s">
        <v>602</v>
      </c>
      <c r="E570" s="4" t="s">
        <v>88</v>
      </c>
      <c r="F570" s="49">
        <v>0.5</v>
      </c>
      <c r="G570" s="4" t="s">
        <v>625</v>
      </c>
      <c r="I570" s="4" t="s">
        <v>149</v>
      </c>
      <c r="J570" s="4" t="s">
        <v>626</v>
      </c>
      <c r="K570" s="4" t="str">
        <f>IFERROR(LEFT(T_LEAVE[[#This Row],[EMPLOYEE NAME]],LEN(T_LEAVE[[#This Row],[EMPLOYEE NAME]])-3),"")</f>
        <v>HIPOLITO, JOYCE ANN KENETH</v>
      </c>
      <c r="L570" s="48">
        <f>IFERROR(DATEVALUE(TEXT(RIGHT(T_LEAVE[[#This Row],[LEAVE DATE]],LEN(T_LEAVE[[#This Row],[LEAVE DATE]])-6),"[$-en-US]d-mmm-yyyy;@")),"")</f>
        <v>44114</v>
      </c>
      <c r="M570" s="4" t="str">
        <f>IFERROR(TRIM(T_LEAVE[[#This Row],[TYPE]]),"")</f>
        <v>VACATION LEAVE</v>
      </c>
      <c r="N570" s="69" t="str">
        <f>IFERROR(VLOOKUP(T_LEAVE[[#This Row],[LEAVE TYPE]],T_LEAVETYPE[#All],2,0),"")</f>
        <v>VL</v>
      </c>
    </row>
    <row r="571" spans="2:14" x14ac:dyDescent="0.25">
      <c r="B571" s="93">
        <v>44105</v>
      </c>
      <c r="C571" s="48" t="s">
        <v>360</v>
      </c>
      <c r="D571" s="48" t="s">
        <v>602</v>
      </c>
      <c r="E571" s="4" t="s">
        <v>88</v>
      </c>
      <c r="F571" s="49">
        <v>0.5</v>
      </c>
      <c r="G571" s="4" t="s">
        <v>625</v>
      </c>
      <c r="I571" s="4" t="s">
        <v>149</v>
      </c>
      <c r="J571" s="4" t="s">
        <v>626</v>
      </c>
      <c r="K571" s="4" t="str">
        <f>IFERROR(LEFT(T_LEAVE[[#This Row],[EMPLOYEE NAME]],LEN(T_LEAVE[[#This Row],[EMPLOYEE NAME]])-3),"")</f>
        <v>HIPOLITO, JOYCE ANN KENETH</v>
      </c>
      <c r="L571" s="48">
        <f>IFERROR(DATEVALUE(TEXT(RIGHT(T_LEAVE[[#This Row],[LEAVE DATE]],LEN(T_LEAVE[[#This Row],[LEAVE DATE]])-6),"[$-en-US]d-mmm-yyyy;@")),"")</f>
        <v>44117</v>
      </c>
      <c r="M571" s="4" t="str">
        <f>IFERROR(TRIM(T_LEAVE[[#This Row],[TYPE]]),"")</f>
        <v>VACATION LEAVE</v>
      </c>
      <c r="N571" s="69" t="str">
        <f>IFERROR(VLOOKUP(T_LEAVE[[#This Row],[LEAVE TYPE]],T_LEAVETYPE[#All],2,0),"")</f>
        <v>VL</v>
      </c>
    </row>
    <row r="572" spans="2:14" x14ac:dyDescent="0.25">
      <c r="B572" s="93">
        <v>44105</v>
      </c>
      <c r="C572" s="48" t="s">
        <v>361</v>
      </c>
      <c r="D572" s="48" t="s">
        <v>602</v>
      </c>
      <c r="E572" s="4" t="s">
        <v>88</v>
      </c>
      <c r="F572" s="49">
        <v>0.5</v>
      </c>
      <c r="G572" s="4" t="s">
        <v>625</v>
      </c>
      <c r="I572" s="4" t="s">
        <v>149</v>
      </c>
      <c r="J572" s="4" t="s">
        <v>626</v>
      </c>
      <c r="K572" s="4" t="str">
        <f>IFERROR(LEFT(T_LEAVE[[#This Row],[EMPLOYEE NAME]],LEN(T_LEAVE[[#This Row],[EMPLOYEE NAME]])-3),"")</f>
        <v>HIPOLITO, JOYCE ANN KENETH</v>
      </c>
      <c r="L572" s="48">
        <f>IFERROR(DATEVALUE(TEXT(RIGHT(T_LEAVE[[#This Row],[LEAVE DATE]],LEN(T_LEAVE[[#This Row],[LEAVE DATE]])-6),"[$-en-US]d-mmm-yyyy;@")),"")</f>
        <v>44118</v>
      </c>
      <c r="M572" s="4" t="str">
        <f>IFERROR(TRIM(T_LEAVE[[#This Row],[TYPE]]),"")</f>
        <v>VACATION LEAVE</v>
      </c>
      <c r="N572" s="69" t="str">
        <f>IFERROR(VLOOKUP(T_LEAVE[[#This Row],[LEAVE TYPE]],T_LEAVETYPE[#All],2,0),"")</f>
        <v>VL</v>
      </c>
    </row>
    <row r="573" spans="2:14" x14ac:dyDescent="0.25">
      <c r="B573" s="93">
        <v>44105</v>
      </c>
      <c r="C573" s="48" t="s">
        <v>362</v>
      </c>
      <c r="D573" s="48" t="s">
        <v>602</v>
      </c>
      <c r="E573" s="4" t="s">
        <v>88</v>
      </c>
      <c r="F573" s="49">
        <v>0.5</v>
      </c>
      <c r="G573" s="4" t="s">
        <v>625</v>
      </c>
      <c r="I573" s="4" t="s">
        <v>149</v>
      </c>
      <c r="J573" s="4" t="s">
        <v>626</v>
      </c>
      <c r="K573" s="4" t="str">
        <f>IFERROR(LEFT(T_LEAVE[[#This Row],[EMPLOYEE NAME]],LEN(T_LEAVE[[#This Row],[EMPLOYEE NAME]])-3),"")</f>
        <v>HIPOLITO, JOYCE ANN KENETH</v>
      </c>
      <c r="L573" s="48">
        <f>IFERROR(DATEVALUE(TEXT(RIGHT(T_LEAVE[[#This Row],[LEAVE DATE]],LEN(T_LEAVE[[#This Row],[LEAVE DATE]])-6),"[$-en-US]d-mmm-yyyy;@")),"")</f>
        <v>44119</v>
      </c>
      <c r="M573" s="4" t="str">
        <f>IFERROR(TRIM(T_LEAVE[[#This Row],[TYPE]]),"")</f>
        <v>VACATION LEAVE</v>
      </c>
      <c r="N573" s="69" t="str">
        <f>IFERROR(VLOOKUP(T_LEAVE[[#This Row],[LEAVE TYPE]],T_LEAVETYPE[#All],2,0),"")</f>
        <v>VL</v>
      </c>
    </row>
    <row r="574" spans="2:14" x14ac:dyDescent="0.25">
      <c r="B574" s="93">
        <v>44105</v>
      </c>
      <c r="C574" s="48" t="s">
        <v>363</v>
      </c>
      <c r="D574" s="48" t="s">
        <v>602</v>
      </c>
      <c r="E574" s="4" t="s">
        <v>88</v>
      </c>
      <c r="F574" s="49">
        <v>0.5</v>
      </c>
      <c r="G574" s="4" t="s">
        <v>625</v>
      </c>
      <c r="I574" s="4" t="s">
        <v>149</v>
      </c>
      <c r="J574" s="4" t="s">
        <v>626</v>
      </c>
      <c r="K574" s="4" t="str">
        <f>IFERROR(LEFT(T_LEAVE[[#This Row],[EMPLOYEE NAME]],LEN(T_LEAVE[[#This Row],[EMPLOYEE NAME]])-3),"")</f>
        <v>HIPOLITO, JOYCE ANN KENETH</v>
      </c>
      <c r="L574" s="48">
        <f>IFERROR(DATEVALUE(TEXT(RIGHT(T_LEAVE[[#This Row],[LEAVE DATE]],LEN(T_LEAVE[[#This Row],[LEAVE DATE]])-6),"[$-en-US]d-mmm-yyyy;@")),"")</f>
        <v>44120</v>
      </c>
      <c r="M574" s="4" t="str">
        <f>IFERROR(TRIM(T_LEAVE[[#This Row],[TYPE]]),"")</f>
        <v>VACATION LEAVE</v>
      </c>
      <c r="N574" s="69" t="str">
        <f>IFERROR(VLOOKUP(T_LEAVE[[#This Row],[LEAVE TYPE]],T_LEAVETYPE[#All],2,0),"")</f>
        <v>VL</v>
      </c>
    </row>
    <row r="575" spans="2:14" x14ac:dyDescent="0.25">
      <c r="B575" s="93">
        <v>44105</v>
      </c>
      <c r="C575" s="48" t="s">
        <v>627</v>
      </c>
      <c r="D575" s="48" t="s">
        <v>602</v>
      </c>
      <c r="E575" s="4" t="s">
        <v>88</v>
      </c>
      <c r="F575" s="49">
        <v>0.5</v>
      </c>
      <c r="G575" s="4" t="s">
        <v>625</v>
      </c>
      <c r="I575" s="4" t="s">
        <v>149</v>
      </c>
      <c r="J575" s="4" t="s">
        <v>626</v>
      </c>
      <c r="K575" s="4" t="str">
        <f>IFERROR(LEFT(T_LEAVE[[#This Row],[EMPLOYEE NAME]],LEN(T_LEAVE[[#This Row],[EMPLOYEE NAME]])-3),"")</f>
        <v>HIPOLITO, JOYCE ANN KENETH</v>
      </c>
      <c r="L575" s="48">
        <f>IFERROR(DATEVALUE(TEXT(RIGHT(T_LEAVE[[#This Row],[LEAVE DATE]],LEN(T_LEAVE[[#This Row],[LEAVE DATE]])-6),"[$-en-US]d-mmm-yyyy;@")),"")</f>
        <v>44121</v>
      </c>
      <c r="M575" s="4" t="str">
        <f>IFERROR(TRIM(T_LEAVE[[#This Row],[TYPE]]),"")</f>
        <v>VACATION LEAVE</v>
      </c>
      <c r="N575" s="69" t="str">
        <f>IFERROR(VLOOKUP(T_LEAVE[[#This Row],[LEAVE TYPE]],T_LEAVETYPE[#All],2,0),"")</f>
        <v>VL</v>
      </c>
    </row>
    <row r="576" spans="2:14" x14ac:dyDescent="0.25">
      <c r="B576" s="93">
        <v>44105</v>
      </c>
      <c r="C576" s="48" t="s">
        <v>628</v>
      </c>
      <c r="D576" s="48" t="s">
        <v>602</v>
      </c>
      <c r="E576" s="4" t="s">
        <v>88</v>
      </c>
      <c r="F576" s="49">
        <v>0.5</v>
      </c>
      <c r="G576" s="4" t="s">
        <v>625</v>
      </c>
      <c r="I576" s="4" t="s">
        <v>149</v>
      </c>
      <c r="J576" s="4" t="s">
        <v>626</v>
      </c>
      <c r="K576" s="4" t="str">
        <f>IFERROR(LEFT(T_LEAVE[[#This Row],[EMPLOYEE NAME]],LEN(T_LEAVE[[#This Row],[EMPLOYEE NAME]])-3),"")</f>
        <v>HIPOLITO, JOYCE ANN KENETH</v>
      </c>
      <c r="L576" s="48">
        <f>IFERROR(DATEVALUE(TEXT(RIGHT(T_LEAVE[[#This Row],[LEAVE DATE]],LEN(T_LEAVE[[#This Row],[LEAVE DATE]])-6),"[$-en-US]d-mmm-yyyy;@")),"")</f>
        <v>44124</v>
      </c>
      <c r="M576" s="4" t="str">
        <f>IFERROR(TRIM(T_LEAVE[[#This Row],[TYPE]]),"")</f>
        <v>VACATION LEAVE</v>
      </c>
      <c r="N576" s="69" t="str">
        <f>IFERROR(VLOOKUP(T_LEAVE[[#This Row],[LEAVE TYPE]],T_LEAVETYPE[#All],2,0),"")</f>
        <v>VL</v>
      </c>
    </row>
    <row r="577" spans="2:14" x14ac:dyDescent="0.25">
      <c r="B577" s="93">
        <v>44110</v>
      </c>
      <c r="C577" s="48" t="s">
        <v>188</v>
      </c>
      <c r="D577" s="48" t="s">
        <v>147</v>
      </c>
      <c r="E577" s="4" t="s">
        <v>88</v>
      </c>
      <c r="F577" s="49">
        <v>1</v>
      </c>
      <c r="G577" s="4" t="s">
        <v>189</v>
      </c>
      <c r="I577" s="4" t="s">
        <v>149</v>
      </c>
      <c r="J577" s="4" t="s">
        <v>190</v>
      </c>
      <c r="K577" s="4" t="str">
        <f>IFERROR(LEFT(T_LEAVE[[#This Row],[EMPLOYEE NAME]],LEN(T_LEAVE[[#This Row],[EMPLOYEE NAME]])-3),"")</f>
        <v>ACOSTA, JOSEPH VAUGHN</v>
      </c>
      <c r="L577" s="48">
        <f>IFERROR(DATEVALUE(TEXT(RIGHT(T_LEAVE[[#This Row],[LEAVE DATE]],LEN(T_LEAVE[[#This Row],[LEAVE DATE]])-6),"[$-en-US]d-mmm-yyyy;@")),"")</f>
        <v>44111</v>
      </c>
      <c r="M577" s="4" t="str">
        <f>IFERROR(TRIM(T_LEAVE[[#This Row],[TYPE]]),"")</f>
        <v>VACATION LEAVE</v>
      </c>
      <c r="N577" s="4" t="str">
        <f>IFERROR(VLOOKUP(T_LEAVE[[#This Row],[LEAVE TYPE]],T_LEAVETYPE[#All],2,0),"")</f>
        <v>VL</v>
      </c>
    </row>
    <row r="578" spans="2:14" x14ac:dyDescent="0.25">
      <c r="B578" s="93">
        <v>44113</v>
      </c>
      <c r="C578" s="48" t="s">
        <v>356</v>
      </c>
      <c r="D578" s="48" t="s">
        <v>357</v>
      </c>
      <c r="E578" s="4" t="s">
        <v>88</v>
      </c>
      <c r="F578" s="49">
        <v>1</v>
      </c>
      <c r="G578" s="4" t="s">
        <v>358</v>
      </c>
      <c r="I578" s="4" t="s">
        <v>149</v>
      </c>
      <c r="J578" s="4" t="s">
        <v>359</v>
      </c>
      <c r="K578" s="4" t="str">
        <f>IFERROR(LEFT(T_LEAVE[[#This Row],[EMPLOYEE NAME]],LEN(T_LEAVE[[#This Row],[EMPLOYEE NAME]])-3),"")</f>
        <v>BORJA, RONCEY</v>
      </c>
      <c r="L578" s="48">
        <f>IFERROR(DATEVALUE(TEXT(RIGHT(T_LEAVE[[#This Row],[LEAVE DATE]],LEN(T_LEAVE[[#This Row],[LEAVE DATE]])-6),"[$-en-US]d-mmm-yyyy;@")),"")</f>
        <v>44116</v>
      </c>
      <c r="M578" s="4" t="str">
        <f>IFERROR(TRIM(T_LEAVE[[#This Row],[TYPE]]),"")</f>
        <v>VACATION LEAVE</v>
      </c>
      <c r="N578" s="69" t="str">
        <f>IFERROR(VLOOKUP(T_LEAVE[[#This Row],[LEAVE TYPE]],T_LEAVETYPE[#All],2,0),"")</f>
        <v>VL</v>
      </c>
    </row>
    <row r="579" spans="2:14" x14ac:dyDescent="0.25">
      <c r="B579" s="93">
        <v>44113</v>
      </c>
      <c r="C579" s="48" t="s">
        <v>360</v>
      </c>
      <c r="D579" s="48" t="s">
        <v>357</v>
      </c>
      <c r="E579" s="4" t="s">
        <v>88</v>
      </c>
      <c r="F579" s="49">
        <v>1</v>
      </c>
      <c r="G579" s="4" t="s">
        <v>358</v>
      </c>
      <c r="I579" s="4" t="s">
        <v>149</v>
      </c>
      <c r="J579" s="4" t="s">
        <v>359</v>
      </c>
      <c r="K579" s="4" t="str">
        <f>IFERROR(LEFT(T_LEAVE[[#This Row],[EMPLOYEE NAME]],LEN(T_LEAVE[[#This Row],[EMPLOYEE NAME]])-3),"")</f>
        <v>BORJA, RONCEY</v>
      </c>
      <c r="L579" s="48">
        <f>IFERROR(DATEVALUE(TEXT(RIGHT(T_LEAVE[[#This Row],[LEAVE DATE]],LEN(T_LEAVE[[#This Row],[LEAVE DATE]])-6),"[$-en-US]d-mmm-yyyy;@")),"")</f>
        <v>44117</v>
      </c>
      <c r="M579" s="4" t="str">
        <f>IFERROR(TRIM(T_LEAVE[[#This Row],[TYPE]]),"")</f>
        <v>VACATION LEAVE</v>
      </c>
      <c r="N579" s="69" t="str">
        <f>IFERROR(VLOOKUP(T_LEAVE[[#This Row],[LEAVE TYPE]],T_LEAVETYPE[#All],2,0),"")</f>
        <v>VL</v>
      </c>
    </row>
    <row r="580" spans="2:14" x14ac:dyDescent="0.25">
      <c r="B580" s="93">
        <v>44113</v>
      </c>
      <c r="C580" s="48" t="s">
        <v>361</v>
      </c>
      <c r="D580" s="48" t="s">
        <v>357</v>
      </c>
      <c r="E580" s="4" t="s">
        <v>88</v>
      </c>
      <c r="F580" s="49">
        <v>1</v>
      </c>
      <c r="G580" s="4" t="s">
        <v>358</v>
      </c>
      <c r="I580" s="4" t="s">
        <v>149</v>
      </c>
      <c r="J580" s="4" t="s">
        <v>359</v>
      </c>
      <c r="K580" s="4" t="str">
        <f>IFERROR(LEFT(T_LEAVE[[#This Row],[EMPLOYEE NAME]],LEN(T_LEAVE[[#This Row],[EMPLOYEE NAME]])-3),"")</f>
        <v>BORJA, RONCEY</v>
      </c>
      <c r="L580" s="48">
        <f>IFERROR(DATEVALUE(TEXT(RIGHT(T_LEAVE[[#This Row],[LEAVE DATE]],LEN(T_LEAVE[[#This Row],[LEAVE DATE]])-6),"[$-en-US]d-mmm-yyyy;@")),"")</f>
        <v>44118</v>
      </c>
      <c r="M580" s="4" t="str">
        <f>IFERROR(TRIM(T_LEAVE[[#This Row],[TYPE]]),"")</f>
        <v>VACATION LEAVE</v>
      </c>
      <c r="N580" s="69" t="str">
        <f>IFERROR(VLOOKUP(T_LEAVE[[#This Row],[LEAVE TYPE]],T_LEAVETYPE[#All],2,0),"")</f>
        <v>VL</v>
      </c>
    </row>
    <row r="581" spans="2:14" x14ac:dyDescent="0.25">
      <c r="B581" s="93">
        <v>44113</v>
      </c>
      <c r="C581" s="48" t="s">
        <v>362</v>
      </c>
      <c r="D581" s="48" t="s">
        <v>357</v>
      </c>
      <c r="E581" s="4" t="s">
        <v>88</v>
      </c>
      <c r="F581" s="49">
        <v>1</v>
      </c>
      <c r="G581" s="4" t="s">
        <v>358</v>
      </c>
      <c r="I581" s="4" t="s">
        <v>149</v>
      </c>
      <c r="J581" s="4" t="s">
        <v>359</v>
      </c>
      <c r="K581" s="4" t="str">
        <f>IFERROR(LEFT(T_LEAVE[[#This Row],[EMPLOYEE NAME]],LEN(T_LEAVE[[#This Row],[EMPLOYEE NAME]])-3),"")</f>
        <v>BORJA, RONCEY</v>
      </c>
      <c r="L581" s="48">
        <f>IFERROR(DATEVALUE(TEXT(RIGHT(T_LEAVE[[#This Row],[LEAVE DATE]],LEN(T_LEAVE[[#This Row],[LEAVE DATE]])-6),"[$-en-US]d-mmm-yyyy;@")),"")</f>
        <v>44119</v>
      </c>
      <c r="M581" s="4" t="str">
        <f>IFERROR(TRIM(T_LEAVE[[#This Row],[TYPE]]),"")</f>
        <v>VACATION LEAVE</v>
      </c>
      <c r="N581" s="69" t="str">
        <f>IFERROR(VLOOKUP(T_LEAVE[[#This Row],[LEAVE TYPE]],T_LEAVETYPE[#All],2,0),"")</f>
        <v>VL</v>
      </c>
    </row>
    <row r="582" spans="2:14" x14ac:dyDescent="0.25">
      <c r="B582" s="93">
        <v>44113</v>
      </c>
      <c r="C582" s="48" t="s">
        <v>363</v>
      </c>
      <c r="D582" s="48" t="s">
        <v>357</v>
      </c>
      <c r="E582" s="4" t="s">
        <v>88</v>
      </c>
      <c r="F582" s="49">
        <v>1</v>
      </c>
      <c r="G582" s="4" t="s">
        <v>358</v>
      </c>
      <c r="I582" s="4" t="s">
        <v>149</v>
      </c>
      <c r="J582" s="4" t="s">
        <v>359</v>
      </c>
      <c r="K582" s="4" t="str">
        <f>IFERROR(LEFT(T_LEAVE[[#This Row],[EMPLOYEE NAME]],LEN(T_LEAVE[[#This Row],[EMPLOYEE NAME]])-3),"")</f>
        <v>BORJA, RONCEY</v>
      </c>
      <c r="L582" s="48">
        <f>IFERROR(DATEVALUE(TEXT(RIGHT(T_LEAVE[[#This Row],[LEAVE DATE]],LEN(T_LEAVE[[#This Row],[LEAVE DATE]])-6),"[$-en-US]d-mmm-yyyy;@")),"")</f>
        <v>44120</v>
      </c>
      <c r="M582" s="4" t="str">
        <f>IFERROR(TRIM(T_LEAVE[[#This Row],[TYPE]]),"")</f>
        <v>VACATION LEAVE</v>
      </c>
      <c r="N582" s="69" t="str">
        <f>IFERROR(VLOOKUP(T_LEAVE[[#This Row],[LEAVE TYPE]],T_LEAVETYPE[#All],2,0),"")</f>
        <v>VL</v>
      </c>
    </row>
    <row r="583" spans="2:14" x14ac:dyDescent="0.25">
      <c r="B583" s="93">
        <v>44121</v>
      </c>
      <c r="C583" s="48" t="s">
        <v>492</v>
      </c>
      <c r="D583" s="48" t="s">
        <v>480</v>
      </c>
      <c r="E583" s="4" t="s">
        <v>88</v>
      </c>
      <c r="F583" s="49">
        <v>1</v>
      </c>
      <c r="G583" s="4" t="s">
        <v>493</v>
      </c>
      <c r="I583" s="4" t="s">
        <v>149</v>
      </c>
      <c r="J583" s="4" t="s">
        <v>494</v>
      </c>
      <c r="K583" s="4" t="str">
        <f>IFERROR(LEFT(T_LEAVE[[#This Row],[EMPLOYEE NAME]],LEN(T_LEAVE[[#This Row],[EMPLOYEE NAME]])-3),"")</f>
        <v>DELA CRUZ, R-JOHN</v>
      </c>
      <c r="L583" s="48">
        <f>IFERROR(DATEVALUE(TEXT(RIGHT(T_LEAVE[[#This Row],[LEAVE DATE]],LEN(T_LEAVE[[#This Row],[LEAVE DATE]])-6),"[$-en-US]d-mmm-yyyy;@")),"")</f>
        <v>44137</v>
      </c>
      <c r="M583" s="4" t="str">
        <f>IFERROR(TRIM(T_LEAVE[[#This Row],[TYPE]]),"")</f>
        <v>VACATION LEAVE</v>
      </c>
      <c r="N583" s="69" t="str">
        <f>IFERROR(VLOOKUP(T_LEAVE[[#This Row],[LEAVE TYPE]],T_LEAVETYPE[#All],2,0),"")</f>
        <v>VL</v>
      </c>
    </row>
    <row r="584" spans="2:14" x14ac:dyDescent="0.25">
      <c r="B584" s="93">
        <v>44121</v>
      </c>
      <c r="C584" s="48" t="s">
        <v>736</v>
      </c>
      <c r="D584" s="48" t="s">
        <v>691</v>
      </c>
      <c r="E584" s="4" t="s">
        <v>88</v>
      </c>
      <c r="F584" s="49">
        <v>1</v>
      </c>
      <c r="G584" s="4" t="s">
        <v>737</v>
      </c>
      <c r="I584" s="4" t="s">
        <v>149</v>
      </c>
      <c r="J584" s="4" t="s">
        <v>738</v>
      </c>
      <c r="K584" s="4" t="str">
        <f>IFERROR(LEFT(T_LEAVE[[#This Row],[EMPLOYEE NAME]],LEN(T_LEAVE[[#This Row],[EMPLOYEE NAME]])-3),"")</f>
        <v>LATUGA, PHOEBE</v>
      </c>
      <c r="L584" s="48">
        <f>IFERROR(DATEVALUE(TEXT(RIGHT(T_LEAVE[[#This Row],[LEAVE DATE]],LEN(T_LEAVE[[#This Row],[LEAVE DATE]])-6),"[$-en-US]d-mmm-yyyy;@")),"")</f>
        <v>44126</v>
      </c>
      <c r="M584" s="4" t="str">
        <f>IFERROR(TRIM(T_LEAVE[[#This Row],[TYPE]]),"")</f>
        <v>VACATION LEAVE</v>
      </c>
      <c r="N584" s="69" t="str">
        <f>IFERROR(VLOOKUP(T_LEAVE[[#This Row],[LEAVE TYPE]],T_LEAVETYPE[#All],2,0),"")</f>
        <v>VL</v>
      </c>
    </row>
    <row r="585" spans="2:14" x14ac:dyDescent="0.25">
      <c r="B585" s="93">
        <v>44123</v>
      </c>
      <c r="C585" s="48" t="s">
        <v>536</v>
      </c>
      <c r="D585" s="48" t="s">
        <v>517</v>
      </c>
      <c r="E585" s="4" t="s">
        <v>88</v>
      </c>
      <c r="F585" s="49">
        <v>1</v>
      </c>
      <c r="G585" s="4" t="s">
        <v>537</v>
      </c>
      <c r="I585" s="4" t="s">
        <v>149</v>
      </c>
      <c r="J585" s="4" t="s">
        <v>538</v>
      </c>
      <c r="K585" s="4" t="str">
        <f>IFERROR(LEFT(T_LEAVE[[#This Row],[EMPLOYEE NAME]],LEN(T_LEAVE[[#This Row],[EMPLOYEE NAME]])-3),"")</f>
        <v>FESTEJO, ABIEL CAMBYSES</v>
      </c>
      <c r="L585" s="48">
        <f>IFERROR(DATEVALUE(TEXT(RIGHT(T_LEAVE[[#This Row],[LEAVE DATE]],LEN(T_LEAVE[[#This Row],[LEAVE DATE]])-6),"[$-en-US]d-mmm-yyyy;@")),"")</f>
        <v>44145</v>
      </c>
      <c r="M585" s="4" t="str">
        <f>IFERROR(TRIM(T_LEAVE[[#This Row],[TYPE]]),"")</f>
        <v>VACATION LEAVE</v>
      </c>
      <c r="N585" s="69" t="str">
        <f>IFERROR(VLOOKUP(T_LEAVE[[#This Row],[LEAVE TYPE]],T_LEAVETYPE[#All],2,0),"")</f>
        <v>VL</v>
      </c>
    </row>
    <row r="586" spans="2:14" x14ac:dyDescent="0.25">
      <c r="B586" s="93">
        <v>44123</v>
      </c>
      <c r="C586" s="48" t="s">
        <v>539</v>
      </c>
      <c r="D586" s="48" t="s">
        <v>517</v>
      </c>
      <c r="E586" s="4" t="s">
        <v>88</v>
      </c>
      <c r="F586" s="49">
        <v>1</v>
      </c>
      <c r="G586" s="4" t="s">
        <v>537</v>
      </c>
      <c r="I586" s="4" t="s">
        <v>149</v>
      </c>
      <c r="J586" s="4" t="s">
        <v>538</v>
      </c>
      <c r="K586" s="4" t="str">
        <f>IFERROR(LEFT(T_LEAVE[[#This Row],[EMPLOYEE NAME]],LEN(T_LEAVE[[#This Row],[EMPLOYEE NAME]])-3),"")</f>
        <v>FESTEJO, ABIEL CAMBYSES</v>
      </c>
      <c r="L586" s="48">
        <f>IFERROR(DATEVALUE(TEXT(RIGHT(T_LEAVE[[#This Row],[LEAVE DATE]],LEN(T_LEAVE[[#This Row],[LEAVE DATE]])-6),"[$-en-US]d-mmm-yyyy;@")),"")</f>
        <v>44146</v>
      </c>
      <c r="M586" s="4" t="str">
        <f>IFERROR(TRIM(T_LEAVE[[#This Row],[TYPE]]),"")</f>
        <v>VACATION LEAVE</v>
      </c>
      <c r="N586" s="69" t="str">
        <f>IFERROR(VLOOKUP(T_LEAVE[[#This Row],[LEAVE TYPE]],T_LEAVETYPE[#All],2,0),"")</f>
        <v>VL</v>
      </c>
    </row>
    <row r="587" spans="2:14" x14ac:dyDescent="0.25">
      <c r="B587" s="93">
        <v>44123</v>
      </c>
      <c r="C587" s="48" t="s">
        <v>540</v>
      </c>
      <c r="D587" s="48" t="s">
        <v>517</v>
      </c>
      <c r="E587" s="4" t="s">
        <v>88</v>
      </c>
      <c r="F587" s="49">
        <v>1</v>
      </c>
      <c r="G587" s="4" t="s">
        <v>537</v>
      </c>
      <c r="I587" s="4" t="s">
        <v>149</v>
      </c>
      <c r="J587" s="4" t="s">
        <v>538</v>
      </c>
      <c r="K587" s="4" t="str">
        <f>IFERROR(LEFT(T_LEAVE[[#This Row],[EMPLOYEE NAME]],LEN(T_LEAVE[[#This Row],[EMPLOYEE NAME]])-3),"")</f>
        <v>FESTEJO, ABIEL CAMBYSES</v>
      </c>
      <c r="L587" s="48">
        <f>IFERROR(DATEVALUE(TEXT(RIGHT(T_LEAVE[[#This Row],[LEAVE DATE]],LEN(T_LEAVE[[#This Row],[LEAVE DATE]])-6),"[$-en-US]d-mmm-yyyy;@")),"")</f>
        <v>44147</v>
      </c>
      <c r="M587" s="4" t="str">
        <f>IFERROR(TRIM(T_LEAVE[[#This Row],[TYPE]]),"")</f>
        <v>VACATION LEAVE</v>
      </c>
      <c r="N587" s="69" t="str">
        <f>IFERROR(VLOOKUP(T_LEAVE[[#This Row],[LEAVE TYPE]],T_LEAVETYPE[#All],2,0),"")</f>
        <v>VL</v>
      </c>
    </row>
    <row r="588" spans="2:14" x14ac:dyDescent="0.25">
      <c r="B588" s="93">
        <v>44123</v>
      </c>
      <c r="C588" s="48" t="s">
        <v>448</v>
      </c>
      <c r="D588" s="48" t="s">
        <v>517</v>
      </c>
      <c r="E588" s="4" t="s">
        <v>88</v>
      </c>
      <c r="F588" s="49">
        <v>1</v>
      </c>
      <c r="G588" s="4" t="s">
        <v>537</v>
      </c>
      <c r="I588" s="4" t="s">
        <v>149</v>
      </c>
      <c r="J588" s="4" t="s">
        <v>538</v>
      </c>
      <c r="K588" s="4" t="str">
        <f>IFERROR(LEFT(T_LEAVE[[#This Row],[EMPLOYEE NAME]],LEN(T_LEAVE[[#This Row],[EMPLOYEE NAME]])-3),"")</f>
        <v>FESTEJO, ABIEL CAMBYSES</v>
      </c>
      <c r="L588" s="48">
        <f>IFERROR(DATEVALUE(TEXT(RIGHT(T_LEAVE[[#This Row],[LEAVE DATE]],LEN(T_LEAVE[[#This Row],[LEAVE DATE]])-6),"[$-en-US]d-mmm-yyyy;@")),"")</f>
        <v>44150</v>
      </c>
      <c r="M588" s="4" t="str">
        <f>IFERROR(TRIM(T_LEAVE[[#This Row],[TYPE]]),"")</f>
        <v>VACATION LEAVE</v>
      </c>
      <c r="N588" s="69" t="str">
        <f>IFERROR(VLOOKUP(T_LEAVE[[#This Row],[LEAVE TYPE]],T_LEAVETYPE[#All],2,0),"")</f>
        <v>VL</v>
      </c>
    </row>
    <row r="589" spans="2:14" x14ac:dyDescent="0.25">
      <c r="B589" s="93">
        <v>44131</v>
      </c>
      <c r="C589" s="48" t="s">
        <v>492</v>
      </c>
      <c r="D589" s="48" t="s">
        <v>1004</v>
      </c>
      <c r="E589" s="4" t="s">
        <v>88</v>
      </c>
      <c r="F589" s="49">
        <v>1</v>
      </c>
      <c r="G589" s="4" t="s">
        <v>1021</v>
      </c>
      <c r="I589" s="4" t="s">
        <v>149</v>
      </c>
      <c r="J589" s="4" t="s">
        <v>1022</v>
      </c>
      <c r="K589" s="4" t="str">
        <f>IFERROR(LEFT(T_LEAVE[[#This Row],[EMPLOYEE NAME]],LEN(T_LEAVE[[#This Row],[EMPLOYEE NAME]])-3),"")</f>
        <v>VALENCIA, WINDSOR ROBERT</v>
      </c>
      <c r="L589" s="48">
        <f>IFERROR(DATEVALUE(TEXT(RIGHT(T_LEAVE[[#This Row],[LEAVE DATE]],LEN(T_LEAVE[[#This Row],[LEAVE DATE]])-6),"[$-en-US]d-mmm-yyyy;@")),"")</f>
        <v>44137</v>
      </c>
      <c r="M589" s="4" t="str">
        <f>IFERROR(TRIM(T_LEAVE[[#This Row],[TYPE]]),"")</f>
        <v>VACATION LEAVE</v>
      </c>
      <c r="N589" s="69" t="str">
        <f>IFERROR(VLOOKUP(T_LEAVE[[#This Row],[LEAVE TYPE]],T_LEAVETYPE[#All],2,0),"")</f>
        <v>VL</v>
      </c>
    </row>
    <row r="590" spans="2:14" x14ac:dyDescent="0.25">
      <c r="B590" s="93">
        <v>44133</v>
      </c>
      <c r="C590" s="48" t="s">
        <v>1116</v>
      </c>
      <c r="D590" s="48" t="s">
        <v>1100</v>
      </c>
      <c r="E590" s="4" t="s">
        <v>89</v>
      </c>
      <c r="F590" s="49">
        <v>1</v>
      </c>
      <c r="G590" s="4" t="s">
        <v>1117</v>
      </c>
      <c r="I590" s="4" t="s">
        <v>149</v>
      </c>
      <c r="J590" s="4" t="s">
        <v>1118</v>
      </c>
      <c r="K590" s="4" t="str">
        <f>IFERROR(LEFT(T_LEAVE[[#This Row],[EMPLOYEE NAME]],LEN(T_LEAVE[[#This Row],[EMPLOYEE NAME]])-3),"")</f>
        <v>VILLAFLOR, REA</v>
      </c>
      <c r="L590" s="48">
        <f>IFERROR(DATEVALUE(TEXT(RIGHT(T_LEAVE[[#This Row],[LEAVE DATE]],LEN(T_LEAVE[[#This Row],[LEAVE DATE]])-6),"[$-en-US]d-mmm-yyyy;@")),"")</f>
        <v>44142</v>
      </c>
      <c r="M590" s="4" t="str">
        <f>IFERROR(TRIM(T_LEAVE[[#This Row],[TYPE]]),"")</f>
        <v>SICK LEAVE</v>
      </c>
      <c r="N590" s="69" t="str">
        <f>IFERROR(VLOOKUP(T_LEAVE[[#This Row],[LEAVE TYPE]],T_LEAVETYPE[#All],2,0),"")</f>
        <v>SL</v>
      </c>
    </row>
    <row r="591" spans="2:14" x14ac:dyDescent="0.25">
      <c r="B591" s="93">
        <v>44135</v>
      </c>
      <c r="C591" s="48" t="s">
        <v>448</v>
      </c>
      <c r="D591" s="48" t="s">
        <v>421</v>
      </c>
      <c r="E591" s="4" t="s">
        <v>88</v>
      </c>
      <c r="F591" s="49">
        <v>1</v>
      </c>
      <c r="G591" s="4" t="s">
        <v>48</v>
      </c>
      <c r="I591" s="4" t="s">
        <v>149</v>
      </c>
      <c r="J591" s="4" t="s">
        <v>449</v>
      </c>
      <c r="K591" s="4" t="str">
        <f>IFERROR(LEFT(T_LEAVE[[#This Row],[EMPLOYEE NAME]],LEN(T_LEAVE[[#This Row],[EMPLOYEE NAME]])-3),"")</f>
        <v>DE LEON, JEFFREY</v>
      </c>
      <c r="L591" s="48">
        <f>IFERROR(DATEVALUE(TEXT(RIGHT(T_LEAVE[[#This Row],[LEAVE DATE]],LEN(T_LEAVE[[#This Row],[LEAVE DATE]])-6),"[$-en-US]d-mmm-yyyy;@")),"")</f>
        <v>44150</v>
      </c>
      <c r="M591" s="4" t="str">
        <f>IFERROR(TRIM(T_LEAVE[[#This Row],[TYPE]]),"")</f>
        <v>VACATION LEAVE</v>
      </c>
      <c r="N591" s="69" t="str">
        <f>IFERROR(VLOOKUP(T_LEAVE[[#This Row],[LEAVE TYPE]],T_LEAVETYPE[#All],2,0),"")</f>
        <v>VL</v>
      </c>
    </row>
    <row r="592" spans="2:14" x14ac:dyDescent="0.25">
      <c r="B592" s="93">
        <v>44135</v>
      </c>
      <c r="C592" s="48" t="s">
        <v>450</v>
      </c>
      <c r="D592" s="48" t="s">
        <v>421</v>
      </c>
      <c r="E592" s="4" t="s">
        <v>88</v>
      </c>
      <c r="F592" s="49">
        <v>1</v>
      </c>
      <c r="G592" s="4" t="s">
        <v>48</v>
      </c>
      <c r="I592" s="4" t="s">
        <v>149</v>
      </c>
      <c r="J592" s="4" t="s">
        <v>449</v>
      </c>
      <c r="K592" s="4" t="str">
        <f>IFERROR(LEFT(T_LEAVE[[#This Row],[EMPLOYEE NAME]],LEN(T_LEAVE[[#This Row],[EMPLOYEE NAME]])-3),"")</f>
        <v>DE LEON, JEFFREY</v>
      </c>
      <c r="L592" s="48">
        <f>IFERROR(DATEVALUE(TEXT(RIGHT(T_LEAVE[[#This Row],[LEAVE DATE]],LEN(T_LEAVE[[#This Row],[LEAVE DATE]])-6),"[$-en-US]d-mmm-yyyy;@")),"")</f>
        <v>44151</v>
      </c>
      <c r="M592" s="4" t="str">
        <f>IFERROR(TRIM(T_LEAVE[[#This Row],[TYPE]]),"")</f>
        <v>VACATION LEAVE</v>
      </c>
      <c r="N592" s="69" t="str">
        <f>IFERROR(VLOOKUP(T_LEAVE[[#This Row],[LEAVE TYPE]],T_LEAVETYPE[#All],2,0),"")</f>
        <v>VL</v>
      </c>
    </row>
    <row r="593" spans="2:14" x14ac:dyDescent="0.25">
      <c r="B593" s="93">
        <v>44136</v>
      </c>
      <c r="C593" s="48" t="s">
        <v>596</v>
      </c>
      <c r="D593" s="48" t="s">
        <v>847</v>
      </c>
      <c r="E593" s="4" t="s">
        <v>88</v>
      </c>
      <c r="F593" s="49">
        <v>1</v>
      </c>
      <c r="G593" s="4" t="s">
        <v>875</v>
      </c>
      <c r="I593" s="4" t="s">
        <v>149</v>
      </c>
      <c r="J593" s="4" t="s">
        <v>876</v>
      </c>
      <c r="K593" s="4" t="str">
        <f>IFERROR(LEFT(T_LEAVE[[#This Row],[EMPLOYEE NAME]],LEN(T_LEAVE[[#This Row],[EMPLOYEE NAME]])-3),"")</f>
        <v>MATIGNAS, JAYDEE</v>
      </c>
      <c r="L593" s="48">
        <f>IFERROR(DATEVALUE(TEXT(RIGHT(T_LEAVE[[#This Row],[LEAVE DATE]],LEN(T_LEAVE[[#This Row],[LEAVE DATE]])-6),"[$-en-US]d-mmm-yyyy;@")),"")</f>
        <v>44163</v>
      </c>
      <c r="M593" s="4" t="str">
        <f>IFERROR(TRIM(T_LEAVE[[#This Row],[TYPE]]),"")</f>
        <v>VACATION LEAVE</v>
      </c>
      <c r="N593" s="69" t="str">
        <f>IFERROR(VLOOKUP(T_LEAVE[[#This Row],[LEAVE TYPE]],T_LEAVETYPE[#All],2,0),"")</f>
        <v>VL</v>
      </c>
    </row>
    <row r="594" spans="2:14" x14ac:dyDescent="0.25">
      <c r="B594" s="93">
        <v>44137</v>
      </c>
      <c r="C594" s="48" t="s">
        <v>191</v>
      </c>
      <c r="D594" s="48" t="s">
        <v>147</v>
      </c>
      <c r="E594" s="4" t="s">
        <v>88</v>
      </c>
      <c r="F594" s="49">
        <v>1</v>
      </c>
      <c r="G594" s="4" t="s">
        <v>192</v>
      </c>
      <c r="I594" s="4" t="s">
        <v>149</v>
      </c>
      <c r="J594" s="4" t="s">
        <v>193</v>
      </c>
      <c r="K594" s="4" t="str">
        <f>IFERROR(LEFT(T_LEAVE[[#This Row],[EMPLOYEE NAME]],LEN(T_LEAVE[[#This Row],[EMPLOYEE NAME]])-3),"")</f>
        <v>ACOSTA, JOSEPH VAUGHN</v>
      </c>
      <c r="L594" s="48">
        <f>IFERROR(DATEVALUE(TEXT(RIGHT(T_LEAVE[[#This Row],[LEAVE DATE]],LEN(T_LEAVE[[#This Row],[LEAVE DATE]])-6),"[$-en-US]d-mmm-yyyy;@")),"")</f>
        <v>44153</v>
      </c>
      <c r="M594" s="4" t="str">
        <f>IFERROR(TRIM(T_LEAVE[[#This Row],[TYPE]]),"")</f>
        <v>VACATION LEAVE</v>
      </c>
      <c r="N594" s="4" t="str">
        <f>IFERROR(VLOOKUP(T_LEAVE[[#This Row],[LEAVE TYPE]],T_LEAVETYPE[#All],2,0),"")</f>
        <v>VL</v>
      </c>
    </row>
    <row r="595" spans="2:14" x14ac:dyDescent="0.25">
      <c r="B595" s="93">
        <v>44138</v>
      </c>
      <c r="C595" s="48" t="s">
        <v>966</v>
      </c>
      <c r="D595" s="48" t="s">
        <v>967</v>
      </c>
      <c r="E595" s="4" t="s">
        <v>88</v>
      </c>
      <c r="F595" s="49">
        <v>1</v>
      </c>
      <c r="G595" s="4" t="s">
        <v>968</v>
      </c>
      <c r="I595" s="4" t="s">
        <v>149</v>
      </c>
      <c r="J595" s="4" t="s">
        <v>969</v>
      </c>
      <c r="K595" s="4" t="str">
        <f>IFERROR(LEFT(T_LEAVE[[#This Row],[EMPLOYEE NAME]],LEN(T_LEAVE[[#This Row],[EMPLOYEE NAME]])-3),"")</f>
        <v>SISON, LEA</v>
      </c>
      <c r="L595" s="48">
        <f>IFERROR(DATEVALUE(TEXT(RIGHT(T_LEAVE[[#This Row],[LEAVE DATE]],LEN(T_LEAVE[[#This Row],[LEAVE DATE]])-6),"[$-en-US]d-mmm-yyyy;@")),"")</f>
        <v>44140</v>
      </c>
      <c r="M595" s="4" t="str">
        <f>IFERROR(TRIM(T_LEAVE[[#This Row],[TYPE]]),"")</f>
        <v>VACATION LEAVE</v>
      </c>
      <c r="N595" s="69" t="str">
        <f>IFERROR(VLOOKUP(T_LEAVE[[#This Row],[LEAVE TYPE]],T_LEAVETYPE[#All],2,0),"")</f>
        <v>VL</v>
      </c>
    </row>
    <row r="596" spans="2:14" x14ac:dyDescent="0.25">
      <c r="B596" s="93">
        <v>44138</v>
      </c>
      <c r="C596" s="48" t="s">
        <v>739</v>
      </c>
      <c r="D596" s="48" t="s">
        <v>967</v>
      </c>
      <c r="E596" s="4" t="s">
        <v>88</v>
      </c>
      <c r="F596" s="49">
        <v>1</v>
      </c>
      <c r="G596" s="4" t="s">
        <v>968</v>
      </c>
      <c r="I596" s="4" t="s">
        <v>149</v>
      </c>
      <c r="J596" s="4" t="s">
        <v>970</v>
      </c>
      <c r="K596" s="4" t="str">
        <f>IFERROR(LEFT(T_LEAVE[[#This Row],[EMPLOYEE NAME]],LEN(T_LEAVE[[#This Row],[EMPLOYEE NAME]])-3),"")</f>
        <v>SISON, LEA</v>
      </c>
      <c r="L596" s="48">
        <f>IFERROR(DATEVALUE(TEXT(RIGHT(T_LEAVE[[#This Row],[LEAVE DATE]],LEN(T_LEAVE[[#This Row],[LEAVE DATE]])-6),"[$-en-US]d-mmm-yyyy;@")),"")</f>
        <v>44141</v>
      </c>
      <c r="M596" s="4" t="str">
        <f>IFERROR(TRIM(T_LEAVE[[#This Row],[TYPE]]),"")</f>
        <v>VACATION LEAVE</v>
      </c>
      <c r="N596" s="69" t="str">
        <f>IFERROR(VLOOKUP(T_LEAVE[[#This Row],[LEAVE TYPE]],T_LEAVETYPE[#All],2,0),"")</f>
        <v>VL</v>
      </c>
    </row>
    <row r="597" spans="2:14" x14ac:dyDescent="0.25">
      <c r="B597" s="93">
        <v>44139</v>
      </c>
      <c r="C597" s="48" t="s">
        <v>540</v>
      </c>
      <c r="D597" s="48" t="s">
        <v>691</v>
      </c>
      <c r="E597" s="4" t="s">
        <v>88</v>
      </c>
      <c r="F597" s="49">
        <v>1</v>
      </c>
      <c r="G597" s="4" t="s">
        <v>742</v>
      </c>
      <c r="I597" s="4" t="s">
        <v>149</v>
      </c>
      <c r="J597" s="4" t="s">
        <v>743</v>
      </c>
      <c r="K597" s="4" t="str">
        <f>IFERROR(LEFT(T_LEAVE[[#This Row],[EMPLOYEE NAME]],LEN(T_LEAVE[[#This Row],[EMPLOYEE NAME]])-3),"")</f>
        <v>LATUGA, PHOEBE</v>
      </c>
      <c r="L597" s="48">
        <f>IFERROR(DATEVALUE(TEXT(RIGHT(T_LEAVE[[#This Row],[LEAVE DATE]],LEN(T_LEAVE[[#This Row],[LEAVE DATE]])-6),"[$-en-US]d-mmm-yyyy;@")),"")</f>
        <v>44147</v>
      </c>
      <c r="M597" s="4" t="str">
        <f>IFERROR(TRIM(T_LEAVE[[#This Row],[TYPE]]),"")</f>
        <v>VACATION LEAVE</v>
      </c>
      <c r="N597" s="69" t="str">
        <f>IFERROR(VLOOKUP(T_LEAVE[[#This Row],[LEAVE TYPE]],T_LEAVETYPE[#All],2,0),"")</f>
        <v>VL</v>
      </c>
    </row>
    <row r="598" spans="2:14" x14ac:dyDescent="0.25">
      <c r="B598" s="93">
        <v>44140</v>
      </c>
      <c r="C598" s="48" t="s">
        <v>739</v>
      </c>
      <c r="D598" s="48" t="s">
        <v>691</v>
      </c>
      <c r="E598" s="4" t="s">
        <v>698</v>
      </c>
      <c r="F598" s="49">
        <v>1</v>
      </c>
      <c r="G598" s="4" t="s">
        <v>740</v>
      </c>
      <c r="H598" s="4" t="s">
        <v>165</v>
      </c>
      <c r="I598" s="4" t="s">
        <v>149</v>
      </c>
      <c r="J598" s="4" t="s">
        <v>741</v>
      </c>
      <c r="K598" s="4" t="str">
        <f>IFERROR(LEFT(T_LEAVE[[#This Row],[EMPLOYEE NAME]],LEN(T_LEAVE[[#This Row],[EMPLOYEE NAME]])-3),"")</f>
        <v>LATUGA, PHOEBE</v>
      </c>
      <c r="L598" s="48">
        <f>IFERROR(DATEVALUE(TEXT(RIGHT(T_LEAVE[[#This Row],[LEAVE DATE]],LEN(T_LEAVE[[#This Row],[LEAVE DATE]])-6),"[$-en-US]d-mmm-yyyy;@")),"")</f>
        <v>44141</v>
      </c>
      <c r="M598" s="4" t="str">
        <f>IFERROR(TRIM(T_LEAVE[[#This Row],[TYPE]]),"")</f>
        <v>SOLO PARENT LEAVE</v>
      </c>
      <c r="N598" s="69" t="str">
        <f>IFERROR(VLOOKUP(T_LEAVE[[#This Row],[LEAVE TYPE]],T_LEAVETYPE[#All],2,0),"")</f>
        <v/>
      </c>
    </row>
    <row r="599" spans="2:14" x14ac:dyDescent="0.25">
      <c r="B599" s="93">
        <v>44140</v>
      </c>
      <c r="C599" s="48" t="s">
        <v>739</v>
      </c>
      <c r="D599" s="48" t="s">
        <v>1100</v>
      </c>
      <c r="E599" s="4" t="s">
        <v>88</v>
      </c>
      <c r="F599" s="49">
        <v>1</v>
      </c>
      <c r="G599" s="4" t="s">
        <v>1115</v>
      </c>
      <c r="I599" s="4" t="s">
        <v>149</v>
      </c>
      <c r="J599" s="4" t="s">
        <v>969</v>
      </c>
      <c r="K599" s="4" t="str">
        <f>IFERROR(LEFT(T_LEAVE[[#This Row],[EMPLOYEE NAME]],LEN(T_LEAVE[[#This Row],[EMPLOYEE NAME]])-3),"")</f>
        <v>VILLAFLOR, REA</v>
      </c>
      <c r="L599" s="48">
        <f>IFERROR(DATEVALUE(TEXT(RIGHT(T_LEAVE[[#This Row],[LEAVE DATE]],LEN(T_LEAVE[[#This Row],[LEAVE DATE]])-6),"[$-en-US]d-mmm-yyyy;@")),"")</f>
        <v>44141</v>
      </c>
      <c r="M599" s="4" t="str">
        <f>IFERROR(TRIM(T_LEAVE[[#This Row],[TYPE]]),"")</f>
        <v>VACATION LEAVE</v>
      </c>
      <c r="N599" s="69" t="str">
        <f>IFERROR(VLOOKUP(T_LEAVE[[#This Row],[LEAVE TYPE]],T_LEAVETYPE[#All],2,0),"")</f>
        <v>VL</v>
      </c>
    </row>
    <row r="600" spans="2:14" x14ac:dyDescent="0.25">
      <c r="B600" s="93">
        <v>44140</v>
      </c>
      <c r="C600" s="48" t="s">
        <v>1119</v>
      </c>
      <c r="D600" s="48" t="s">
        <v>1100</v>
      </c>
      <c r="E600" s="4" t="s">
        <v>88</v>
      </c>
      <c r="F600" s="49">
        <v>1</v>
      </c>
      <c r="G600" s="4" t="s">
        <v>1115</v>
      </c>
      <c r="I600" s="4" t="s">
        <v>149</v>
      </c>
      <c r="J600" s="4" t="s">
        <v>1120</v>
      </c>
      <c r="K600" s="4" t="str">
        <f>IFERROR(LEFT(T_LEAVE[[#This Row],[EMPLOYEE NAME]],LEN(T_LEAVE[[#This Row],[EMPLOYEE NAME]])-3),"")</f>
        <v>VILLAFLOR, REA</v>
      </c>
      <c r="L600" s="48">
        <f>IFERROR(DATEVALUE(TEXT(RIGHT(T_LEAVE[[#This Row],[LEAVE DATE]],LEN(T_LEAVE[[#This Row],[LEAVE DATE]])-6),"[$-en-US]d-mmm-yyyy;@")),"")</f>
        <v>44143</v>
      </c>
      <c r="M600" s="4" t="str">
        <f>IFERROR(TRIM(T_LEAVE[[#This Row],[TYPE]]),"")</f>
        <v>VACATION LEAVE</v>
      </c>
      <c r="N600" s="69" t="str">
        <f>IFERROR(VLOOKUP(T_LEAVE[[#This Row],[LEAVE TYPE]],T_LEAVETYPE[#All],2,0),"")</f>
        <v>VL</v>
      </c>
    </row>
    <row r="601" spans="2:14" x14ac:dyDescent="0.25">
      <c r="B601" s="93">
        <v>44142</v>
      </c>
      <c r="C601" s="48" t="s">
        <v>1058</v>
      </c>
      <c r="D601" s="48" t="s">
        <v>1033</v>
      </c>
      <c r="E601" s="4" t="s">
        <v>88</v>
      </c>
      <c r="F601" s="49">
        <v>1</v>
      </c>
      <c r="G601" s="4" t="s">
        <v>90</v>
      </c>
      <c r="I601" s="4" t="s">
        <v>149</v>
      </c>
      <c r="J601" s="4" t="s">
        <v>1059</v>
      </c>
      <c r="K601" s="4" t="str">
        <f>IFERROR(LEFT(T_LEAVE[[#This Row],[EMPLOYEE NAME]],LEN(T_LEAVE[[#This Row],[EMPLOYEE NAME]])-3),"")</f>
        <v>VALLADARES, ALLEN</v>
      </c>
      <c r="L601" s="48">
        <f>IFERROR(DATEVALUE(TEXT(RIGHT(T_LEAVE[[#This Row],[LEAVE DATE]],LEN(T_LEAVE[[#This Row],[LEAVE DATE]])-6),"[$-en-US]d-mmm-yyyy;@")),"")</f>
        <v>44156</v>
      </c>
      <c r="M601" s="4" t="str">
        <f>IFERROR(TRIM(T_LEAVE[[#This Row],[TYPE]]),"")</f>
        <v>VACATION LEAVE</v>
      </c>
      <c r="N601" s="69" t="str">
        <f>IFERROR(VLOOKUP(T_LEAVE[[#This Row],[LEAVE TYPE]],T_LEAVETYPE[#All],2,0),"")</f>
        <v>VL</v>
      </c>
    </row>
    <row r="602" spans="2:14" x14ac:dyDescent="0.25">
      <c r="B602" s="93">
        <v>44145</v>
      </c>
      <c r="C602" s="48" t="s">
        <v>536</v>
      </c>
      <c r="D602" s="48" t="s">
        <v>579</v>
      </c>
      <c r="E602" s="4" t="s">
        <v>89</v>
      </c>
      <c r="F602" s="49">
        <v>1</v>
      </c>
      <c r="G602" s="4" t="s">
        <v>592</v>
      </c>
      <c r="I602" s="4" t="s">
        <v>149</v>
      </c>
      <c r="J602" s="4" t="s">
        <v>593</v>
      </c>
      <c r="K602" s="4" t="str">
        <f>IFERROR(LEFT(T_LEAVE[[#This Row],[EMPLOYEE NAME]],LEN(T_LEAVE[[#This Row],[EMPLOYEE NAME]])-3),"")</f>
        <v>GORDORA, AIREEN GRACE</v>
      </c>
      <c r="L602" s="48">
        <f>IFERROR(DATEVALUE(TEXT(RIGHT(T_LEAVE[[#This Row],[LEAVE DATE]],LEN(T_LEAVE[[#This Row],[LEAVE DATE]])-6),"[$-en-US]d-mmm-yyyy;@")),"")</f>
        <v>44145</v>
      </c>
      <c r="M602" s="4" t="str">
        <f>IFERROR(TRIM(T_LEAVE[[#This Row],[TYPE]]),"")</f>
        <v>SICK LEAVE</v>
      </c>
      <c r="N602" s="69" t="str">
        <f>IFERROR(VLOOKUP(T_LEAVE[[#This Row],[LEAVE TYPE]],T_LEAVETYPE[#All],2,0),"")</f>
        <v>SL</v>
      </c>
    </row>
    <row r="603" spans="2:14" x14ac:dyDescent="0.25">
      <c r="B603" s="93">
        <v>44148</v>
      </c>
      <c r="C603" s="48" t="s">
        <v>540</v>
      </c>
      <c r="D603" s="48" t="s">
        <v>579</v>
      </c>
      <c r="E603" s="4" t="s">
        <v>89</v>
      </c>
      <c r="F603" s="49">
        <v>1</v>
      </c>
      <c r="G603" s="4" t="s">
        <v>594</v>
      </c>
      <c r="I603" s="4" t="s">
        <v>149</v>
      </c>
      <c r="J603" s="4" t="s">
        <v>595</v>
      </c>
      <c r="K603" s="4" t="str">
        <f>IFERROR(LEFT(T_LEAVE[[#This Row],[EMPLOYEE NAME]],LEN(T_LEAVE[[#This Row],[EMPLOYEE NAME]])-3),"")</f>
        <v>GORDORA, AIREEN GRACE</v>
      </c>
      <c r="L603" s="48">
        <f>IFERROR(DATEVALUE(TEXT(RIGHT(T_LEAVE[[#This Row],[LEAVE DATE]],LEN(T_LEAVE[[#This Row],[LEAVE DATE]])-6),"[$-en-US]d-mmm-yyyy;@")),"")</f>
        <v>44147</v>
      </c>
      <c r="M603" s="4" t="str">
        <f>IFERROR(TRIM(T_LEAVE[[#This Row],[TYPE]]),"")</f>
        <v>SICK LEAVE</v>
      </c>
      <c r="N603" s="69" t="str">
        <f>IFERROR(VLOOKUP(T_LEAVE[[#This Row],[LEAVE TYPE]],T_LEAVETYPE[#All],2,0),"")</f>
        <v>SL</v>
      </c>
    </row>
    <row r="604" spans="2:14" x14ac:dyDescent="0.25">
      <c r="B604" s="93">
        <v>44148</v>
      </c>
      <c r="C604" s="48" t="s">
        <v>801</v>
      </c>
      <c r="D604" s="48" t="s">
        <v>834</v>
      </c>
      <c r="E604" s="4" t="s">
        <v>89</v>
      </c>
      <c r="F604" s="49">
        <v>1</v>
      </c>
      <c r="G604" s="4" t="s">
        <v>845</v>
      </c>
      <c r="I604" s="4" t="s">
        <v>149</v>
      </c>
      <c r="J604" s="4" t="s">
        <v>846</v>
      </c>
      <c r="K604" s="4" t="str">
        <f>IFERROR(LEFT(T_LEAVE[[#This Row],[EMPLOYEE NAME]],LEN(T_LEAVE[[#This Row],[EMPLOYEE NAME]])-3),"")</f>
        <v>MARINAS, ELMERA</v>
      </c>
      <c r="L604" s="48">
        <f>IFERROR(DATEVALUE(TEXT(RIGHT(T_LEAVE[[#This Row],[LEAVE DATE]],LEN(T_LEAVE[[#This Row],[LEAVE DATE]])-6),"[$-en-US]d-mmm-yyyy;@")),"")</f>
        <v>44148</v>
      </c>
      <c r="M604" s="4" t="str">
        <f>IFERROR(TRIM(T_LEAVE[[#This Row],[TYPE]]),"")</f>
        <v>SICK LEAVE</v>
      </c>
      <c r="N604" s="69" t="str">
        <f>IFERROR(VLOOKUP(T_LEAVE[[#This Row],[LEAVE TYPE]],T_LEAVETYPE[#All],2,0),"")</f>
        <v>SL</v>
      </c>
    </row>
    <row r="605" spans="2:14" x14ac:dyDescent="0.25">
      <c r="B605" s="93">
        <v>44150</v>
      </c>
      <c r="C605" s="48" t="s">
        <v>877</v>
      </c>
      <c r="D605" s="48" t="s">
        <v>847</v>
      </c>
      <c r="E605" s="4" t="s">
        <v>88</v>
      </c>
      <c r="F605" s="49">
        <v>1</v>
      </c>
      <c r="G605" s="4" t="s">
        <v>878</v>
      </c>
      <c r="I605" s="4" t="s">
        <v>149</v>
      </c>
      <c r="J605" s="4" t="s">
        <v>810</v>
      </c>
      <c r="K605" s="4" t="str">
        <f>IFERROR(LEFT(T_LEAVE[[#This Row],[EMPLOYEE NAME]],LEN(T_LEAVE[[#This Row],[EMPLOYEE NAME]])-3),"")</f>
        <v>MATIGNAS, JAYDEE</v>
      </c>
      <c r="L605" s="48">
        <f>IFERROR(DATEVALUE(TEXT(RIGHT(T_LEAVE[[#This Row],[LEAVE DATE]],LEN(T_LEAVE[[#This Row],[LEAVE DATE]])-6),"[$-en-US]d-mmm-yyyy;@")),"")</f>
        <v>44172</v>
      </c>
      <c r="M605" s="4" t="str">
        <f>IFERROR(TRIM(T_LEAVE[[#This Row],[TYPE]]),"")</f>
        <v>VACATION LEAVE</v>
      </c>
      <c r="N605" s="69" t="str">
        <f>IFERROR(VLOOKUP(T_LEAVE[[#This Row],[LEAVE TYPE]],T_LEAVETYPE[#All],2,0),"")</f>
        <v>VL</v>
      </c>
    </row>
    <row r="606" spans="2:14" x14ac:dyDescent="0.25">
      <c r="B606" s="93">
        <v>44151</v>
      </c>
      <c r="C606" s="48" t="s">
        <v>311</v>
      </c>
      <c r="D606" s="48" t="s">
        <v>256</v>
      </c>
      <c r="E606" s="4" t="s">
        <v>88</v>
      </c>
      <c r="F606" s="49">
        <v>1</v>
      </c>
      <c r="G606" s="4" t="s">
        <v>312</v>
      </c>
      <c r="I606" s="4" t="s">
        <v>149</v>
      </c>
      <c r="J606" s="4" t="s">
        <v>313</v>
      </c>
      <c r="K606" s="4" t="str">
        <f>IFERROR(LEFT(T_LEAVE[[#This Row],[EMPLOYEE NAME]],LEN(T_LEAVE[[#This Row],[EMPLOYEE NAME]])-3),"")</f>
        <v>BALICAS, IRISH ANN</v>
      </c>
      <c r="L606" s="48">
        <f>IFERROR(DATEVALUE(TEXT(RIGHT(T_LEAVE[[#This Row],[LEAVE DATE]],LEN(T_LEAVE[[#This Row],[LEAVE DATE]])-6),"[$-en-US]d-mmm-yyyy;@")),"")</f>
        <v>44176</v>
      </c>
      <c r="M606" s="4" t="str">
        <f>IFERROR(TRIM(T_LEAVE[[#This Row],[TYPE]]),"")</f>
        <v>VACATION LEAVE</v>
      </c>
      <c r="N606" s="69" t="str">
        <f>IFERROR(VLOOKUP(T_LEAVE[[#This Row],[LEAVE TYPE]],T_LEAVETYPE[#All],2,0),"")</f>
        <v>VL</v>
      </c>
    </row>
    <row r="607" spans="2:14" x14ac:dyDescent="0.25">
      <c r="B607" s="93">
        <v>44153</v>
      </c>
      <c r="C607" s="48" t="s">
        <v>881</v>
      </c>
      <c r="D607" s="48" t="s">
        <v>882</v>
      </c>
      <c r="E607" s="4" t="s">
        <v>88</v>
      </c>
      <c r="F607" s="49">
        <v>1</v>
      </c>
      <c r="G607" s="4" t="s">
        <v>883</v>
      </c>
      <c r="I607" s="4" t="s">
        <v>149</v>
      </c>
      <c r="J607" s="4" t="s">
        <v>884</v>
      </c>
      <c r="K607" s="4" t="str">
        <f>IFERROR(LEFT(T_LEAVE[[#This Row],[EMPLOYEE NAME]],LEN(T_LEAVE[[#This Row],[EMPLOYEE NAME]])-3),"")</f>
        <v>MENDOZA, TRYSTAN JAY</v>
      </c>
      <c r="L607" s="48">
        <f>IFERROR(DATEVALUE(TEXT(RIGHT(T_LEAVE[[#This Row],[LEAVE DATE]],LEN(T_LEAVE[[#This Row],[LEAVE DATE]])-6),"[$-en-US]d-mmm-yyyy;@")),"")</f>
        <v>44170</v>
      </c>
      <c r="M607" s="4" t="str">
        <f>IFERROR(TRIM(T_LEAVE[[#This Row],[TYPE]]),"")</f>
        <v>VACATION LEAVE</v>
      </c>
      <c r="N607" s="69" t="str">
        <f>IFERROR(VLOOKUP(T_LEAVE[[#This Row],[LEAVE TYPE]],T_LEAVETYPE[#All],2,0),"")</f>
        <v>VL</v>
      </c>
    </row>
    <row r="608" spans="2:14" x14ac:dyDescent="0.25">
      <c r="B608" s="93">
        <v>44153</v>
      </c>
      <c r="C608" s="48" t="s">
        <v>885</v>
      </c>
      <c r="D608" s="48" t="s">
        <v>882</v>
      </c>
      <c r="E608" s="4" t="s">
        <v>88</v>
      </c>
      <c r="F608" s="49">
        <v>1</v>
      </c>
      <c r="G608" s="4" t="s">
        <v>883</v>
      </c>
      <c r="I608" s="4" t="s">
        <v>149</v>
      </c>
      <c r="J608" s="4" t="s">
        <v>884</v>
      </c>
      <c r="K608" s="4" t="str">
        <f>IFERROR(LEFT(T_LEAVE[[#This Row],[EMPLOYEE NAME]],LEN(T_LEAVE[[#This Row],[EMPLOYEE NAME]])-3),"")</f>
        <v>MENDOZA, TRYSTAN JAY</v>
      </c>
      <c r="L608" s="48">
        <f>IFERROR(DATEVALUE(TEXT(RIGHT(T_LEAVE[[#This Row],[LEAVE DATE]],LEN(T_LEAVE[[#This Row],[LEAVE DATE]])-6),"[$-en-US]d-mmm-yyyy;@")),"")</f>
        <v>44171</v>
      </c>
      <c r="M608" s="4" t="str">
        <f>IFERROR(TRIM(T_LEAVE[[#This Row],[TYPE]]),"")</f>
        <v>VACATION LEAVE</v>
      </c>
      <c r="N608" s="69" t="str">
        <f>IFERROR(VLOOKUP(T_LEAVE[[#This Row],[LEAVE TYPE]],T_LEAVETYPE[#All],2,0),"")</f>
        <v>VL</v>
      </c>
    </row>
    <row r="609" spans="2:14" x14ac:dyDescent="0.25">
      <c r="B609" s="93">
        <v>44155</v>
      </c>
      <c r="C609" s="48" t="s">
        <v>801</v>
      </c>
      <c r="D609" s="48" t="s">
        <v>777</v>
      </c>
      <c r="E609" s="4" t="s">
        <v>698</v>
      </c>
      <c r="F609" s="49">
        <v>1</v>
      </c>
      <c r="G609" s="4" t="s">
        <v>802</v>
      </c>
      <c r="H609" s="4" t="s">
        <v>165</v>
      </c>
      <c r="I609" s="4" t="s">
        <v>149</v>
      </c>
      <c r="J609" s="4" t="s">
        <v>803</v>
      </c>
      <c r="K609" s="4" t="str">
        <f>IFERROR(LEFT(T_LEAVE[[#This Row],[EMPLOYEE NAME]],LEN(T_LEAVE[[#This Row],[EMPLOYEE NAME]])-3),"")</f>
        <v>MACALALAD, ANAMARIE</v>
      </c>
      <c r="L609" s="48">
        <f>IFERROR(DATEVALUE(TEXT(RIGHT(T_LEAVE[[#This Row],[LEAVE DATE]],LEN(T_LEAVE[[#This Row],[LEAVE DATE]])-6),"[$-en-US]d-mmm-yyyy;@")),"")</f>
        <v>44148</v>
      </c>
      <c r="M609" s="4" t="str">
        <f>IFERROR(TRIM(T_LEAVE[[#This Row],[TYPE]]),"")</f>
        <v>SOLO PARENT LEAVE</v>
      </c>
      <c r="N609" s="69" t="str">
        <f>IFERROR(VLOOKUP(T_LEAVE[[#This Row],[LEAVE TYPE]],T_LEAVETYPE[#All],2,0),"")</f>
        <v/>
      </c>
    </row>
    <row r="610" spans="2:14" x14ac:dyDescent="0.25">
      <c r="B610" s="93">
        <v>44156</v>
      </c>
      <c r="C610" s="48" t="s">
        <v>1085</v>
      </c>
      <c r="D610" s="48" t="s">
        <v>1100</v>
      </c>
      <c r="E610" s="4" t="s">
        <v>88</v>
      </c>
      <c r="F610" s="49">
        <v>1</v>
      </c>
      <c r="G610" s="4" t="s">
        <v>1121</v>
      </c>
      <c r="I610" s="4" t="s">
        <v>149</v>
      </c>
      <c r="J610" s="4" t="s">
        <v>1122</v>
      </c>
      <c r="K610" s="4" t="str">
        <f>IFERROR(LEFT(T_LEAVE[[#This Row],[EMPLOYEE NAME]],LEN(T_LEAVE[[#This Row],[EMPLOYEE NAME]])-3),"")</f>
        <v>VILLAFLOR, REA</v>
      </c>
      <c r="L610" s="48">
        <f>IFERROR(DATEVALUE(TEXT(RIGHT(T_LEAVE[[#This Row],[LEAVE DATE]],LEN(T_LEAVE[[#This Row],[LEAVE DATE]])-6),"[$-en-US]d-mmm-yyyy;@")),"")</f>
        <v>44193</v>
      </c>
      <c r="M610" s="4" t="str">
        <f>IFERROR(TRIM(T_LEAVE[[#This Row],[TYPE]]),"")</f>
        <v>VACATION LEAVE</v>
      </c>
      <c r="N610" s="69" t="str">
        <f>IFERROR(VLOOKUP(T_LEAVE[[#This Row],[LEAVE TYPE]],T_LEAVETYPE[#All],2,0),"")</f>
        <v>VL</v>
      </c>
    </row>
    <row r="611" spans="2:14" x14ac:dyDescent="0.25">
      <c r="B611" s="93">
        <v>44157</v>
      </c>
      <c r="C611" s="48" t="s">
        <v>448</v>
      </c>
      <c r="D611" s="48" t="s">
        <v>1004</v>
      </c>
      <c r="E611" s="4" t="s">
        <v>89</v>
      </c>
      <c r="F611" s="49">
        <v>1</v>
      </c>
      <c r="G611" s="4" t="s">
        <v>1023</v>
      </c>
      <c r="I611" s="4" t="s">
        <v>149</v>
      </c>
      <c r="J611" s="4" t="s">
        <v>1024</v>
      </c>
      <c r="K611" s="4" t="str">
        <f>IFERROR(LEFT(T_LEAVE[[#This Row],[EMPLOYEE NAME]],LEN(T_LEAVE[[#This Row],[EMPLOYEE NAME]])-3),"")</f>
        <v>VALENCIA, WINDSOR ROBERT</v>
      </c>
      <c r="L611" s="48">
        <f>IFERROR(DATEVALUE(TEXT(RIGHT(T_LEAVE[[#This Row],[LEAVE DATE]],LEN(T_LEAVE[[#This Row],[LEAVE DATE]])-6),"[$-en-US]d-mmm-yyyy;@")),"")</f>
        <v>44150</v>
      </c>
      <c r="M611" s="4" t="str">
        <f>IFERROR(TRIM(T_LEAVE[[#This Row],[TYPE]]),"")</f>
        <v>SICK LEAVE</v>
      </c>
      <c r="N611" s="69" t="str">
        <f>IFERROR(VLOOKUP(T_LEAVE[[#This Row],[LEAVE TYPE]],T_LEAVETYPE[#All],2,0),"")</f>
        <v>SL</v>
      </c>
    </row>
    <row r="612" spans="2:14" x14ac:dyDescent="0.25">
      <c r="B612" s="93">
        <v>44159</v>
      </c>
      <c r="C612" s="48" t="s">
        <v>804</v>
      </c>
      <c r="D612" s="48" t="s">
        <v>777</v>
      </c>
      <c r="E612" s="4" t="s">
        <v>698</v>
      </c>
      <c r="F612" s="49">
        <v>1</v>
      </c>
      <c r="G612" s="4" t="s">
        <v>805</v>
      </c>
      <c r="H612" s="4" t="s">
        <v>165</v>
      </c>
      <c r="I612" s="4" t="s">
        <v>149</v>
      </c>
      <c r="J612" s="4" t="s">
        <v>806</v>
      </c>
      <c r="K612" s="4" t="str">
        <f>IFERROR(LEFT(T_LEAVE[[#This Row],[EMPLOYEE NAME]],LEN(T_LEAVE[[#This Row],[EMPLOYEE NAME]])-3),"")</f>
        <v>MACALALAD, ANAMARIE</v>
      </c>
      <c r="L612" s="48">
        <f>IFERROR(DATEVALUE(TEXT(RIGHT(T_LEAVE[[#This Row],[LEAVE DATE]],LEN(T_LEAVE[[#This Row],[LEAVE DATE]])-6),"[$-en-US]d-mmm-yyyy;@")),"")</f>
        <v>44152</v>
      </c>
      <c r="M612" s="4" t="str">
        <f>IFERROR(TRIM(T_LEAVE[[#This Row],[TYPE]]),"")</f>
        <v>SOLO PARENT LEAVE</v>
      </c>
      <c r="N612" s="69" t="str">
        <f>IFERROR(VLOOKUP(T_LEAVE[[#This Row],[LEAVE TYPE]],T_LEAVETYPE[#All],2,0),"")</f>
        <v/>
      </c>
    </row>
    <row r="613" spans="2:14" x14ac:dyDescent="0.25">
      <c r="B613" s="93">
        <v>44160</v>
      </c>
      <c r="C613" s="48" t="s">
        <v>451</v>
      </c>
      <c r="D613" s="48" t="s">
        <v>421</v>
      </c>
      <c r="E613" s="4" t="s">
        <v>88</v>
      </c>
      <c r="F613" s="49">
        <v>1</v>
      </c>
      <c r="G613" s="4" t="s">
        <v>452</v>
      </c>
      <c r="I613" s="4" t="s">
        <v>149</v>
      </c>
      <c r="J613" s="4" t="s">
        <v>453</v>
      </c>
      <c r="K613" s="4" t="str">
        <f>IFERROR(LEFT(T_LEAVE[[#This Row],[EMPLOYEE NAME]],LEN(T_LEAVE[[#This Row],[EMPLOYEE NAME]])-3),"")</f>
        <v>DE LEON, JEFFREY</v>
      </c>
      <c r="L613" s="48">
        <f>IFERROR(DATEVALUE(TEXT(RIGHT(T_LEAVE[[#This Row],[LEAVE DATE]],LEN(T_LEAVE[[#This Row],[LEAVE DATE]])-6),"[$-en-US]d-mmm-yyyy;@")),"")</f>
        <v>44177</v>
      </c>
      <c r="M613" s="4" t="str">
        <f>IFERROR(TRIM(T_LEAVE[[#This Row],[TYPE]]),"")</f>
        <v>VACATION LEAVE</v>
      </c>
      <c r="N613" s="69" t="str">
        <f>IFERROR(VLOOKUP(T_LEAVE[[#This Row],[LEAVE TYPE]],T_LEAVETYPE[#All],2,0),"")</f>
        <v>VL</v>
      </c>
    </row>
    <row r="614" spans="2:14" x14ac:dyDescent="0.25">
      <c r="B614" s="93">
        <v>44160</v>
      </c>
      <c r="C614" s="48" t="s">
        <v>454</v>
      </c>
      <c r="D614" s="48" t="s">
        <v>421</v>
      </c>
      <c r="E614" s="4" t="s">
        <v>88</v>
      </c>
      <c r="F614" s="49">
        <v>1</v>
      </c>
      <c r="G614" s="4" t="s">
        <v>452</v>
      </c>
      <c r="I614" s="4" t="s">
        <v>149</v>
      </c>
      <c r="J614" s="4" t="s">
        <v>453</v>
      </c>
      <c r="K614" s="4" t="str">
        <f>IFERROR(LEFT(T_LEAVE[[#This Row],[EMPLOYEE NAME]],LEN(T_LEAVE[[#This Row],[EMPLOYEE NAME]])-3),"")</f>
        <v>DE LEON, JEFFREY</v>
      </c>
      <c r="L614" s="48">
        <f>IFERROR(DATEVALUE(TEXT(RIGHT(T_LEAVE[[#This Row],[LEAVE DATE]],LEN(T_LEAVE[[#This Row],[LEAVE DATE]])-6),"[$-en-US]d-mmm-yyyy;@")),"")</f>
        <v>44178</v>
      </c>
      <c r="M614" s="4" t="str">
        <f>IFERROR(TRIM(T_LEAVE[[#This Row],[TYPE]]),"")</f>
        <v>VACATION LEAVE</v>
      </c>
      <c r="N614" s="69" t="str">
        <f>IFERROR(VLOOKUP(T_LEAVE[[#This Row],[LEAVE TYPE]],T_LEAVETYPE[#All],2,0),"")</f>
        <v>VL</v>
      </c>
    </row>
    <row r="615" spans="2:14" x14ac:dyDescent="0.25">
      <c r="B615" s="93">
        <v>44160</v>
      </c>
      <c r="C615" s="48" t="s">
        <v>451</v>
      </c>
      <c r="D615" s="48" t="s">
        <v>753</v>
      </c>
      <c r="E615" s="4" t="s">
        <v>88</v>
      </c>
      <c r="F615" s="49">
        <v>1</v>
      </c>
      <c r="G615" s="4" t="s">
        <v>774</v>
      </c>
      <c r="I615" s="4" t="s">
        <v>149</v>
      </c>
      <c r="J615" s="4" t="s">
        <v>775</v>
      </c>
      <c r="K615" s="4" t="str">
        <f>IFERROR(LEFT(T_LEAVE[[#This Row],[EMPLOYEE NAME]],LEN(T_LEAVE[[#This Row],[EMPLOYEE NAME]])-3),"")</f>
        <v>LEGASPI, ARABELLE</v>
      </c>
      <c r="L615" s="48">
        <f>IFERROR(DATEVALUE(TEXT(RIGHT(T_LEAVE[[#This Row],[LEAVE DATE]],LEN(T_LEAVE[[#This Row],[LEAVE DATE]])-6),"[$-en-US]d-mmm-yyyy;@")),"")</f>
        <v>44177</v>
      </c>
      <c r="M615" s="4" t="str">
        <f>IFERROR(TRIM(T_LEAVE[[#This Row],[TYPE]]),"")</f>
        <v>VACATION LEAVE</v>
      </c>
      <c r="N615" s="69" t="str">
        <f>IFERROR(VLOOKUP(T_LEAVE[[#This Row],[LEAVE TYPE]],T_LEAVETYPE[#All],2,0),"")</f>
        <v>VL</v>
      </c>
    </row>
    <row r="616" spans="2:14" x14ac:dyDescent="0.25">
      <c r="B616" s="93">
        <v>44160</v>
      </c>
      <c r="C616" s="48" t="s">
        <v>454</v>
      </c>
      <c r="D616" s="48" t="s">
        <v>753</v>
      </c>
      <c r="E616" s="4" t="s">
        <v>88</v>
      </c>
      <c r="F616" s="49">
        <v>1</v>
      </c>
      <c r="G616" s="4" t="s">
        <v>774</v>
      </c>
      <c r="I616" s="4" t="s">
        <v>149</v>
      </c>
      <c r="J616" s="4" t="s">
        <v>775</v>
      </c>
      <c r="K616" s="4" t="str">
        <f>IFERROR(LEFT(T_LEAVE[[#This Row],[EMPLOYEE NAME]],LEN(T_LEAVE[[#This Row],[EMPLOYEE NAME]])-3),"")</f>
        <v>LEGASPI, ARABELLE</v>
      </c>
      <c r="L616" s="48">
        <f>IFERROR(DATEVALUE(TEXT(RIGHT(T_LEAVE[[#This Row],[LEAVE DATE]],LEN(T_LEAVE[[#This Row],[LEAVE DATE]])-6),"[$-en-US]d-mmm-yyyy;@")),"")</f>
        <v>44178</v>
      </c>
      <c r="M616" s="4" t="str">
        <f>IFERROR(TRIM(T_LEAVE[[#This Row],[TYPE]]),"")</f>
        <v>VACATION LEAVE</v>
      </c>
      <c r="N616" s="69" t="str">
        <f>IFERROR(VLOOKUP(T_LEAVE[[#This Row],[LEAVE TYPE]],T_LEAVETYPE[#All],2,0),"")</f>
        <v>VL</v>
      </c>
    </row>
    <row r="617" spans="2:14" x14ac:dyDescent="0.25">
      <c r="B617" s="93">
        <v>44162</v>
      </c>
      <c r="C617" s="48" t="s">
        <v>451</v>
      </c>
      <c r="D617" s="48" t="s">
        <v>882</v>
      </c>
      <c r="E617" s="4" t="s">
        <v>88</v>
      </c>
      <c r="F617" s="49">
        <v>1</v>
      </c>
      <c r="G617" s="4" t="s">
        <v>886</v>
      </c>
      <c r="I617" s="4" t="s">
        <v>149</v>
      </c>
      <c r="J617" s="4" t="s">
        <v>887</v>
      </c>
      <c r="K617" s="4" t="str">
        <f>IFERROR(LEFT(T_LEAVE[[#This Row],[EMPLOYEE NAME]],LEN(T_LEAVE[[#This Row],[EMPLOYEE NAME]])-3),"")</f>
        <v>MENDOZA, TRYSTAN JAY</v>
      </c>
      <c r="L617" s="48">
        <f>IFERROR(DATEVALUE(TEXT(RIGHT(T_LEAVE[[#This Row],[LEAVE DATE]],LEN(T_LEAVE[[#This Row],[LEAVE DATE]])-6),"[$-en-US]d-mmm-yyyy;@")),"")</f>
        <v>44177</v>
      </c>
      <c r="M617" s="4" t="str">
        <f>IFERROR(TRIM(T_LEAVE[[#This Row],[TYPE]]),"")</f>
        <v>VACATION LEAVE</v>
      </c>
      <c r="N617" s="69" t="str">
        <f>IFERROR(VLOOKUP(T_LEAVE[[#This Row],[LEAVE TYPE]],T_LEAVETYPE[#All],2,0),"")</f>
        <v>VL</v>
      </c>
    </row>
    <row r="618" spans="2:14" x14ac:dyDescent="0.25">
      <c r="B618" s="93">
        <v>44162</v>
      </c>
      <c r="C618" s="48" t="s">
        <v>454</v>
      </c>
      <c r="D618" s="48" t="s">
        <v>882</v>
      </c>
      <c r="E618" s="4" t="s">
        <v>88</v>
      </c>
      <c r="F618" s="49">
        <v>1</v>
      </c>
      <c r="G618" s="4" t="s">
        <v>886</v>
      </c>
      <c r="I618" s="4" t="s">
        <v>149</v>
      </c>
      <c r="J618" s="4" t="s">
        <v>887</v>
      </c>
      <c r="K618" s="4" t="str">
        <f>IFERROR(LEFT(T_LEAVE[[#This Row],[EMPLOYEE NAME]],LEN(T_LEAVE[[#This Row],[EMPLOYEE NAME]])-3),"")</f>
        <v>MENDOZA, TRYSTAN JAY</v>
      </c>
      <c r="L618" s="48">
        <f>IFERROR(DATEVALUE(TEXT(RIGHT(T_LEAVE[[#This Row],[LEAVE DATE]],LEN(T_LEAVE[[#This Row],[LEAVE DATE]])-6),"[$-en-US]d-mmm-yyyy;@")),"")</f>
        <v>44178</v>
      </c>
      <c r="M618" s="4" t="str">
        <f>IFERROR(TRIM(T_LEAVE[[#This Row],[TYPE]]),"")</f>
        <v>VACATION LEAVE</v>
      </c>
      <c r="N618" s="69" t="str">
        <f>IFERROR(VLOOKUP(T_LEAVE[[#This Row],[LEAVE TYPE]],T_LEAVETYPE[#All],2,0),"")</f>
        <v>VL</v>
      </c>
    </row>
    <row r="619" spans="2:14" x14ac:dyDescent="0.25">
      <c r="B619" s="93">
        <v>44164</v>
      </c>
      <c r="C619" s="48" t="s">
        <v>454</v>
      </c>
      <c r="D619" s="48" t="s">
        <v>1004</v>
      </c>
      <c r="E619" s="4" t="s">
        <v>88</v>
      </c>
      <c r="F619" s="49">
        <v>1</v>
      </c>
      <c r="G619" s="4" t="s">
        <v>1025</v>
      </c>
      <c r="I619" s="4" t="s">
        <v>149</v>
      </c>
      <c r="J619" s="4" t="s">
        <v>1026</v>
      </c>
      <c r="K619" s="4" t="str">
        <f>IFERROR(LEFT(T_LEAVE[[#This Row],[EMPLOYEE NAME]],LEN(T_LEAVE[[#This Row],[EMPLOYEE NAME]])-3),"")</f>
        <v>VALENCIA, WINDSOR ROBERT</v>
      </c>
      <c r="L619" s="48">
        <f>IFERROR(DATEVALUE(TEXT(RIGHT(T_LEAVE[[#This Row],[LEAVE DATE]],LEN(T_LEAVE[[#This Row],[LEAVE DATE]])-6),"[$-en-US]d-mmm-yyyy;@")),"")</f>
        <v>44178</v>
      </c>
      <c r="M619" s="4" t="str">
        <f>IFERROR(TRIM(T_LEAVE[[#This Row],[TYPE]]),"")</f>
        <v>VACATION LEAVE</v>
      </c>
      <c r="N619" s="69" t="str">
        <f>IFERROR(VLOOKUP(T_LEAVE[[#This Row],[LEAVE TYPE]],T_LEAVETYPE[#All],2,0),"")</f>
        <v>VL</v>
      </c>
    </row>
    <row r="620" spans="2:14" x14ac:dyDescent="0.25">
      <c r="B620" s="93">
        <v>44164</v>
      </c>
      <c r="C620" s="48" t="s">
        <v>1029</v>
      </c>
      <c r="D620" s="48" t="s">
        <v>1004</v>
      </c>
      <c r="E620" s="4" t="s">
        <v>88</v>
      </c>
      <c r="F620" s="49">
        <v>1</v>
      </c>
      <c r="G620" s="4" t="s">
        <v>1030</v>
      </c>
      <c r="I620" s="4" t="s">
        <v>149</v>
      </c>
      <c r="J620" s="4" t="s">
        <v>1028</v>
      </c>
      <c r="K620" s="4" t="str">
        <f>IFERROR(LEFT(T_LEAVE[[#This Row],[EMPLOYEE NAME]],LEN(T_LEAVE[[#This Row],[EMPLOYEE NAME]])-3),"")</f>
        <v>VALENCIA, WINDSOR ROBERT</v>
      </c>
      <c r="L620" s="48">
        <f>IFERROR(DATEVALUE(TEXT(RIGHT(T_LEAVE[[#This Row],[LEAVE DATE]],LEN(T_LEAVE[[#This Row],[LEAVE DATE]])-6),"[$-en-US]d-mmm-yyyy;@")),"")</f>
        <v>44192</v>
      </c>
      <c r="M620" s="4" t="str">
        <f>IFERROR(TRIM(T_LEAVE[[#This Row],[TYPE]]),"")</f>
        <v>VACATION LEAVE</v>
      </c>
      <c r="N620" s="69" t="str">
        <f>IFERROR(VLOOKUP(T_LEAVE[[#This Row],[LEAVE TYPE]],T_LEAVETYPE[#All],2,0),"")</f>
        <v>VL</v>
      </c>
    </row>
    <row r="621" spans="2:14" x14ac:dyDescent="0.25">
      <c r="B621" s="93">
        <v>44165</v>
      </c>
      <c r="C621" s="48" t="s">
        <v>1079</v>
      </c>
      <c r="D621" s="48" t="s">
        <v>1064</v>
      </c>
      <c r="E621" s="4" t="s">
        <v>88</v>
      </c>
      <c r="F621" s="49">
        <v>1</v>
      </c>
      <c r="G621" s="4" t="s">
        <v>1080</v>
      </c>
      <c r="I621" s="4" t="s">
        <v>149</v>
      </c>
      <c r="J621" s="4" t="s">
        <v>1081</v>
      </c>
      <c r="K621" s="4" t="str">
        <f>IFERROR(LEFT(T_LEAVE[[#This Row],[EMPLOYEE NAME]],LEN(T_LEAVE[[#This Row],[EMPLOYEE NAME]])-3),"")</f>
        <v>VIADO, DANAH LORRAINE</v>
      </c>
      <c r="L621" s="48">
        <f>IFERROR(DATEVALUE(TEXT(RIGHT(T_LEAVE[[#This Row],[LEAVE DATE]],LEN(T_LEAVE[[#This Row],[LEAVE DATE]])-6),"[$-en-US]d-mmm-yyyy;@")),"")</f>
        <v>44188</v>
      </c>
      <c r="M621" s="4" t="str">
        <f>IFERROR(TRIM(T_LEAVE[[#This Row],[TYPE]]),"")</f>
        <v>VACATION LEAVE</v>
      </c>
      <c r="N621" s="69" t="str">
        <f>IFERROR(VLOOKUP(T_LEAVE[[#This Row],[LEAVE TYPE]],T_LEAVETYPE[#All],2,0),"")</f>
        <v>VL</v>
      </c>
    </row>
    <row r="622" spans="2:14" x14ac:dyDescent="0.25">
      <c r="B622" s="93">
        <v>44165</v>
      </c>
      <c r="C622" s="48" t="s">
        <v>1082</v>
      </c>
      <c r="D622" s="48" t="s">
        <v>1064</v>
      </c>
      <c r="E622" s="4" t="s">
        <v>88</v>
      </c>
      <c r="F622" s="49">
        <v>1</v>
      </c>
      <c r="G622" s="4" t="s">
        <v>1080</v>
      </c>
      <c r="I622" s="4" t="s">
        <v>149</v>
      </c>
      <c r="J622" s="4" t="s">
        <v>1081</v>
      </c>
      <c r="K622" s="4" t="str">
        <f>IFERROR(LEFT(T_LEAVE[[#This Row],[EMPLOYEE NAME]],LEN(T_LEAVE[[#This Row],[EMPLOYEE NAME]])-3),"")</f>
        <v>VIADO, DANAH LORRAINE</v>
      </c>
      <c r="L622" s="48">
        <f>IFERROR(DATEVALUE(TEXT(RIGHT(T_LEAVE[[#This Row],[LEAVE DATE]],LEN(T_LEAVE[[#This Row],[LEAVE DATE]])-6),"[$-en-US]d-mmm-yyyy;@")),"")</f>
        <v>44189</v>
      </c>
      <c r="M622" s="4" t="str">
        <f>IFERROR(TRIM(T_LEAVE[[#This Row],[TYPE]]),"")</f>
        <v>VACATION LEAVE</v>
      </c>
      <c r="N622" s="69" t="str">
        <f>IFERROR(VLOOKUP(T_LEAVE[[#This Row],[LEAVE TYPE]],T_LEAVETYPE[#All],2,0),"")</f>
        <v>VL</v>
      </c>
    </row>
    <row r="623" spans="2:14" x14ac:dyDescent="0.25">
      <c r="B623" s="93">
        <v>44165</v>
      </c>
      <c r="C623" s="48" t="s">
        <v>1083</v>
      </c>
      <c r="D623" s="48" t="s">
        <v>1064</v>
      </c>
      <c r="E623" s="4" t="s">
        <v>88</v>
      </c>
      <c r="F623" s="49">
        <v>1</v>
      </c>
      <c r="G623" s="4" t="s">
        <v>1080</v>
      </c>
      <c r="I623" s="4" t="s">
        <v>149</v>
      </c>
      <c r="J623" s="4" t="s">
        <v>1081</v>
      </c>
      <c r="K623" s="4" t="str">
        <f>IFERROR(LEFT(T_LEAVE[[#This Row],[EMPLOYEE NAME]],LEN(T_LEAVE[[#This Row],[EMPLOYEE NAME]])-3),"")</f>
        <v>VIADO, DANAH LORRAINE</v>
      </c>
      <c r="L623" s="48">
        <f>IFERROR(DATEVALUE(TEXT(RIGHT(T_LEAVE[[#This Row],[LEAVE DATE]],LEN(T_LEAVE[[#This Row],[LEAVE DATE]])-6),"[$-en-US]d-mmm-yyyy;@")),"")</f>
        <v>44190</v>
      </c>
      <c r="M623" s="4" t="str">
        <f>IFERROR(TRIM(T_LEAVE[[#This Row],[TYPE]]),"")</f>
        <v>VACATION LEAVE</v>
      </c>
      <c r="N623" s="69" t="str">
        <f>IFERROR(VLOOKUP(T_LEAVE[[#This Row],[LEAVE TYPE]],T_LEAVETYPE[#All],2,0),"")</f>
        <v>VL</v>
      </c>
    </row>
    <row r="624" spans="2:14" x14ac:dyDescent="0.25">
      <c r="B624" s="93">
        <v>44165</v>
      </c>
      <c r="C624" s="48" t="s">
        <v>1084</v>
      </c>
      <c r="D624" s="48" t="s">
        <v>1064</v>
      </c>
      <c r="E624" s="4" t="s">
        <v>88</v>
      </c>
      <c r="F624" s="49">
        <v>1</v>
      </c>
      <c r="G624" s="4" t="s">
        <v>1080</v>
      </c>
      <c r="I624" s="4" t="s">
        <v>149</v>
      </c>
      <c r="J624" s="4" t="s">
        <v>1081</v>
      </c>
      <c r="K624" s="4" t="str">
        <f>IFERROR(LEFT(T_LEAVE[[#This Row],[EMPLOYEE NAME]],LEN(T_LEAVE[[#This Row],[EMPLOYEE NAME]])-3),"")</f>
        <v>VIADO, DANAH LORRAINE</v>
      </c>
      <c r="L624" s="48">
        <f>IFERROR(DATEVALUE(TEXT(RIGHT(T_LEAVE[[#This Row],[LEAVE DATE]],LEN(T_LEAVE[[#This Row],[LEAVE DATE]])-6),"[$-en-US]d-mmm-yyyy;@")),"")</f>
        <v>44191</v>
      </c>
      <c r="M624" s="4" t="str">
        <f>IFERROR(TRIM(T_LEAVE[[#This Row],[TYPE]]),"")</f>
        <v>VACATION LEAVE</v>
      </c>
      <c r="N624" s="69" t="str">
        <f>IFERROR(VLOOKUP(T_LEAVE[[#This Row],[LEAVE TYPE]],T_LEAVETYPE[#All],2,0),"")</f>
        <v>VL</v>
      </c>
    </row>
    <row r="625" spans="2:14" x14ac:dyDescent="0.25">
      <c r="B625" s="93">
        <v>44165</v>
      </c>
      <c r="C625" s="48" t="s">
        <v>1029</v>
      </c>
      <c r="D625" s="48" t="s">
        <v>1064</v>
      </c>
      <c r="E625" s="4" t="s">
        <v>88</v>
      </c>
      <c r="F625" s="49">
        <v>1</v>
      </c>
      <c r="G625" s="4" t="s">
        <v>1080</v>
      </c>
      <c r="I625" s="4" t="s">
        <v>149</v>
      </c>
      <c r="J625" s="4" t="s">
        <v>1081</v>
      </c>
      <c r="K625" s="4" t="str">
        <f>IFERROR(LEFT(T_LEAVE[[#This Row],[EMPLOYEE NAME]],LEN(T_LEAVE[[#This Row],[EMPLOYEE NAME]])-3),"")</f>
        <v>VIADO, DANAH LORRAINE</v>
      </c>
      <c r="L625" s="48">
        <f>IFERROR(DATEVALUE(TEXT(RIGHT(T_LEAVE[[#This Row],[LEAVE DATE]],LEN(T_LEAVE[[#This Row],[LEAVE DATE]])-6),"[$-en-US]d-mmm-yyyy;@")),"")</f>
        <v>44192</v>
      </c>
      <c r="M625" s="4" t="str">
        <f>IFERROR(TRIM(T_LEAVE[[#This Row],[TYPE]]),"")</f>
        <v>VACATION LEAVE</v>
      </c>
      <c r="N625" s="69" t="str">
        <f>IFERROR(VLOOKUP(T_LEAVE[[#This Row],[LEAVE TYPE]],T_LEAVETYPE[#All],2,0),"")</f>
        <v>VL</v>
      </c>
    </row>
    <row r="626" spans="2:14" x14ac:dyDescent="0.25">
      <c r="B626" s="93">
        <v>44165</v>
      </c>
      <c r="C626" s="48" t="s">
        <v>1085</v>
      </c>
      <c r="D626" s="48" t="s">
        <v>1064</v>
      </c>
      <c r="E626" s="4" t="s">
        <v>88</v>
      </c>
      <c r="F626" s="49">
        <v>1</v>
      </c>
      <c r="G626" s="4" t="s">
        <v>1080</v>
      </c>
      <c r="I626" s="4" t="s">
        <v>149</v>
      </c>
      <c r="J626" s="4" t="s">
        <v>1081</v>
      </c>
      <c r="K626" s="4" t="str">
        <f>IFERROR(LEFT(T_LEAVE[[#This Row],[EMPLOYEE NAME]],LEN(T_LEAVE[[#This Row],[EMPLOYEE NAME]])-3),"")</f>
        <v>VIADO, DANAH LORRAINE</v>
      </c>
      <c r="L626" s="48">
        <f>IFERROR(DATEVALUE(TEXT(RIGHT(T_LEAVE[[#This Row],[LEAVE DATE]],LEN(T_LEAVE[[#This Row],[LEAVE DATE]])-6),"[$-en-US]d-mmm-yyyy;@")),"")</f>
        <v>44193</v>
      </c>
      <c r="M626" s="4" t="str">
        <f>IFERROR(TRIM(T_LEAVE[[#This Row],[TYPE]]),"")</f>
        <v>VACATION LEAVE</v>
      </c>
      <c r="N626" s="69" t="str">
        <f>IFERROR(VLOOKUP(T_LEAVE[[#This Row],[LEAVE TYPE]],T_LEAVETYPE[#All],2,0),"")</f>
        <v>VL</v>
      </c>
    </row>
    <row r="627" spans="2:14" x14ac:dyDescent="0.25">
      <c r="B627" s="93">
        <v>44165</v>
      </c>
      <c r="C627" s="48" t="s">
        <v>598</v>
      </c>
      <c r="D627" s="48" t="s">
        <v>1064</v>
      </c>
      <c r="E627" s="4" t="s">
        <v>88</v>
      </c>
      <c r="F627" s="49">
        <v>1</v>
      </c>
      <c r="G627" s="4" t="s">
        <v>1080</v>
      </c>
      <c r="I627" s="4" t="s">
        <v>149</v>
      </c>
      <c r="J627" s="4" t="s">
        <v>1086</v>
      </c>
      <c r="K627" s="4" t="str">
        <f>IFERROR(LEFT(T_LEAVE[[#This Row],[EMPLOYEE NAME]],LEN(T_LEAVE[[#This Row],[EMPLOYEE NAME]])-3),"")</f>
        <v>VIADO, DANAH LORRAINE</v>
      </c>
      <c r="L627" s="48">
        <f>IFERROR(DATEVALUE(TEXT(RIGHT(T_LEAVE[[#This Row],[LEAVE DATE]],LEN(T_LEAVE[[#This Row],[LEAVE DATE]])-6),"[$-en-US]d-mmm-yyyy;@")),"")</f>
        <v>44194</v>
      </c>
      <c r="M627" s="4" t="str">
        <f>IFERROR(TRIM(T_LEAVE[[#This Row],[TYPE]]),"")</f>
        <v>VACATION LEAVE</v>
      </c>
      <c r="N627" s="69" t="str">
        <f>IFERROR(VLOOKUP(T_LEAVE[[#This Row],[LEAVE TYPE]],T_LEAVETYPE[#All],2,0),"")</f>
        <v>VL</v>
      </c>
    </row>
    <row r="628" spans="2:14" x14ac:dyDescent="0.25">
      <c r="B628" s="93">
        <v>44165</v>
      </c>
      <c r="C628" s="48" t="s">
        <v>1087</v>
      </c>
      <c r="D628" s="48" t="s">
        <v>1064</v>
      </c>
      <c r="E628" s="4" t="s">
        <v>88</v>
      </c>
      <c r="F628" s="49">
        <v>1</v>
      </c>
      <c r="G628" s="4" t="s">
        <v>1080</v>
      </c>
      <c r="I628" s="4" t="s">
        <v>149</v>
      </c>
      <c r="J628" s="4" t="s">
        <v>1086</v>
      </c>
      <c r="K628" s="4" t="str">
        <f>IFERROR(LEFT(T_LEAVE[[#This Row],[EMPLOYEE NAME]],LEN(T_LEAVE[[#This Row],[EMPLOYEE NAME]])-3),"")</f>
        <v>VIADO, DANAH LORRAINE</v>
      </c>
      <c r="L628" s="48">
        <f>IFERROR(DATEVALUE(TEXT(RIGHT(T_LEAVE[[#This Row],[LEAVE DATE]],LEN(T_LEAVE[[#This Row],[LEAVE DATE]])-6),"[$-en-US]d-mmm-yyyy;@")),"")</f>
        <v>44195</v>
      </c>
      <c r="M628" s="4" t="str">
        <f>IFERROR(TRIM(T_LEAVE[[#This Row],[TYPE]]),"")</f>
        <v>VACATION LEAVE</v>
      </c>
      <c r="N628" s="69" t="str">
        <f>IFERROR(VLOOKUP(T_LEAVE[[#This Row],[LEAVE TYPE]],T_LEAVETYPE[#All],2,0),"")</f>
        <v>VL</v>
      </c>
    </row>
    <row r="629" spans="2:14" x14ac:dyDescent="0.25">
      <c r="B629" s="93">
        <v>44165</v>
      </c>
      <c r="C629" s="48" t="s">
        <v>1088</v>
      </c>
      <c r="D629" s="48" t="s">
        <v>1064</v>
      </c>
      <c r="E629" s="4" t="s">
        <v>88</v>
      </c>
      <c r="F629" s="49">
        <v>1</v>
      </c>
      <c r="G629" s="4" t="s">
        <v>1080</v>
      </c>
      <c r="I629" s="4" t="s">
        <v>149</v>
      </c>
      <c r="J629" s="4" t="s">
        <v>1089</v>
      </c>
      <c r="K629" s="4" t="str">
        <f>IFERROR(LEFT(T_LEAVE[[#This Row],[EMPLOYEE NAME]],LEN(T_LEAVE[[#This Row],[EMPLOYEE NAME]])-3),"")</f>
        <v>VIADO, DANAH LORRAINE</v>
      </c>
      <c r="L629" s="48">
        <f>IFERROR(DATEVALUE(TEXT(RIGHT(T_LEAVE[[#This Row],[LEAVE DATE]],LEN(T_LEAVE[[#This Row],[LEAVE DATE]])-6),"[$-en-US]d-mmm-yyyy;@")),"")</f>
        <v>44196</v>
      </c>
      <c r="M629" s="4" t="str">
        <f>IFERROR(TRIM(T_LEAVE[[#This Row],[TYPE]]),"")</f>
        <v>VACATION LEAVE</v>
      </c>
      <c r="N629" s="69" t="str">
        <f>IFERROR(VLOOKUP(T_LEAVE[[#This Row],[LEAVE TYPE]],T_LEAVETYPE[#All],2,0),"")</f>
        <v>VL</v>
      </c>
    </row>
    <row r="630" spans="2:14" x14ac:dyDescent="0.25">
      <c r="B630" s="93">
        <v>44165</v>
      </c>
      <c r="C630" s="48" t="s">
        <v>1090</v>
      </c>
      <c r="D630" s="48" t="s">
        <v>1064</v>
      </c>
      <c r="E630" s="4" t="s">
        <v>88</v>
      </c>
      <c r="F630" s="49">
        <v>1</v>
      </c>
      <c r="G630" s="4" t="s">
        <v>1080</v>
      </c>
      <c r="I630" s="4" t="s">
        <v>149</v>
      </c>
      <c r="J630" s="4" t="s">
        <v>104</v>
      </c>
      <c r="K630" s="4" t="str">
        <f>IFERROR(LEFT(T_LEAVE[[#This Row],[EMPLOYEE NAME]],LEN(T_LEAVE[[#This Row],[EMPLOYEE NAME]])-3),"")</f>
        <v>VIADO, DANAH LORRAINE</v>
      </c>
      <c r="L630" s="48">
        <f>IFERROR(DATEVALUE(TEXT(RIGHT(T_LEAVE[[#This Row],[LEAVE DATE]],LEN(T_LEAVE[[#This Row],[LEAVE DATE]])-6),"[$-en-US]d-mmm-yyyy;@")),"")</f>
        <v>44197</v>
      </c>
      <c r="M630" s="4" t="str">
        <f>IFERROR(TRIM(T_LEAVE[[#This Row],[TYPE]]),"")</f>
        <v>VACATION LEAVE</v>
      </c>
      <c r="N630" s="69" t="str">
        <f>IFERROR(VLOOKUP(T_LEAVE[[#This Row],[LEAVE TYPE]],T_LEAVETYPE[#All],2,0),"")</f>
        <v>VL</v>
      </c>
    </row>
    <row r="631" spans="2:14" x14ac:dyDescent="0.25">
      <c r="B631" s="93">
        <v>44165</v>
      </c>
      <c r="C631" s="48" t="s">
        <v>1091</v>
      </c>
      <c r="D631" s="48" t="s">
        <v>1064</v>
      </c>
      <c r="E631" s="4" t="s">
        <v>88</v>
      </c>
      <c r="F631" s="49">
        <v>1</v>
      </c>
      <c r="G631" s="4" t="s">
        <v>1080</v>
      </c>
      <c r="I631" s="4" t="s">
        <v>149</v>
      </c>
      <c r="J631" s="4" t="s">
        <v>105</v>
      </c>
      <c r="K631" s="4" t="str">
        <f>IFERROR(LEFT(T_LEAVE[[#This Row],[EMPLOYEE NAME]],LEN(T_LEAVE[[#This Row],[EMPLOYEE NAME]])-3),"")</f>
        <v>VIADO, DANAH LORRAINE</v>
      </c>
      <c r="L631" s="48">
        <f>IFERROR(DATEVALUE(TEXT(RIGHT(T_LEAVE[[#This Row],[LEAVE DATE]],LEN(T_LEAVE[[#This Row],[LEAVE DATE]])-6),"[$-en-US]d-mmm-yyyy;@")),"")</f>
        <v>44198</v>
      </c>
      <c r="M631" s="4" t="str">
        <f>IFERROR(TRIM(T_LEAVE[[#This Row],[TYPE]]),"")</f>
        <v>VACATION LEAVE</v>
      </c>
      <c r="N631" s="69" t="str">
        <f>IFERROR(VLOOKUP(T_LEAVE[[#This Row],[LEAVE TYPE]],T_LEAVETYPE[#All],2,0),"")</f>
        <v>VL</v>
      </c>
    </row>
    <row r="632" spans="2:14" x14ac:dyDescent="0.25">
      <c r="B632" s="93">
        <v>44165</v>
      </c>
      <c r="C632" s="48" t="s">
        <v>1092</v>
      </c>
      <c r="D632" s="48" t="s">
        <v>1064</v>
      </c>
      <c r="E632" s="4" t="s">
        <v>88</v>
      </c>
      <c r="F632" s="49">
        <v>1</v>
      </c>
      <c r="G632" s="4" t="s">
        <v>1080</v>
      </c>
      <c r="I632" s="4" t="s">
        <v>149</v>
      </c>
      <c r="J632" s="4" t="s">
        <v>105</v>
      </c>
      <c r="K632" s="4" t="str">
        <f>IFERROR(LEFT(T_LEAVE[[#This Row],[EMPLOYEE NAME]],LEN(T_LEAVE[[#This Row],[EMPLOYEE NAME]])-3),"")</f>
        <v>VIADO, DANAH LORRAINE</v>
      </c>
      <c r="L632" s="48">
        <f>IFERROR(DATEVALUE(TEXT(RIGHT(T_LEAVE[[#This Row],[LEAVE DATE]],LEN(T_LEAVE[[#This Row],[LEAVE DATE]])-6),"[$-en-US]d-mmm-yyyy;@")),"")</f>
        <v>44199</v>
      </c>
      <c r="M632" s="4" t="str">
        <f>IFERROR(TRIM(T_LEAVE[[#This Row],[TYPE]]),"")</f>
        <v>VACATION LEAVE</v>
      </c>
      <c r="N632" s="69" t="str">
        <f>IFERROR(VLOOKUP(T_LEAVE[[#This Row],[LEAVE TYPE]],T_LEAVETYPE[#All],2,0),"")</f>
        <v>VL</v>
      </c>
    </row>
    <row r="633" spans="2:14" x14ac:dyDescent="0.25">
      <c r="B633" s="93">
        <v>44165</v>
      </c>
      <c r="C633" s="48" t="s">
        <v>1093</v>
      </c>
      <c r="D633" s="48" t="s">
        <v>1064</v>
      </c>
      <c r="E633" s="4" t="s">
        <v>88</v>
      </c>
      <c r="F633" s="49">
        <v>1</v>
      </c>
      <c r="G633" s="4" t="s">
        <v>1080</v>
      </c>
      <c r="I633" s="4" t="s">
        <v>149</v>
      </c>
      <c r="J633" s="4" t="s">
        <v>105</v>
      </c>
      <c r="K633" s="4" t="str">
        <f>IFERROR(LEFT(T_LEAVE[[#This Row],[EMPLOYEE NAME]],LEN(T_LEAVE[[#This Row],[EMPLOYEE NAME]])-3),"")</f>
        <v>VIADO, DANAH LORRAINE</v>
      </c>
      <c r="L633" s="48">
        <f>IFERROR(DATEVALUE(TEXT(RIGHT(T_LEAVE[[#This Row],[LEAVE DATE]],LEN(T_LEAVE[[#This Row],[LEAVE DATE]])-6),"[$-en-US]d-mmm-yyyy;@")),"")</f>
        <v>44200</v>
      </c>
      <c r="M633" s="4" t="str">
        <f>IFERROR(TRIM(T_LEAVE[[#This Row],[TYPE]]),"")</f>
        <v>VACATION LEAVE</v>
      </c>
      <c r="N633" s="69" t="str">
        <f>IFERROR(VLOOKUP(T_LEAVE[[#This Row],[LEAVE TYPE]],T_LEAVETYPE[#All],2,0),"")</f>
        <v>VL</v>
      </c>
    </row>
    <row r="634" spans="2:14" x14ac:dyDescent="0.25">
      <c r="B634" s="93">
        <v>44165</v>
      </c>
      <c r="C634" s="48" t="s">
        <v>1094</v>
      </c>
      <c r="D634" s="48" t="s">
        <v>1064</v>
      </c>
      <c r="E634" s="4" t="s">
        <v>88</v>
      </c>
      <c r="F634" s="49">
        <v>1</v>
      </c>
      <c r="G634" s="4" t="s">
        <v>1080</v>
      </c>
      <c r="I634" s="4" t="s">
        <v>149</v>
      </c>
      <c r="J634" s="4" t="s">
        <v>105</v>
      </c>
      <c r="K634" s="4" t="str">
        <f>IFERROR(LEFT(T_LEAVE[[#This Row],[EMPLOYEE NAME]],LEN(T_LEAVE[[#This Row],[EMPLOYEE NAME]])-3),"")</f>
        <v>VIADO, DANAH LORRAINE</v>
      </c>
      <c r="L634" s="48">
        <f>IFERROR(DATEVALUE(TEXT(RIGHT(T_LEAVE[[#This Row],[LEAVE DATE]],LEN(T_LEAVE[[#This Row],[LEAVE DATE]])-6),"[$-en-US]d-mmm-yyyy;@")),"")</f>
        <v>44201</v>
      </c>
      <c r="M634" s="4" t="str">
        <f>IFERROR(TRIM(T_LEAVE[[#This Row],[TYPE]]),"")</f>
        <v>VACATION LEAVE</v>
      </c>
      <c r="N634" s="69" t="str">
        <f>IFERROR(VLOOKUP(T_LEAVE[[#This Row],[LEAVE TYPE]],T_LEAVETYPE[#All],2,0),"")</f>
        <v>VL</v>
      </c>
    </row>
    <row r="635" spans="2:14" x14ac:dyDescent="0.25">
      <c r="B635" s="93">
        <v>44165</v>
      </c>
      <c r="C635" s="48" t="s">
        <v>1095</v>
      </c>
      <c r="D635" s="48" t="s">
        <v>1064</v>
      </c>
      <c r="E635" s="4" t="s">
        <v>88</v>
      </c>
      <c r="F635" s="49">
        <v>1</v>
      </c>
      <c r="G635" s="4" t="s">
        <v>1080</v>
      </c>
      <c r="I635" s="4" t="s">
        <v>149</v>
      </c>
      <c r="J635" s="4" t="s">
        <v>105</v>
      </c>
      <c r="K635" s="4" t="str">
        <f>IFERROR(LEFT(T_LEAVE[[#This Row],[EMPLOYEE NAME]],LEN(T_LEAVE[[#This Row],[EMPLOYEE NAME]])-3),"")</f>
        <v>VIADO, DANAH LORRAINE</v>
      </c>
      <c r="L635" s="48">
        <f>IFERROR(DATEVALUE(TEXT(RIGHT(T_LEAVE[[#This Row],[LEAVE DATE]],LEN(T_LEAVE[[#This Row],[LEAVE DATE]])-6),"[$-en-US]d-mmm-yyyy;@")),"")</f>
        <v>44202</v>
      </c>
      <c r="M635" s="4" t="str">
        <f>IFERROR(TRIM(T_LEAVE[[#This Row],[TYPE]]),"")</f>
        <v>VACATION LEAVE</v>
      </c>
      <c r="N635" s="69" t="str">
        <f>IFERROR(VLOOKUP(T_LEAVE[[#This Row],[LEAVE TYPE]],T_LEAVETYPE[#All],2,0),"")</f>
        <v>VL</v>
      </c>
    </row>
    <row r="636" spans="2:14" x14ac:dyDescent="0.25">
      <c r="B636" s="93">
        <v>44165</v>
      </c>
      <c r="C636" s="48" t="s">
        <v>314</v>
      </c>
      <c r="D636" s="48" t="s">
        <v>1064</v>
      </c>
      <c r="E636" s="4" t="s">
        <v>88</v>
      </c>
      <c r="F636" s="49">
        <v>1</v>
      </c>
      <c r="G636" s="4" t="s">
        <v>1080</v>
      </c>
      <c r="I636" s="4" t="s">
        <v>149</v>
      </c>
      <c r="J636" s="4" t="s">
        <v>105</v>
      </c>
      <c r="K636" s="4" t="str">
        <f>IFERROR(LEFT(T_LEAVE[[#This Row],[EMPLOYEE NAME]],LEN(T_LEAVE[[#This Row],[EMPLOYEE NAME]])-3),"")</f>
        <v>VIADO, DANAH LORRAINE</v>
      </c>
      <c r="L636" s="48">
        <f>IFERROR(DATEVALUE(TEXT(RIGHT(T_LEAVE[[#This Row],[LEAVE DATE]],LEN(T_LEAVE[[#This Row],[LEAVE DATE]])-6),"[$-en-US]d-mmm-yyyy;@")),"")</f>
        <v>44203</v>
      </c>
      <c r="M636" s="4" t="str">
        <f>IFERROR(TRIM(T_LEAVE[[#This Row],[TYPE]]),"")</f>
        <v>VACATION LEAVE</v>
      </c>
      <c r="N636" s="69" t="str">
        <f>IFERROR(VLOOKUP(T_LEAVE[[#This Row],[LEAVE TYPE]],T_LEAVETYPE[#All],2,0),"")</f>
        <v>VL</v>
      </c>
    </row>
    <row r="637" spans="2:14" x14ac:dyDescent="0.25">
      <c r="B637" s="93">
        <v>44165</v>
      </c>
      <c r="C637" s="48" t="s">
        <v>1096</v>
      </c>
      <c r="D637" s="48" t="s">
        <v>1064</v>
      </c>
      <c r="E637" s="4" t="s">
        <v>88</v>
      </c>
      <c r="F637" s="49">
        <v>1</v>
      </c>
      <c r="G637" s="4" t="s">
        <v>1080</v>
      </c>
      <c r="I637" s="4" t="s">
        <v>149</v>
      </c>
      <c r="J637" s="4" t="s">
        <v>105</v>
      </c>
      <c r="K637" s="4" t="str">
        <f>IFERROR(LEFT(T_LEAVE[[#This Row],[EMPLOYEE NAME]],LEN(T_LEAVE[[#This Row],[EMPLOYEE NAME]])-3),"")</f>
        <v>VIADO, DANAH LORRAINE</v>
      </c>
      <c r="L637" s="48">
        <f>IFERROR(DATEVALUE(TEXT(RIGHT(T_LEAVE[[#This Row],[LEAVE DATE]],LEN(T_LEAVE[[#This Row],[LEAVE DATE]])-6),"[$-en-US]d-mmm-yyyy;@")),"")</f>
        <v>44204</v>
      </c>
      <c r="M637" s="4" t="str">
        <f>IFERROR(TRIM(T_LEAVE[[#This Row],[TYPE]]),"")</f>
        <v>VACATION LEAVE</v>
      </c>
      <c r="N637" s="69" t="str">
        <f>IFERROR(VLOOKUP(T_LEAVE[[#This Row],[LEAVE TYPE]],T_LEAVETYPE[#All],2,0),"")</f>
        <v>VL</v>
      </c>
    </row>
    <row r="638" spans="2:14" x14ac:dyDescent="0.25">
      <c r="B638" s="93">
        <v>44165</v>
      </c>
      <c r="C638" s="48" t="s">
        <v>455</v>
      </c>
      <c r="D638" s="48" t="s">
        <v>1064</v>
      </c>
      <c r="E638" s="4" t="s">
        <v>88</v>
      </c>
      <c r="F638" s="49">
        <v>1</v>
      </c>
      <c r="G638" s="4" t="s">
        <v>1080</v>
      </c>
      <c r="I638" s="4" t="s">
        <v>149</v>
      </c>
      <c r="J638" s="4" t="s">
        <v>106</v>
      </c>
      <c r="K638" s="4" t="str">
        <f>IFERROR(LEFT(T_LEAVE[[#This Row],[EMPLOYEE NAME]],LEN(T_LEAVE[[#This Row],[EMPLOYEE NAME]])-3),"")</f>
        <v>VIADO, DANAH LORRAINE</v>
      </c>
      <c r="L638" s="48">
        <f>IFERROR(DATEVALUE(TEXT(RIGHT(T_LEAVE[[#This Row],[LEAVE DATE]],LEN(T_LEAVE[[#This Row],[LEAVE DATE]])-6),"[$-en-US]d-mmm-yyyy;@")),"")</f>
        <v>44205</v>
      </c>
      <c r="M638" s="4" t="str">
        <f>IFERROR(TRIM(T_LEAVE[[#This Row],[TYPE]]),"")</f>
        <v>VACATION LEAVE</v>
      </c>
      <c r="N638" s="69" t="str">
        <f>IFERROR(VLOOKUP(T_LEAVE[[#This Row],[LEAVE TYPE]],T_LEAVETYPE[#All],2,0),"")</f>
        <v>VL</v>
      </c>
    </row>
    <row r="639" spans="2:14" x14ac:dyDescent="0.25">
      <c r="B639" s="93">
        <v>44165</v>
      </c>
      <c r="C639" s="48" t="s">
        <v>1097</v>
      </c>
      <c r="D639" s="48" t="s">
        <v>1064</v>
      </c>
      <c r="E639" s="4" t="s">
        <v>88</v>
      </c>
      <c r="F639" s="49">
        <v>1</v>
      </c>
      <c r="G639" s="4" t="s">
        <v>1080</v>
      </c>
      <c r="I639" s="4" t="s">
        <v>149</v>
      </c>
      <c r="J639" s="4" t="s">
        <v>106</v>
      </c>
      <c r="K639" s="4" t="str">
        <f>IFERROR(LEFT(T_LEAVE[[#This Row],[EMPLOYEE NAME]],LEN(T_LEAVE[[#This Row],[EMPLOYEE NAME]])-3),"")</f>
        <v>VIADO, DANAH LORRAINE</v>
      </c>
      <c r="L639" s="48">
        <f>IFERROR(DATEVALUE(TEXT(RIGHT(T_LEAVE[[#This Row],[LEAVE DATE]],LEN(T_LEAVE[[#This Row],[LEAVE DATE]])-6),"[$-en-US]d-mmm-yyyy;@")),"")</f>
        <v>44206</v>
      </c>
      <c r="M639" s="4" t="str">
        <f>IFERROR(TRIM(T_LEAVE[[#This Row],[TYPE]]),"")</f>
        <v>VACATION LEAVE</v>
      </c>
      <c r="N639" s="69" t="str">
        <f>IFERROR(VLOOKUP(T_LEAVE[[#This Row],[LEAVE TYPE]],T_LEAVETYPE[#All],2,0),"")</f>
        <v>VL</v>
      </c>
    </row>
    <row r="640" spans="2:14" x14ac:dyDescent="0.25">
      <c r="B640" s="93">
        <v>44165</v>
      </c>
      <c r="C640" s="48" t="s">
        <v>1098</v>
      </c>
      <c r="D640" s="48" t="s">
        <v>1064</v>
      </c>
      <c r="E640" s="4" t="s">
        <v>88</v>
      </c>
      <c r="F640" s="49">
        <v>1</v>
      </c>
      <c r="G640" s="4" t="s">
        <v>1080</v>
      </c>
      <c r="I640" s="4" t="s">
        <v>149</v>
      </c>
      <c r="J640" s="4" t="s">
        <v>106</v>
      </c>
      <c r="K640" s="4" t="str">
        <f>IFERROR(LEFT(T_LEAVE[[#This Row],[EMPLOYEE NAME]],LEN(T_LEAVE[[#This Row],[EMPLOYEE NAME]])-3),"")</f>
        <v>VIADO, DANAH LORRAINE</v>
      </c>
      <c r="L640" s="48">
        <f>IFERROR(DATEVALUE(TEXT(RIGHT(T_LEAVE[[#This Row],[LEAVE DATE]],LEN(T_LEAVE[[#This Row],[LEAVE DATE]])-6),"[$-en-US]d-mmm-yyyy;@")),"")</f>
        <v>44207</v>
      </c>
      <c r="M640" s="4" t="str">
        <f>IFERROR(TRIM(T_LEAVE[[#This Row],[TYPE]]),"")</f>
        <v>VACATION LEAVE</v>
      </c>
      <c r="N640" s="69" t="str">
        <f>IFERROR(VLOOKUP(T_LEAVE[[#This Row],[LEAVE TYPE]],T_LEAVETYPE[#All],2,0),"")</f>
        <v>VL</v>
      </c>
    </row>
    <row r="641" spans="2:14" x14ac:dyDescent="0.25">
      <c r="B641" s="93">
        <v>44165</v>
      </c>
      <c r="C641" s="48" t="s">
        <v>1099</v>
      </c>
      <c r="D641" s="48" t="s">
        <v>1064</v>
      </c>
      <c r="E641" s="4" t="s">
        <v>88</v>
      </c>
      <c r="F641" s="49">
        <v>1</v>
      </c>
      <c r="G641" s="4" t="s">
        <v>1080</v>
      </c>
      <c r="I641" s="4" t="s">
        <v>149</v>
      </c>
      <c r="J641" s="4" t="s">
        <v>106</v>
      </c>
      <c r="K641" s="4" t="str">
        <f>IFERROR(LEFT(T_LEAVE[[#This Row],[EMPLOYEE NAME]],LEN(T_LEAVE[[#This Row],[EMPLOYEE NAME]])-3),"")</f>
        <v>VIADO, DANAH LORRAINE</v>
      </c>
      <c r="L641" s="48">
        <f>IFERROR(DATEVALUE(TEXT(RIGHT(T_LEAVE[[#This Row],[LEAVE DATE]],LEN(T_LEAVE[[#This Row],[LEAVE DATE]])-6),"[$-en-US]d-mmm-yyyy;@")),"")</f>
        <v>44208</v>
      </c>
      <c r="M641" s="4" t="str">
        <f>IFERROR(TRIM(T_LEAVE[[#This Row],[TYPE]]),"")</f>
        <v>VACATION LEAVE</v>
      </c>
      <c r="N641" s="69" t="str">
        <f>IFERROR(VLOOKUP(T_LEAVE[[#This Row],[LEAVE TYPE]],T_LEAVETYPE[#All],2,0),"")</f>
        <v>VL</v>
      </c>
    </row>
    <row r="642" spans="2:14" x14ac:dyDescent="0.25">
      <c r="B642" s="93">
        <v>44166</v>
      </c>
      <c r="C642" s="48" t="s">
        <v>596</v>
      </c>
      <c r="D642" s="48" t="s">
        <v>579</v>
      </c>
      <c r="E642" s="4" t="s">
        <v>89</v>
      </c>
      <c r="F642" s="49">
        <v>1</v>
      </c>
      <c r="G642" s="4" t="s">
        <v>574</v>
      </c>
      <c r="I642" s="4" t="s">
        <v>149</v>
      </c>
      <c r="J642" s="4" t="s">
        <v>597</v>
      </c>
      <c r="K642" s="4" t="str">
        <f>IFERROR(LEFT(T_LEAVE[[#This Row],[EMPLOYEE NAME]],LEN(T_LEAVE[[#This Row],[EMPLOYEE NAME]])-3),"")</f>
        <v>GORDORA, AIREEN GRACE</v>
      </c>
      <c r="L642" s="48">
        <f>IFERROR(DATEVALUE(TEXT(RIGHT(T_LEAVE[[#This Row],[LEAVE DATE]],LEN(T_LEAVE[[#This Row],[LEAVE DATE]])-6),"[$-en-US]d-mmm-yyyy;@")),"")</f>
        <v>44163</v>
      </c>
      <c r="M642" s="4" t="str">
        <f>IFERROR(TRIM(T_LEAVE[[#This Row],[TYPE]]),"")</f>
        <v>SICK LEAVE</v>
      </c>
      <c r="N642" s="69" t="str">
        <f>IFERROR(VLOOKUP(T_LEAVE[[#This Row],[LEAVE TYPE]],T_LEAVETYPE[#All],2,0),"")</f>
        <v>SL</v>
      </c>
    </row>
    <row r="643" spans="2:14" x14ac:dyDescent="0.25">
      <c r="B643" s="93">
        <v>44166</v>
      </c>
      <c r="C643" s="48" t="s">
        <v>645</v>
      </c>
      <c r="D643" s="48" t="s">
        <v>629</v>
      </c>
      <c r="E643" s="4" t="s">
        <v>89</v>
      </c>
      <c r="F643" s="49">
        <v>1</v>
      </c>
      <c r="G643" s="4" t="s">
        <v>89</v>
      </c>
      <c r="I643" s="4" t="s">
        <v>149</v>
      </c>
      <c r="J643" s="4" t="s">
        <v>597</v>
      </c>
      <c r="K643" s="4" t="str">
        <f>IFERROR(LEFT(T_LEAVE[[#This Row],[EMPLOYEE NAME]],LEN(T_LEAVE[[#This Row],[EMPLOYEE NAME]])-3),"")</f>
        <v>JAIME, JACYLYN</v>
      </c>
      <c r="L643" s="48">
        <f>IFERROR(DATEVALUE(TEXT(RIGHT(T_LEAVE[[#This Row],[LEAVE DATE]],LEN(T_LEAVE[[#This Row],[LEAVE DATE]])-6),"[$-en-US]d-mmm-yyyy;@")),"")</f>
        <v>44159</v>
      </c>
      <c r="M643" s="4" t="str">
        <f>IFERROR(TRIM(T_LEAVE[[#This Row],[TYPE]]),"")</f>
        <v>SICK LEAVE</v>
      </c>
      <c r="N643" s="69" t="str">
        <f>IFERROR(VLOOKUP(T_LEAVE[[#This Row],[LEAVE TYPE]],T_LEAVETYPE[#All],2,0),"")</f>
        <v>SL</v>
      </c>
    </row>
    <row r="644" spans="2:14" x14ac:dyDescent="0.25">
      <c r="B644" s="93">
        <v>44166</v>
      </c>
      <c r="C644" s="48" t="s">
        <v>596</v>
      </c>
      <c r="D644" s="48" t="s">
        <v>1033</v>
      </c>
      <c r="E644" s="4" t="s">
        <v>89</v>
      </c>
      <c r="F644" s="49">
        <v>1</v>
      </c>
      <c r="G644" s="4" t="s">
        <v>1060</v>
      </c>
      <c r="I644" s="4" t="s">
        <v>149</v>
      </c>
      <c r="J644" s="4" t="s">
        <v>1061</v>
      </c>
      <c r="K644" s="4" t="str">
        <f>IFERROR(LEFT(T_LEAVE[[#This Row],[EMPLOYEE NAME]],LEN(T_LEAVE[[#This Row],[EMPLOYEE NAME]])-3),"")</f>
        <v>VALLADARES, ALLEN</v>
      </c>
      <c r="L644" s="48">
        <f>IFERROR(DATEVALUE(TEXT(RIGHT(T_LEAVE[[#This Row],[LEAVE DATE]],LEN(T_LEAVE[[#This Row],[LEAVE DATE]])-6),"[$-en-US]d-mmm-yyyy;@")),"")</f>
        <v>44163</v>
      </c>
      <c r="M644" s="4" t="str">
        <f>IFERROR(TRIM(T_LEAVE[[#This Row],[TYPE]]),"")</f>
        <v>SICK LEAVE</v>
      </c>
      <c r="N644" s="69" t="str">
        <f>IFERROR(VLOOKUP(T_LEAVE[[#This Row],[LEAVE TYPE]],T_LEAVETYPE[#All],2,0),"")</f>
        <v>SL</v>
      </c>
    </row>
    <row r="645" spans="2:14" x14ac:dyDescent="0.25">
      <c r="B645" s="93">
        <v>44167</v>
      </c>
      <c r="C645" s="48" t="s">
        <v>807</v>
      </c>
      <c r="D645" s="48" t="s">
        <v>777</v>
      </c>
      <c r="E645" s="4" t="s">
        <v>698</v>
      </c>
      <c r="F645" s="49">
        <v>1</v>
      </c>
      <c r="G645" s="4" t="s">
        <v>805</v>
      </c>
      <c r="H645" s="4" t="s">
        <v>165</v>
      </c>
      <c r="I645" s="4" t="s">
        <v>149</v>
      </c>
      <c r="J645" s="4" t="s">
        <v>808</v>
      </c>
      <c r="K645" s="4" t="str">
        <f>IFERROR(LEFT(T_LEAVE[[#This Row],[EMPLOYEE NAME]],LEN(T_LEAVE[[#This Row],[EMPLOYEE NAME]])-3),"")</f>
        <v>MACALALAD, ANAMARIE</v>
      </c>
      <c r="L645" s="48">
        <f>IFERROR(DATEVALUE(TEXT(RIGHT(T_LEAVE[[#This Row],[LEAVE DATE]],LEN(T_LEAVE[[#This Row],[LEAVE DATE]])-6),"[$-en-US]d-mmm-yyyy;@")),"")</f>
        <v>44162</v>
      </c>
      <c r="M645" s="4" t="str">
        <f>IFERROR(TRIM(T_LEAVE[[#This Row],[TYPE]]),"")</f>
        <v>SOLO PARENT LEAVE</v>
      </c>
      <c r="N645" s="69" t="str">
        <f>IFERROR(VLOOKUP(T_LEAVE[[#This Row],[LEAVE TYPE]],T_LEAVETYPE[#All],2,0),"")</f>
        <v/>
      </c>
    </row>
    <row r="646" spans="2:14" x14ac:dyDescent="0.25">
      <c r="B646" s="93">
        <v>44169</v>
      </c>
      <c r="C646" s="48" t="s">
        <v>744</v>
      </c>
      <c r="D646" s="48" t="s">
        <v>691</v>
      </c>
      <c r="E646" s="4" t="s">
        <v>698</v>
      </c>
      <c r="F646" s="49">
        <v>1</v>
      </c>
      <c r="G646" s="4" t="s">
        <v>745</v>
      </c>
      <c r="H646" s="4" t="s">
        <v>165</v>
      </c>
      <c r="I646" s="4" t="s">
        <v>149</v>
      </c>
      <c r="J646" s="4" t="s">
        <v>746</v>
      </c>
      <c r="K646" s="4" t="str">
        <f>IFERROR(LEFT(T_LEAVE[[#This Row],[EMPLOYEE NAME]],LEN(T_LEAVE[[#This Row],[EMPLOYEE NAME]])-3),"")</f>
        <v>LATUGA, PHOEBE</v>
      </c>
      <c r="L646" s="48">
        <f>IFERROR(DATEVALUE(TEXT(RIGHT(T_LEAVE[[#This Row],[LEAVE DATE]],LEN(T_LEAVE[[#This Row],[LEAVE DATE]])-6),"[$-en-US]d-mmm-yyyy;@")),"")</f>
        <v>44169</v>
      </c>
      <c r="M646" s="4" t="str">
        <f>IFERROR(TRIM(T_LEAVE[[#This Row],[TYPE]]),"")</f>
        <v>SOLO PARENT LEAVE</v>
      </c>
      <c r="N646" s="69" t="str">
        <f>IFERROR(VLOOKUP(T_LEAVE[[#This Row],[LEAVE TYPE]],T_LEAVETYPE[#All],2,0),"")</f>
        <v/>
      </c>
    </row>
    <row r="647" spans="2:14" x14ac:dyDescent="0.25">
      <c r="B647" s="93">
        <v>44172</v>
      </c>
      <c r="C647" s="48" t="s">
        <v>744</v>
      </c>
      <c r="D647" s="48" t="s">
        <v>777</v>
      </c>
      <c r="E647" s="4" t="s">
        <v>89</v>
      </c>
      <c r="F647" s="49">
        <v>1</v>
      </c>
      <c r="G647" s="4" t="s">
        <v>809</v>
      </c>
      <c r="I647" s="4" t="s">
        <v>149</v>
      </c>
      <c r="J647" s="4" t="s">
        <v>810</v>
      </c>
      <c r="K647" s="4" t="str">
        <f>IFERROR(LEFT(T_LEAVE[[#This Row],[EMPLOYEE NAME]],LEN(T_LEAVE[[#This Row],[EMPLOYEE NAME]])-3),"")</f>
        <v>MACALALAD, ANAMARIE</v>
      </c>
      <c r="L647" s="48">
        <f>IFERROR(DATEVALUE(TEXT(RIGHT(T_LEAVE[[#This Row],[LEAVE DATE]],LEN(T_LEAVE[[#This Row],[LEAVE DATE]])-6),"[$-en-US]d-mmm-yyyy;@")),"")</f>
        <v>44169</v>
      </c>
      <c r="M647" s="4" t="str">
        <f>IFERROR(TRIM(T_LEAVE[[#This Row],[TYPE]]),"")</f>
        <v>SICK LEAVE</v>
      </c>
      <c r="N647" s="69" t="str">
        <f>IFERROR(VLOOKUP(T_LEAVE[[#This Row],[LEAVE TYPE]],T_LEAVETYPE[#All],2,0),"")</f>
        <v>SL</v>
      </c>
    </row>
    <row r="648" spans="2:14" x14ac:dyDescent="0.25">
      <c r="B648" s="93">
        <v>44173</v>
      </c>
      <c r="C648" s="48" t="s">
        <v>747</v>
      </c>
      <c r="D648" s="48" t="s">
        <v>691</v>
      </c>
      <c r="E648" s="4" t="s">
        <v>92</v>
      </c>
      <c r="F648" s="49">
        <v>1</v>
      </c>
      <c r="G648" s="4" t="s">
        <v>748</v>
      </c>
      <c r="I648" s="4" t="s">
        <v>149</v>
      </c>
      <c r="J648" s="4" t="s">
        <v>87</v>
      </c>
      <c r="K648" s="4" t="str">
        <f>IFERROR(LEFT(T_LEAVE[[#This Row],[EMPLOYEE NAME]],LEN(T_LEAVE[[#This Row],[EMPLOYEE NAME]])-3),"")</f>
        <v>LATUGA, PHOEBE</v>
      </c>
      <c r="L648" s="48">
        <f>IFERROR(DATEVALUE(TEXT(RIGHT(T_LEAVE[[#This Row],[LEAVE DATE]],LEN(T_LEAVE[[#This Row],[LEAVE DATE]])-6),"[$-en-US]d-mmm-yyyy;@")),"")</f>
        <v>44228</v>
      </c>
      <c r="M648" s="4" t="str">
        <f>IFERROR(TRIM(T_LEAVE[[#This Row],[TYPE]]),"")</f>
        <v>MATERNITY LEAVE</v>
      </c>
      <c r="N648" s="69" t="str">
        <f>IFERROR(VLOOKUP(T_LEAVE[[#This Row],[LEAVE TYPE]],T_LEAVETYPE[#All],2,0),"")</f>
        <v>ML</v>
      </c>
    </row>
    <row r="649" spans="2:14" x14ac:dyDescent="0.25">
      <c r="B649" s="93">
        <v>44173</v>
      </c>
      <c r="C649" s="48" t="s">
        <v>457</v>
      </c>
      <c r="D649" s="48" t="s">
        <v>691</v>
      </c>
      <c r="E649" s="4" t="s">
        <v>92</v>
      </c>
      <c r="F649" s="49">
        <v>1</v>
      </c>
      <c r="G649" s="4" t="s">
        <v>748</v>
      </c>
      <c r="I649" s="4" t="s">
        <v>149</v>
      </c>
      <c r="J649" s="4" t="s">
        <v>87</v>
      </c>
      <c r="K649" s="4" t="str">
        <f>IFERROR(LEFT(T_LEAVE[[#This Row],[EMPLOYEE NAME]],LEN(T_LEAVE[[#This Row],[EMPLOYEE NAME]])-3),"")</f>
        <v>LATUGA, PHOEBE</v>
      </c>
      <c r="L649" s="48">
        <f>IFERROR(DATEVALUE(TEXT(RIGHT(T_LEAVE[[#This Row],[LEAVE DATE]],LEN(T_LEAVE[[#This Row],[LEAVE DATE]])-6),"[$-en-US]d-mmm-yyyy;@")),"")</f>
        <v>44229</v>
      </c>
      <c r="M649" s="4" t="str">
        <f>IFERROR(TRIM(T_LEAVE[[#This Row],[TYPE]]),"")</f>
        <v>MATERNITY LEAVE</v>
      </c>
      <c r="N649" s="69" t="str">
        <f>IFERROR(VLOOKUP(T_LEAVE[[#This Row],[LEAVE TYPE]],T_LEAVETYPE[#All],2,0),"")</f>
        <v>ML</v>
      </c>
    </row>
    <row r="650" spans="2:14" x14ac:dyDescent="0.25">
      <c r="B650" s="93">
        <v>44173</v>
      </c>
      <c r="C650" s="48" t="s">
        <v>749</v>
      </c>
      <c r="D650" s="48" t="s">
        <v>691</v>
      </c>
      <c r="E650" s="4" t="s">
        <v>92</v>
      </c>
      <c r="F650" s="49">
        <v>1</v>
      </c>
      <c r="G650" s="4" t="s">
        <v>748</v>
      </c>
      <c r="I650" s="4" t="s">
        <v>149</v>
      </c>
      <c r="J650" s="4" t="s">
        <v>87</v>
      </c>
      <c r="K650" s="4" t="str">
        <f>IFERROR(LEFT(T_LEAVE[[#This Row],[EMPLOYEE NAME]],LEN(T_LEAVE[[#This Row],[EMPLOYEE NAME]])-3),"")</f>
        <v>LATUGA, PHOEBE</v>
      </c>
      <c r="L650" s="48">
        <f>IFERROR(DATEVALUE(TEXT(RIGHT(T_LEAVE[[#This Row],[LEAVE DATE]],LEN(T_LEAVE[[#This Row],[LEAVE DATE]])-6),"[$-en-US]d-mmm-yyyy;@")),"")</f>
        <v>44230</v>
      </c>
      <c r="M650" s="4" t="str">
        <f>IFERROR(TRIM(T_LEAVE[[#This Row],[TYPE]]),"")</f>
        <v>MATERNITY LEAVE</v>
      </c>
      <c r="N650" s="69" t="str">
        <f>IFERROR(VLOOKUP(T_LEAVE[[#This Row],[LEAVE TYPE]],T_LEAVETYPE[#All],2,0),"")</f>
        <v>ML</v>
      </c>
    </row>
    <row r="651" spans="2:14" x14ac:dyDescent="0.25">
      <c r="B651" s="93">
        <v>44173</v>
      </c>
      <c r="C651" s="48" t="s">
        <v>750</v>
      </c>
      <c r="D651" s="48" t="s">
        <v>691</v>
      </c>
      <c r="E651" s="4" t="s">
        <v>92</v>
      </c>
      <c r="F651" s="49">
        <v>1</v>
      </c>
      <c r="G651" s="4" t="s">
        <v>748</v>
      </c>
      <c r="I651" s="4" t="s">
        <v>149</v>
      </c>
      <c r="J651" s="4" t="s">
        <v>87</v>
      </c>
      <c r="K651" s="4" t="str">
        <f>IFERROR(LEFT(T_LEAVE[[#This Row],[EMPLOYEE NAME]],LEN(T_LEAVE[[#This Row],[EMPLOYEE NAME]])-3),"")</f>
        <v>LATUGA, PHOEBE</v>
      </c>
      <c r="L651" s="48">
        <f>IFERROR(DATEVALUE(TEXT(RIGHT(T_LEAVE[[#This Row],[LEAVE DATE]],LEN(T_LEAVE[[#This Row],[LEAVE DATE]])-6),"[$-en-US]d-mmm-yyyy;@")),"")</f>
        <v>44231</v>
      </c>
      <c r="M651" s="4" t="str">
        <f>IFERROR(TRIM(T_LEAVE[[#This Row],[TYPE]]),"")</f>
        <v>MATERNITY LEAVE</v>
      </c>
      <c r="N651" s="69" t="str">
        <f>IFERROR(VLOOKUP(T_LEAVE[[#This Row],[LEAVE TYPE]],T_LEAVETYPE[#All],2,0),"")</f>
        <v>ML</v>
      </c>
    </row>
    <row r="652" spans="2:14" x14ac:dyDescent="0.25">
      <c r="B652" s="93">
        <v>44173</v>
      </c>
      <c r="C652" s="48" t="s">
        <v>556</v>
      </c>
      <c r="D652" s="48" t="s">
        <v>691</v>
      </c>
      <c r="E652" s="4" t="s">
        <v>92</v>
      </c>
      <c r="F652" s="49">
        <v>1</v>
      </c>
      <c r="G652" s="4" t="s">
        <v>748</v>
      </c>
      <c r="I652" s="4" t="s">
        <v>149</v>
      </c>
      <c r="J652" s="4" t="s">
        <v>87</v>
      </c>
      <c r="K652" s="4" t="str">
        <f>IFERROR(LEFT(T_LEAVE[[#This Row],[EMPLOYEE NAME]],LEN(T_LEAVE[[#This Row],[EMPLOYEE NAME]])-3),"")</f>
        <v>LATUGA, PHOEBE</v>
      </c>
      <c r="L652" s="48">
        <f>IFERROR(DATEVALUE(TEXT(RIGHT(T_LEAVE[[#This Row],[LEAVE DATE]],LEN(T_LEAVE[[#This Row],[LEAVE DATE]])-6),"[$-en-US]d-mmm-yyyy;@")),"")</f>
        <v>44232</v>
      </c>
      <c r="M652" s="4" t="str">
        <f>IFERROR(TRIM(T_LEAVE[[#This Row],[TYPE]]),"")</f>
        <v>MATERNITY LEAVE</v>
      </c>
      <c r="N652" s="69" t="str">
        <f>IFERROR(VLOOKUP(T_LEAVE[[#This Row],[LEAVE TYPE]],T_LEAVETYPE[#All],2,0),"")</f>
        <v>ML</v>
      </c>
    </row>
    <row r="653" spans="2:14" x14ac:dyDescent="0.25">
      <c r="B653" s="93">
        <v>44173</v>
      </c>
      <c r="C653" s="48" t="s">
        <v>751</v>
      </c>
      <c r="D653" s="48" t="s">
        <v>691</v>
      </c>
      <c r="E653" s="4" t="s">
        <v>92</v>
      </c>
      <c r="F653" s="49">
        <v>1</v>
      </c>
      <c r="G653" s="4" t="s">
        <v>748</v>
      </c>
      <c r="I653" s="4" t="s">
        <v>149</v>
      </c>
      <c r="J653" s="4" t="s">
        <v>87</v>
      </c>
      <c r="K653" s="4" t="str">
        <f>IFERROR(LEFT(T_LEAVE[[#This Row],[EMPLOYEE NAME]],LEN(T_LEAVE[[#This Row],[EMPLOYEE NAME]])-3),"")</f>
        <v>LATUGA, PHOEBE</v>
      </c>
      <c r="L653" s="48">
        <f>IFERROR(DATEVALUE(TEXT(RIGHT(T_LEAVE[[#This Row],[LEAVE DATE]],LEN(T_LEAVE[[#This Row],[LEAVE DATE]])-6),"[$-en-US]d-mmm-yyyy;@")),"")</f>
        <v>44235</v>
      </c>
      <c r="M653" s="4" t="str">
        <f>IFERROR(TRIM(T_LEAVE[[#This Row],[TYPE]]),"")</f>
        <v>MATERNITY LEAVE</v>
      </c>
      <c r="N653" s="69" t="str">
        <f>IFERROR(VLOOKUP(T_LEAVE[[#This Row],[LEAVE TYPE]],T_LEAVETYPE[#All],2,0),"")</f>
        <v>ML</v>
      </c>
    </row>
    <row r="654" spans="2:14" x14ac:dyDescent="0.25">
      <c r="B654" s="93">
        <v>44174</v>
      </c>
      <c r="C654" s="48" t="s">
        <v>194</v>
      </c>
      <c r="D654" s="48" t="s">
        <v>147</v>
      </c>
      <c r="E654" s="4" t="s">
        <v>88</v>
      </c>
      <c r="F654" s="49">
        <v>1</v>
      </c>
      <c r="G654" s="4" t="s">
        <v>195</v>
      </c>
      <c r="I654" s="4" t="s">
        <v>149</v>
      </c>
      <c r="J654" s="4" t="s">
        <v>96</v>
      </c>
      <c r="K654" s="4" t="str">
        <f>IFERROR(LEFT(T_LEAVE[[#This Row],[EMPLOYEE NAME]],LEN(T_LEAVE[[#This Row],[EMPLOYEE NAME]])-3),"")</f>
        <v>ACOSTA, JOSEPH VAUGHN</v>
      </c>
      <c r="L654" s="48">
        <f>IFERROR(DATEVALUE(TEXT(RIGHT(T_LEAVE[[#This Row],[LEAVE DATE]],LEN(T_LEAVE[[#This Row],[LEAVE DATE]])-6),"[$-en-US]d-mmm-yyyy;@")),"")</f>
        <v>44211</v>
      </c>
      <c r="M654" s="4" t="str">
        <f>IFERROR(TRIM(T_LEAVE[[#This Row],[TYPE]]),"")</f>
        <v>VACATION LEAVE</v>
      </c>
      <c r="N654" s="4" t="str">
        <f>IFERROR(VLOOKUP(T_LEAVE[[#This Row],[LEAVE TYPE]],T_LEAVETYPE[#All],2,0),"")</f>
        <v>VL</v>
      </c>
    </row>
    <row r="655" spans="2:14" x14ac:dyDescent="0.25">
      <c r="B655" s="93">
        <v>44174</v>
      </c>
      <c r="C655" s="48" t="s">
        <v>196</v>
      </c>
      <c r="D655" s="48" t="s">
        <v>147</v>
      </c>
      <c r="E655" s="4" t="s">
        <v>88</v>
      </c>
      <c r="F655" s="49">
        <v>1</v>
      </c>
      <c r="G655" s="4" t="s">
        <v>195</v>
      </c>
      <c r="I655" s="4" t="s">
        <v>149</v>
      </c>
      <c r="J655" s="4" t="s">
        <v>96</v>
      </c>
      <c r="K655" s="4" t="str">
        <f>IFERROR(LEFT(T_LEAVE[[#This Row],[EMPLOYEE NAME]],LEN(T_LEAVE[[#This Row],[EMPLOYEE NAME]])-3),"")</f>
        <v>ACOSTA, JOSEPH VAUGHN</v>
      </c>
      <c r="L655" s="48">
        <f>IFERROR(DATEVALUE(TEXT(RIGHT(T_LEAVE[[#This Row],[LEAVE DATE]],LEN(T_LEAVE[[#This Row],[LEAVE DATE]])-6),"[$-en-US]d-mmm-yyyy;@")),"")</f>
        <v>44212</v>
      </c>
      <c r="M655" s="4" t="str">
        <f>IFERROR(TRIM(T_LEAVE[[#This Row],[TYPE]]),"")</f>
        <v>VACATION LEAVE</v>
      </c>
      <c r="N655" s="4" t="str">
        <f>IFERROR(VLOOKUP(T_LEAVE[[#This Row],[LEAVE TYPE]],T_LEAVETYPE[#All],2,0),"")</f>
        <v>VL</v>
      </c>
    </row>
    <row r="656" spans="2:14" x14ac:dyDescent="0.25">
      <c r="B656" s="93">
        <v>44174</v>
      </c>
      <c r="C656" s="48" t="s">
        <v>689</v>
      </c>
      <c r="D656" s="48" t="s">
        <v>666</v>
      </c>
      <c r="E656" s="4" t="s">
        <v>89</v>
      </c>
      <c r="F656" s="49">
        <v>1</v>
      </c>
      <c r="G656" s="4" t="s">
        <v>230</v>
      </c>
      <c r="I656" s="4" t="s">
        <v>149</v>
      </c>
      <c r="J656" s="4" t="s">
        <v>690</v>
      </c>
      <c r="K656" s="4" t="str">
        <f>IFERROR(LEFT(T_LEAVE[[#This Row],[EMPLOYEE NAME]],LEN(T_LEAVE[[#This Row],[EMPLOYEE NAME]])-3),"")</f>
        <v>LARIZA, MELANIE DELA CRUZ</v>
      </c>
      <c r="L656" s="48">
        <f>IFERROR(DATEVALUE(TEXT(RIGHT(T_LEAVE[[#This Row],[LEAVE DATE]],LEN(T_LEAVE[[#This Row],[LEAVE DATE]])-6),"[$-en-US]d-mmm-yyyy;@")),"")</f>
        <v>44173</v>
      </c>
      <c r="M656" s="4" t="str">
        <f>IFERROR(TRIM(T_LEAVE[[#This Row],[TYPE]]),"")</f>
        <v>SICK LEAVE</v>
      </c>
      <c r="N656" s="69" t="str">
        <f>IFERROR(VLOOKUP(T_LEAVE[[#This Row],[LEAVE TYPE]],T_LEAVETYPE[#All],2,0),"")</f>
        <v>SL</v>
      </c>
    </row>
    <row r="657" spans="2:14" x14ac:dyDescent="0.25">
      <c r="B657" s="93">
        <v>44176</v>
      </c>
      <c r="C657" s="48" t="s">
        <v>598</v>
      </c>
      <c r="D657" s="48" t="s">
        <v>1100</v>
      </c>
      <c r="E657" s="4" t="s">
        <v>88</v>
      </c>
      <c r="F657" s="49">
        <v>1</v>
      </c>
      <c r="G657" s="4" t="s">
        <v>1121</v>
      </c>
      <c r="I657" s="4" t="s">
        <v>149</v>
      </c>
      <c r="J657" s="4" t="s">
        <v>1122</v>
      </c>
      <c r="K657" s="4" t="str">
        <f>IFERROR(LEFT(T_LEAVE[[#This Row],[EMPLOYEE NAME]],LEN(T_LEAVE[[#This Row],[EMPLOYEE NAME]])-3),"")</f>
        <v>VILLAFLOR, REA</v>
      </c>
      <c r="L657" s="48">
        <f>IFERROR(DATEVALUE(TEXT(RIGHT(T_LEAVE[[#This Row],[LEAVE DATE]],LEN(T_LEAVE[[#This Row],[LEAVE DATE]])-6),"[$-en-US]d-mmm-yyyy;@")),"")</f>
        <v>44194</v>
      </c>
      <c r="M657" s="4" t="str">
        <f>IFERROR(TRIM(T_LEAVE[[#This Row],[TYPE]]),"")</f>
        <v>VACATION LEAVE</v>
      </c>
      <c r="N657" s="69" t="str">
        <f>IFERROR(VLOOKUP(T_LEAVE[[#This Row],[LEAVE TYPE]],T_LEAVETYPE[#All],2,0),"")</f>
        <v>VL</v>
      </c>
    </row>
    <row r="658" spans="2:14" x14ac:dyDescent="0.25">
      <c r="B658" s="93">
        <v>44178</v>
      </c>
      <c r="C658" s="48" t="s">
        <v>963</v>
      </c>
      <c r="D658" s="48" t="s">
        <v>950</v>
      </c>
      <c r="E658" s="4" t="s">
        <v>88</v>
      </c>
      <c r="F658" s="49">
        <v>1</v>
      </c>
      <c r="G658" s="4" t="s">
        <v>559</v>
      </c>
      <c r="I658" s="4" t="s">
        <v>149</v>
      </c>
      <c r="J658" s="4" t="s">
        <v>964</v>
      </c>
      <c r="K658" s="4" t="str">
        <f>IFERROR(LEFT(T_LEAVE[[#This Row],[EMPLOYEE NAME]],LEN(T_LEAVE[[#This Row],[EMPLOYEE NAME]])-3),"")</f>
        <v>SANTOS, JERICK</v>
      </c>
      <c r="L658" s="48">
        <f>IFERROR(DATEVALUE(TEXT(RIGHT(T_LEAVE[[#This Row],[LEAVE DATE]],LEN(T_LEAVE[[#This Row],[LEAVE DATE]])-6),"[$-en-US]d-mmm-yyyy;@")),"")</f>
        <v>44185</v>
      </c>
      <c r="M658" s="4" t="str">
        <f>IFERROR(TRIM(T_LEAVE[[#This Row],[TYPE]]),"")</f>
        <v>VACATION LEAVE</v>
      </c>
      <c r="N658" s="69" t="str">
        <f>IFERROR(VLOOKUP(T_LEAVE[[#This Row],[LEAVE TYPE]],T_LEAVETYPE[#All],2,0),"")</f>
        <v>VL</v>
      </c>
    </row>
    <row r="659" spans="2:14" x14ac:dyDescent="0.25">
      <c r="B659" s="93">
        <v>44179</v>
      </c>
      <c r="C659" s="48" t="s">
        <v>963</v>
      </c>
      <c r="D659" s="48" t="s">
        <v>1004</v>
      </c>
      <c r="E659" s="4" t="s">
        <v>88</v>
      </c>
      <c r="F659" s="49">
        <v>1</v>
      </c>
      <c r="G659" s="4" t="s">
        <v>1027</v>
      </c>
      <c r="I659" s="4" t="s">
        <v>149</v>
      </c>
      <c r="J659" s="4" t="s">
        <v>1028</v>
      </c>
      <c r="K659" s="4" t="str">
        <f>IFERROR(LEFT(T_LEAVE[[#This Row],[EMPLOYEE NAME]],LEN(T_LEAVE[[#This Row],[EMPLOYEE NAME]])-3),"")</f>
        <v>VALENCIA, WINDSOR ROBERT</v>
      </c>
      <c r="L659" s="48">
        <f>IFERROR(DATEVALUE(TEXT(RIGHT(T_LEAVE[[#This Row],[LEAVE DATE]],LEN(T_LEAVE[[#This Row],[LEAVE DATE]])-6),"[$-en-US]d-mmm-yyyy;@")),"")</f>
        <v>44185</v>
      </c>
      <c r="M659" s="4" t="str">
        <f>IFERROR(TRIM(T_LEAVE[[#This Row],[TYPE]]),"")</f>
        <v>VACATION LEAVE</v>
      </c>
      <c r="N659" s="69" t="str">
        <f>IFERROR(VLOOKUP(T_LEAVE[[#This Row],[LEAVE TYPE]],T_LEAVETYPE[#All],2,0),"")</f>
        <v>VL</v>
      </c>
    </row>
    <row r="660" spans="2:14" x14ac:dyDescent="0.25">
      <c r="B660" s="93">
        <v>44186</v>
      </c>
      <c r="C660" s="48" t="s">
        <v>598</v>
      </c>
      <c r="D660" s="48" t="s">
        <v>579</v>
      </c>
      <c r="E660" s="4" t="s">
        <v>88</v>
      </c>
      <c r="F660" s="49">
        <v>1</v>
      </c>
      <c r="G660" s="4" t="s">
        <v>599</v>
      </c>
      <c r="I660" s="4" t="s">
        <v>149</v>
      </c>
      <c r="J660" s="4" t="s">
        <v>600</v>
      </c>
      <c r="K660" s="4" t="str">
        <f>IFERROR(LEFT(T_LEAVE[[#This Row],[EMPLOYEE NAME]],LEN(T_LEAVE[[#This Row],[EMPLOYEE NAME]])-3),"")</f>
        <v>GORDORA, AIREEN GRACE</v>
      </c>
      <c r="L660" s="48">
        <f>IFERROR(DATEVALUE(TEXT(RIGHT(T_LEAVE[[#This Row],[LEAVE DATE]],LEN(T_LEAVE[[#This Row],[LEAVE DATE]])-6),"[$-en-US]d-mmm-yyyy;@")),"")</f>
        <v>44194</v>
      </c>
      <c r="M660" s="4" t="str">
        <f>IFERROR(TRIM(T_LEAVE[[#This Row],[TYPE]]),"")</f>
        <v>VACATION LEAVE</v>
      </c>
      <c r="N660" s="69" t="str">
        <f>IFERROR(VLOOKUP(T_LEAVE[[#This Row],[LEAVE TYPE]],T_LEAVETYPE[#All],2,0),"")</f>
        <v>VL</v>
      </c>
    </row>
    <row r="661" spans="2:14" x14ac:dyDescent="0.25">
      <c r="B661" s="93">
        <v>44187</v>
      </c>
      <c r="C661" s="48" t="s">
        <v>646</v>
      </c>
      <c r="D661" s="48" t="s">
        <v>629</v>
      </c>
      <c r="E661" s="4" t="s">
        <v>89</v>
      </c>
      <c r="F661" s="49">
        <v>1</v>
      </c>
      <c r="G661" s="4" t="s">
        <v>89</v>
      </c>
      <c r="I661" s="4" t="s">
        <v>149</v>
      </c>
      <c r="J661" s="4" t="s">
        <v>600</v>
      </c>
      <c r="K661" s="4" t="str">
        <f>IFERROR(LEFT(T_LEAVE[[#This Row],[EMPLOYEE NAME]],LEN(T_LEAVE[[#This Row],[EMPLOYEE NAME]])-3),"")</f>
        <v>JAIME, JACYLYN</v>
      </c>
      <c r="L661" s="48">
        <f>IFERROR(DATEVALUE(TEXT(RIGHT(T_LEAVE[[#This Row],[LEAVE DATE]],LEN(T_LEAVE[[#This Row],[LEAVE DATE]])-6),"[$-en-US]d-mmm-yyyy;@")),"")</f>
        <v>44184</v>
      </c>
      <c r="M661" s="4" t="str">
        <f>IFERROR(TRIM(T_LEAVE[[#This Row],[TYPE]]),"")</f>
        <v>SICK LEAVE</v>
      </c>
      <c r="N661" s="69" t="str">
        <f>IFERROR(VLOOKUP(T_LEAVE[[#This Row],[LEAVE TYPE]],T_LEAVETYPE[#All],2,0),"")</f>
        <v>SL</v>
      </c>
    </row>
    <row r="662" spans="2:14" x14ac:dyDescent="0.25">
      <c r="B662" s="93">
        <v>44194</v>
      </c>
      <c r="C662" s="48" t="s">
        <v>198</v>
      </c>
      <c r="D662" s="48" t="s">
        <v>629</v>
      </c>
      <c r="E662" s="4" t="s">
        <v>92</v>
      </c>
      <c r="F662" s="49">
        <v>1</v>
      </c>
      <c r="G662" s="4" t="s">
        <v>92</v>
      </c>
      <c r="I662" s="4" t="s">
        <v>149</v>
      </c>
      <c r="J662" s="4" t="s">
        <v>102</v>
      </c>
      <c r="K662" s="4" t="str">
        <f>IFERROR(LEFT(T_LEAVE[[#This Row],[EMPLOYEE NAME]],LEN(T_LEAVE[[#This Row],[EMPLOYEE NAME]])-3),"")</f>
        <v>JAIME, JACYLYN</v>
      </c>
      <c r="L662" s="48">
        <f>IFERROR(DATEVALUE(TEXT(RIGHT(T_LEAVE[[#This Row],[LEAVE DATE]],LEN(T_LEAVE[[#This Row],[LEAVE DATE]])-6),"[$-en-US]d-mmm-yyyy;@")),"")</f>
        <v>44217</v>
      </c>
      <c r="M662" s="4" t="str">
        <f>IFERROR(TRIM(T_LEAVE[[#This Row],[TYPE]]),"")</f>
        <v>MATERNITY LEAVE</v>
      </c>
      <c r="N662" s="69" t="str">
        <f>IFERROR(VLOOKUP(T_LEAVE[[#This Row],[LEAVE TYPE]],T_LEAVETYPE[#All],2,0),"")</f>
        <v>ML</v>
      </c>
    </row>
    <row r="663" spans="2:14" x14ac:dyDescent="0.25">
      <c r="B663" s="93">
        <v>44194</v>
      </c>
      <c r="C663" s="48" t="s">
        <v>200</v>
      </c>
      <c r="D663" s="48" t="s">
        <v>629</v>
      </c>
      <c r="E663" s="4" t="s">
        <v>92</v>
      </c>
      <c r="F663" s="49">
        <v>1</v>
      </c>
      <c r="G663" s="4" t="s">
        <v>92</v>
      </c>
      <c r="I663" s="4" t="s">
        <v>149</v>
      </c>
      <c r="J663" s="4" t="s">
        <v>102</v>
      </c>
      <c r="K663" s="4" t="str">
        <f>IFERROR(LEFT(T_LEAVE[[#This Row],[EMPLOYEE NAME]],LEN(T_LEAVE[[#This Row],[EMPLOYEE NAME]])-3),"")</f>
        <v>JAIME, JACYLYN</v>
      </c>
      <c r="L663" s="48">
        <f>IFERROR(DATEVALUE(TEXT(RIGHT(T_LEAVE[[#This Row],[LEAVE DATE]],LEN(T_LEAVE[[#This Row],[LEAVE DATE]])-6),"[$-en-US]d-mmm-yyyy;@")),"")</f>
        <v>44218</v>
      </c>
      <c r="M663" s="4" t="str">
        <f>IFERROR(TRIM(T_LEAVE[[#This Row],[TYPE]]),"")</f>
        <v>MATERNITY LEAVE</v>
      </c>
      <c r="N663" s="69" t="str">
        <f>IFERROR(VLOOKUP(T_LEAVE[[#This Row],[LEAVE TYPE]],T_LEAVETYPE[#All],2,0),"")</f>
        <v>ML</v>
      </c>
    </row>
    <row r="664" spans="2:14" x14ac:dyDescent="0.25">
      <c r="B664" s="93">
        <v>44194</v>
      </c>
      <c r="C664" s="48" t="s">
        <v>647</v>
      </c>
      <c r="D664" s="48" t="s">
        <v>629</v>
      </c>
      <c r="E664" s="4" t="s">
        <v>92</v>
      </c>
      <c r="F664" s="49">
        <v>1</v>
      </c>
      <c r="G664" s="4" t="s">
        <v>92</v>
      </c>
      <c r="I664" s="4" t="s">
        <v>149</v>
      </c>
      <c r="J664" s="4" t="s">
        <v>102</v>
      </c>
      <c r="K664" s="4" t="str">
        <f>IFERROR(LEFT(T_LEAVE[[#This Row],[EMPLOYEE NAME]],LEN(T_LEAVE[[#This Row],[EMPLOYEE NAME]])-3),"")</f>
        <v>JAIME, JACYLYN</v>
      </c>
      <c r="L664" s="48">
        <f>IFERROR(DATEVALUE(TEXT(RIGHT(T_LEAVE[[#This Row],[LEAVE DATE]],LEN(T_LEAVE[[#This Row],[LEAVE DATE]])-6),"[$-en-US]d-mmm-yyyy;@")),"")</f>
        <v>44219</v>
      </c>
      <c r="M664" s="4" t="str">
        <f>IFERROR(TRIM(T_LEAVE[[#This Row],[TYPE]]),"")</f>
        <v>MATERNITY LEAVE</v>
      </c>
      <c r="N664" s="69" t="str">
        <f>IFERROR(VLOOKUP(T_LEAVE[[#This Row],[LEAVE TYPE]],T_LEAVETYPE[#All],2,0),"")</f>
        <v>ML</v>
      </c>
    </row>
    <row r="665" spans="2:14" x14ac:dyDescent="0.25">
      <c r="B665" s="93">
        <v>44194</v>
      </c>
      <c r="C665" s="48" t="s">
        <v>1325</v>
      </c>
      <c r="D665" s="48" t="s">
        <v>629</v>
      </c>
      <c r="E665" s="4" t="s">
        <v>92</v>
      </c>
      <c r="F665" s="49">
        <v>1</v>
      </c>
      <c r="G665" s="4" t="s">
        <v>92</v>
      </c>
      <c r="I665" s="4" t="s">
        <v>149</v>
      </c>
      <c r="J665" s="4" t="s">
        <v>1326</v>
      </c>
      <c r="K665" s="4" t="str">
        <f>IFERROR(LEFT(T_LEAVE[[#This Row],[EMPLOYEE NAME]],LEN(T_LEAVE[[#This Row],[EMPLOYEE NAME]])-3),"")</f>
        <v>JAIME, JACYLYN</v>
      </c>
      <c r="L665" s="48">
        <f>IFERROR(DATEVALUE(TEXT(RIGHT(T_LEAVE[[#This Row],[LEAVE DATE]],LEN(T_LEAVE[[#This Row],[LEAVE DATE]])-6),"[$-en-US]d-mmm-yyyy;@")),"")</f>
        <v>44251</v>
      </c>
      <c r="M665" s="4" t="str">
        <f>IFERROR(TRIM(T_LEAVE[[#This Row],[TYPE]]),"")</f>
        <v>MATERNITY LEAVE</v>
      </c>
      <c r="N665" s="69" t="str">
        <f>IFERROR(VLOOKUP(T_LEAVE[[#This Row],[LEAVE TYPE]],T_LEAVETYPE[#All],2,0),"")</f>
        <v>ML</v>
      </c>
    </row>
    <row r="666" spans="2:14" x14ac:dyDescent="0.25">
      <c r="B666" s="93">
        <v>44194</v>
      </c>
      <c r="C666" s="48" t="s">
        <v>1327</v>
      </c>
      <c r="D666" s="48" t="s">
        <v>629</v>
      </c>
      <c r="E666" s="4" t="s">
        <v>92</v>
      </c>
      <c r="F666" s="49">
        <v>1</v>
      </c>
      <c r="G666" s="4" t="s">
        <v>92</v>
      </c>
      <c r="I666" s="4" t="s">
        <v>149</v>
      </c>
      <c r="J666" s="4" t="s">
        <v>1326</v>
      </c>
      <c r="K666" s="4" t="str">
        <f>IFERROR(LEFT(T_LEAVE[[#This Row],[EMPLOYEE NAME]],LEN(T_LEAVE[[#This Row],[EMPLOYEE NAME]])-3),"")</f>
        <v>JAIME, JACYLYN</v>
      </c>
      <c r="L666" s="48">
        <f>IFERROR(DATEVALUE(TEXT(RIGHT(T_LEAVE[[#This Row],[LEAVE DATE]],LEN(T_LEAVE[[#This Row],[LEAVE DATE]])-6),"[$-en-US]d-mmm-yyyy;@")),"")</f>
        <v>44253</v>
      </c>
      <c r="M666" s="4" t="str">
        <f>IFERROR(TRIM(T_LEAVE[[#This Row],[TYPE]]),"")</f>
        <v>MATERNITY LEAVE</v>
      </c>
      <c r="N666" s="69" t="str">
        <f>IFERROR(VLOOKUP(T_LEAVE[[#This Row],[LEAVE TYPE]],T_LEAVETYPE[#All],2,0),"")</f>
        <v>ML</v>
      </c>
    </row>
    <row r="667" spans="2:14" x14ac:dyDescent="0.25">
      <c r="B667" s="93">
        <v>44194</v>
      </c>
      <c r="C667" s="48" t="s">
        <v>1328</v>
      </c>
      <c r="D667" s="48" t="s">
        <v>629</v>
      </c>
      <c r="E667" s="4" t="s">
        <v>92</v>
      </c>
      <c r="F667" s="49">
        <v>1</v>
      </c>
      <c r="G667" s="4" t="s">
        <v>92</v>
      </c>
      <c r="I667" s="4" t="s">
        <v>149</v>
      </c>
      <c r="J667" s="4" t="s">
        <v>1326</v>
      </c>
      <c r="K667" s="4" t="str">
        <f>IFERROR(LEFT(T_LEAVE[[#This Row],[EMPLOYEE NAME]],LEN(T_LEAVE[[#This Row],[EMPLOYEE NAME]])-3),"")</f>
        <v>JAIME, JACYLYN</v>
      </c>
      <c r="L667" s="48">
        <f>IFERROR(DATEVALUE(TEXT(RIGHT(T_LEAVE[[#This Row],[LEAVE DATE]],LEN(T_LEAVE[[#This Row],[LEAVE DATE]])-6),"[$-en-US]d-mmm-yyyy;@")),"")</f>
        <v>44254</v>
      </c>
      <c r="M667" s="4" t="str">
        <f>IFERROR(TRIM(T_LEAVE[[#This Row],[TYPE]]),"")</f>
        <v>MATERNITY LEAVE</v>
      </c>
      <c r="N667" s="69" t="str">
        <f>IFERROR(VLOOKUP(T_LEAVE[[#This Row],[LEAVE TYPE]],T_LEAVETYPE[#All],2,0),"")</f>
        <v>ML</v>
      </c>
    </row>
    <row r="668" spans="2:14" x14ac:dyDescent="0.25">
      <c r="B668" s="93">
        <v>44194</v>
      </c>
      <c r="C668" s="48" t="s">
        <v>1329</v>
      </c>
      <c r="D668" s="48" t="s">
        <v>629</v>
      </c>
      <c r="E668" s="4" t="s">
        <v>92</v>
      </c>
      <c r="F668" s="49">
        <v>1</v>
      </c>
      <c r="G668" s="4" t="s">
        <v>92</v>
      </c>
      <c r="I668" s="4" t="s">
        <v>149</v>
      </c>
      <c r="J668" s="4" t="s">
        <v>1326</v>
      </c>
      <c r="K668" s="4" t="str">
        <f>IFERROR(LEFT(T_LEAVE[[#This Row],[EMPLOYEE NAME]],LEN(T_LEAVE[[#This Row],[EMPLOYEE NAME]])-3),"")</f>
        <v>JAIME, JACYLYN</v>
      </c>
      <c r="L668" s="48">
        <f>IFERROR(DATEVALUE(TEXT(RIGHT(T_LEAVE[[#This Row],[LEAVE DATE]],LEN(T_LEAVE[[#This Row],[LEAVE DATE]])-6),"[$-en-US]d-mmm-yyyy;@")),"")</f>
        <v>44257</v>
      </c>
      <c r="M668" s="4" t="str">
        <f>IFERROR(TRIM(T_LEAVE[[#This Row],[TYPE]]),"")</f>
        <v>MATERNITY LEAVE</v>
      </c>
      <c r="N668" s="69" t="str">
        <f>IFERROR(VLOOKUP(T_LEAVE[[#This Row],[LEAVE TYPE]],T_LEAVETYPE[#All],2,0),"")</f>
        <v>ML</v>
      </c>
    </row>
    <row r="669" spans="2:14" x14ac:dyDescent="0.25">
      <c r="B669" s="93">
        <v>44194</v>
      </c>
      <c r="C669" s="48" t="s">
        <v>1330</v>
      </c>
      <c r="D669" s="48" t="s">
        <v>629</v>
      </c>
      <c r="E669" s="4" t="s">
        <v>92</v>
      </c>
      <c r="F669" s="49">
        <v>1</v>
      </c>
      <c r="G669" s="4" t="s">
        <v>92</v>
      </c>
      <c r="I669" s="4" t="s">
        <v>149</v>
      </c>
      <c r="J669" s="4" t="s">
        <v>1326</v>
      </c>
      <c r="K669" s="4" t="str">
        <f>IFERROR(LEFT(T_LEAVE[[#This Row],[EMPLOYEE NAME]],LEN(T_LEAVE[[#This Row],[EMPLOYEE NAME]])-3),"")</f>
        <v>JAIME, JACYLYN</v>
      </c>
      <c r="L669" s="48">
        <f>IFERROR(DATEVALUE(TEXT(RIGHT(T_LEAVE[[#This Row],[LEAVE DATE]],LEN(T_LEAVE[[#This Row],[LEAVE DATE]])-6),"[$-en-US]d-mmm-yyyy;@")),"")</f>
        <v>44258</v>
      </c>
      <c r="M669" s="4" t="str">
        <f>IFERROR(TRIM(T_LEAVE[[#This Row],[TYPE]]),"")</f>
        <v>MATERNITY LEAVE</v>
      </c>
      <c r="N669" s="69" t="str">
        <f>IFERROR(VLOOKUP(T_LEAVE[[#This Row],[LEAVE TYPE]],T_LEAVETYPE[#All],2,0),"")</f>
        <v>ML</v>
      </c>
    </row>
    <row r="670" spans="2:14" x14ac:dyDescent="0.25">
      <c r="B670" s="93">
        <v>44194</v>
      </c>
      <c r="C670" s="48" t="s">
        <v>1331</v>
      </c>
      <c r="D670" s="48" t="s">
        <v>629</v>
      </c>
      <c r="E670" s="4" t="s">
        <v>92</v>
      </c>
      <c r="F670" s="49">
        <v>1</v>
      </c>
      <c r="G670" s="4" t="s">
        <v>92</v>
      </c>
      <c r="I670" s="4" t="s">
        <v>149</v>
      </c>
      <c r="J670" s="4" t="s">
        <v>1326</v>
      </c>
      <c r="K670" s="4" t="str">
        <f>IFERROR(LEFT(T_LEAVE[[#This Row],[EMPLOYEE NAME]],LEN(T_LEAVE[[#This Row],[EMPLOYEE NAME]])-3),"")</f>
        <v>JAIME, JACYLYN</v>
      </c>
      <c r="L670" s="48">
        <f>IFERROR(DATEVALUE(TEXT(RIGHT(T_LEAVE[[#This Row],[LEAVE DATE]],LEN(T_LEAVE[[#This Row],[LEAVE DATE]])-6),"[$-en-US]d-mmm-yyyy;@")),"")</f>
        <v>44259</v>
      </c>
      <c r="M670" s="4" t="str">
        <f>IFERROR(TRIM(T_LEAVE[[#This Row],[TYPE]]),"")</f>
        <v>MATERNITY LEAVE</v>
      </c>
      <c r="N670" s="69" t="str">
        <f>IFERROR(VLOOKUP(T_LEAVE[[#This Row],[LEAVE TYPE]],T_LEAVETYPE[#All],2,0),"")</f>
        <v>ML</v>
      </c>
    </row>
    <row r="671" spans="2:14" x14ac:dyDescent="0.25">
      <c r="B671" s="93">
        <v>44194</v>
      </c>
      <c r="C671" s="48" t="s">
        <v>1332</v>
      </c>
      <c r="D671" s="48" t="s">
        <v>629</v>
      </c>
      <c r="E671" s="4" t="s">
        <v>92</v>
      </c>
      <c r="F671" s="49">
        <v>1</v>
      </c>
      <c r="G671" s="4" t="s">
        <v>92</v>
      </c>
      <c r="I671" s="4" t="s">
        <v>149</v>
      </c>
      <c r="J671" s="4" t="s">
        <v>1326</v>
      </c>
      <c r="K671" s="4" t="str">
        <f>IFERROR(LEFT(T_LEAVE[[#This Row],[EMPLOYEE NAME]],LEN(T_LEAVE[[#This Row],[EMPLOYEE NAME]])-3),"")</f>
        <v>JAIME, JACYLYN</v>
      </c>
      <c r="L671" s="48">
        <f>IFERROR(DATEVALUE(TEXT(RIGHT(T_LEAVE[[#This Row],[LEAVE DATE]],LEN(T_LEAVE[[#This Row],[LEAVE DATE]])-6),"[$-en-US]d-mmm-yyyy;@")),"")</f>
        <v>44260</v>
      </c>
      <c r="M671" s="4" t="str">
        <f>IFERROR(TRIM(T_LEAVE[[#This Row],[TYPE]]),"")</f>
        <v>MATERNITY LEAVE</v>
      </c>
      <c r="N671" s="69" t="str">
        <f>IFERROR(VLOOKUP(T_LEAVE[[#This Row],[LEAVE TYPE]],T_LEAVETYPE[#All],2,0),"")</f>
        <v>ML</v>
      </c>
    </row>
    <row r="672" spans="2:14" x14ac:dyDescent="0.25">
      <c r="B672" s="93">
        <v>44194</v>
      </c>
      <c r="C672" s="48" t="s">
        <v>1333</v>
      </c>
      <c r="D672" s="48" t="s">
        <v>629</v>
      </c>
      <c r="E672" s="4" t="s">
        <v>92</v>
      </c>
      <c r="F672" s="49">
        <v>1</v>
      </c>
      <c r="G672" s="4" t="s">
        <v>92</v>
      </c>
      <c r="I672" s="4" t="s">
        <v>149</v>
      </c>
      <c r="J672" s="4" t="s">
        <v>1334</v>
      </c>
      <c r="K672" s="4" t="str">
        <f>IFERROR(LEFT(T_LEAVE[[#This Row],[EMPLOYEE NAME]],LEN(T_LEAVE[[#This Row],[EMPLOYEE NAME]])-3),"")</f>
        <v>JAIME, JACYLYN</v>
      </c>
      <c r="L672" s="48">
        <f>IFERROR(DATEVALUE(TEXT(RIGHT(T_LEAVE[[#This Row],[LEAVE DATE]],LEN(T_LEAVE[[#This Row],[LEAVE DATE]])-6),"[$-en-US]d-mmm-yyyy;@")),"")</f>
        <v>44261</v>
      </c>
      <c r="M672" s="4" t="str">
        <f>IFERROR(TRIM(T_LEAVE[[#This Row],[TYPE]]),"")</f>
        <v>MATERNITY LEAVE</v>
      </c>
      <c r="N672" s="69" t="str">
        <f>IFERROR(VLOOKUP(T_LEAVE[[#This Row],[LEAVE TYPE]],T_LEAVETYPE[#All],2,0),"")</f>
        <v>ML</v>
      </c>
    </row>
    <row r="673" spans="2:14" x14ac:dyDescent="0.25">
      <c r="B673" s="93">
        <v>44194</v>
      </c>
      <c r="C673" s="48" t="s">
        <v>1335</v>
      </c>
      <c r="D673" s="48" t="s">
        <v>629</v>
      </c>
      <c r="E673" s="4" t="s">
        <v>92</v>
      </c>
      <c r="F673" s="49">
        <v>1</v>
      </c>
      <c r="G673" s="4" t="s">
        <v>92</v>
      </c>
      <c r="I673" s="4" t="s">
        <v>149</v>
      </c>
      <c r="J673" s="4" t="s">
        <v>1336</v>
      </c>
      <c r="K673" s="4" t="str">
        <f>IFERROR(LEFT(T_LEAVE[[#This Row],[EMPLOYEE NAME]],LEN(T_LEAVE[[#This Row],[EMPLOYEE NAME]])-3),"")</f>
        <v>JAIME, JACYLYN</v>
      </c>
      <c r="L673" s="48">
        <f>IFERROR(DATEVALUE(TEXT(RIGHT(T_LEAVE[[#This Row],[LEAVE DATE]],LEN(T_LEAVE[[#This Row],[LEAVE DATE]])-6),"[$-en-US]d-mmm-yyyy;@")),"")</f>
        <v>44264</v>
      </c>
      <c r="M673" s="4" t="str">
        <f>IFERROR(TRIM(T_LEAVE[[#This Row],[TYPE]]),"")</f>
        <v>MATERNITY LEAVE</v>
      </c>
      <c r="N673" s="69" t="str">
        <f>IFERROR(VLOOKUP(T_LEAVE[[#This Row],[LEAVE TYPE]],T_LEAVETYPE[#All],2,0),"")</f>
        <v>ML</v>
      </c>
    </row>
    <row r="674" spans="2:14" x14ac:dyDescent="0.25">
      <c r="B674" s="93">
        <v>44194</v>
      </c>
      <c r="C674" s="48" t="s">
        <v>1337</v>
      </c>
      <c r="D674" s="48" t="s">
        <v>629</v>
      </c>
      <c r="E674" s="4" t="s">
        <v>92</v>
      </c>
      <c r="F674" s="49">
        <v>1</v>
      </c>
      <c r="G674" s="4" t="s">
        <v>92</v>
      </c>
      <c r="I674" s="4" t="s">
        <v>149</v>
      </c>
      <c r="J674" s="4" t="s">
        <v>1336</v>
      </c>
      <c r="K674" s="4" t="str">
        <f>IFERROR(LEFT(T_LEAVE[[#This Row],[EMPLOYEE NAME]],LEN(T_LEAVE[[#This Row],[EMPLOYEE NAME]])-3),"")</f>
        <v>JAIME, JACYLYN</v>
      </c>
      <c r="L674" s="48">
        <f>IFERROR(DATEVALUE(TEXT(RIGHT(T_LEAVE[[#This Row],[LEAVE DATE]],LEN(T_LEAVE[[#This Row],[LEAVE DATE]])-6),"[$-en-US]d-mmm-yyyy;@")),"")</f>
        <v>44265</v>
      </c>
      <c r="M674" s="4" t="str">
        <f>IFERROR(TRIM(T_LEAVE[[#This Row],[TYPE]]),"")</f>
        <v>MATERNITY LEAVE</v>
      </c>
      <c r="N674" s="69" t="str">
        <f>IFERROR(VLOOKUP(T_LEAVE[[#This Row],[LEAVE TYPE]],T_LEAVETYPE[#All],2,0),"")</f>
        <v>ML</v>
      </c>
    </row>
    <row r="675" spans="2:14" x14ac:dyDescent="0.25">
      <c r="B675" s="93">
        <v>44194</v>
      </c>
      <c r="C675" s="48" t="s">
        <v>1338</v>
      </c>
      <c r="D675" s="48" t="s">
        <v>629</v>
      </c>
      <c r="E675" s="4" t="s">
        <v>92</v>
      </c>
      <c r="F675" s="49">
        <v>1</v>
      </c>
      <c r="G675" s="4" t="s">
        <v>92</v>
      </c>
      <c r="I675" s="4" t="s">
        <v>149</v>
      </c>
      <c r="J675" s="4" t="s">
        <v>1336</v>
      </c>
      <c r="K675" s="4" t="str">
        <f>IFERROR(LEFT(T_LEAVE[[#This Row],[EMPLOYEE NAME]],LEN(T_LEAVE[[#This Row],[EMPLOYEE NAME]])-3),"")</f>
        <v>JAIME, JACYLYN</v>
      </c>
      <c r="L675" s="48">
        <f>IFERROR(DATEVALUE(TEXT(RIGHT(T_LEAVE[[#This Row],[LEAVE DATE]],LEN(T_LEAVE[[#This Row],[LEAVE DATE]])-6),"[$-en-US]d-mmm-yyyy;@")),"")</f>
        <v>44266</v>
      </c>
      <c r="M675" s="4" t="str">
        <f>IFERROR(TRIM(T_LEAVE[[#This Row],[TYPE]]),"")</f>
        <v>MATERNITY LEAVE</v>
      </c>
      <c r="N675" s="69" t="str">
        <f>IFERROR(VLOOKUP(T_LEAVE[[#This Row],[LEAVE TYPE]],T_LEAVETYPE[#All],2,0),"")</f>
        <v>ML</v>
      </c>
    </row>
    <row r="676" spans="2:14" x14ac:dyDescent="0.25">
      <c r="B676" s="93">
        <v>44194</v>
      </c>
      <c r="C676" s="48" t="s">
        <v>1339</v>
      </c>
      <c r="D676" s="48" t="s">
        <v>629</v>
      </c>
      <c r="E676" s="4" t="s">
        <v>92</v>
      </c>
      <c r="F676" s="49">
        <v>1</v>
      </c>
      <c r="G676" s="4" t="s">
        <v>92</v>
      </c>
      <c r="I676" s="4" t="s">
        <v>149</v>
      </c>
      <c r="J676" s="4" t="s">
        <v>1336</v>
      </c>
      <c r="K676" s="4" t="str">
        <f>IFERROR(LEFT(T_LEAVE[[#This Row],[EMPLOYEE NAME]],LEN(T_LEAVE[[#This Row],[EMPLOYEE NAME]])-3),"")</f>
        <v>JAIME, JACYLYN</v>
      </c>
      <c r="L676" s="48">
        <f>IFERROR(DATEVALUE(TEXT(RIGHT(T_LEAVE[[#This Row],[LEAVE DATE]],LEN(T_LEAVE[[#This Row],[LEAVE DATE]])-6),"[$-en-US]d-mmm-yyyy;@")),"")</f>
        <v>44267</v>
      </c>
      <c r="M676" s="4" t="str">
        <f>IFERROR(TRIM(T_LEAVE[[#This Row],[TYPE]]),"")</f>
        <v>MATERNITY LEAVE</v>
      </c>
      <c r="N676" s="69" t="str">
        <f>IFERROR(VLOOKUP(T_LEAVE[[#This Row],[LEAVE TYPE]],T_LEAVETYPE[#All],2,0),"")</f>
        <v>ML</v>
      </c>
    </row>
    <row r="677" spans="2:14" x14ac:dyDescent="0.25">
      <c r="B677" s="93">
        <v>44194</v>
      </c>
      <c r="C677" s="48" t="s">
        <v>1340</v>
      </c>
      <c r="D677" s="48" t="s">
        <v>629</v>
      </c>
      <c r="E677" s="4" t="s">
        <v>92</v>
      </c>
      <c r="F677" s="49">
        <v>1</v>
      </c>
      <c r="G677" s="4" t="s">
        <v>92</v>
      </c>
      <c r="I677" s="4" t="s">
        <v>149</v>
      </c>
      <c r="J677" s="4" t="s">
        <v>1336</v>
      </c>
      <c r="K677" s="4" t="str">
        <f>IFERROR(LEFT(T_LEAVE[[#This Row],[EMPLOYEE NAME]],LEN(T_LEAVE[[#This Row],[EMPLOYEE NAME]])-3),"")</f>
        <v>JAIME, JACYLYN</v>
      </c>
      <c r="L677" s="48">
        <f>IFERROR(DATEVALUE(TEXT(RIGHT(T_LEAVE[[#This Row],[LEAVE DATE]],LEN(T_LEAVE[[#This Row],[LEAVE DATE]])-6),"[$-en-US]d-mmm-yyyy;@")),"")</f>
        <v>44268</v>
      </c>
      <c r="M677" s="4" t="str">
        <f>IFERROR(TRIM(T_LEAVE[[#This Row],[TYPE]]),"")</f>
        <v>MATERNITY LEAVE</v>
      </c>
      <c r="N677" s="69" t="str">
        <f>IFERROR(VLOOKUP(T_LEAVE[[#This Row],[LEAVE TYPE]],T_LEAVETYPE[#All],2,0),"")</f>
        <v>ML</v>
      </c>
    </row>
    <row r="678" spans="2:14" x14ac:dyDescent="0.25">
      <c r="B678" s="93">
        <v>44194</v>
      </c>
      <c r="C678" s="48" t="s">
        <v>1341</v>
      </c>
      <c r="D678" s="48" t="s">
        <v>629</v>
      </c>
      <c r="E678" s="4" t="s">
        <v>92</v>
      </c>
      <c r="F678" s="49">
        <v>1</v>
      </c>
      <c r="G678" s="4" t="s">
        <v>92</v>
      </c>
      <c r="I678" s="4" t="s">
        <v>149</v>
      </c>
      <c r="J678" s="4" t="s">
        <v>1336</v>
      </c>
      <c r="K678" s="4" t="str">
        <f>IFERROR(LEFT(T_LEAVE[[#This Row],[EMPLOYEE NAME]],LEN(T_LEAVE[[#This Row],[EMPLOYEE NAME]])-3),"")</f>
        <v>JAIME, JACYLYN</v>
      </c>
      <c r="L678" s="48">
        <f>IFERROR(DATEVALUE(TEXT(RIGHT(T_LEAVE[[#This Row],[LEAVE DATE]],LEN(T_LEAVE[[#This Row],[LEAVE DATE]])-6),"[$-en-US]d-mmm-yyyy;@")),"")</f>
        <v>44271</v>
      </c>
      <c r="M678" s="4" t="str">
        <f>IFERROR(TRIM(T_LEAVE[[#This Row],[TYPE]]),"")</f>
        <v>MATERNITY LEAVE</v>
      </c>
      <c r="N678" s="69" t="str">
        <f>IFERROR(VLOOKUP(T_LEAVE[[#This Row],[LEAVE TYPE]],T_LEAVETYPE[#All],2,0),"")</f>
        <v>ML</v>
      </c>
    </row>
    <row r="679" spans="2:14" x14ac:dyDescent="0.25">
      <c r="B679" s="93">
        <v>44194</v>
      </c>
      <c r="C679" s="48" t="s">
        <v>1342</v>
      </c>
      <c r="D679" s="48" t="s">
        <v>629</v>
      </c>
      <c r="E679" s="4" t="s">
        <v>92</v>
      </c>
      <c r="F679" s="49">
        <v>1</v>
      </c>
      <c r="G679" s="4" t="s">
        <v>92</v>
      </c>
      <c r="I679" s="4" t="s">
        <v>149</v>
      </c>
      <c r="J679" s="4" t="s">
        <v>1336</v>
      </c>
      <c r="K679" s="4" t="str">
        <f>IFERROR(LEFT(T_LEAVE[[#This Row],[EMPLOYEE NAME]],LEN(T_LEAVE[[#This Row],[EMPLOYEE NAME]])-3),"")</f>
        <v>JAIME, JACYLYN</v>
      </c>
      <c r="L679" s="48">
        <f>IFERROR(DATEVALUE(TEXT(RIGHT(T_LEAVE[[#This Row],[LEAVE DATE]],LEN(T_LEAVE[[#This Row],[LEAVE DATE]])-6),"[$-en-US]d-mmm-yyyy;@")),"")</f>
        <v>44272</v>
      </c>
      <c r="M679" s="4" t="str">
        <f>IFERROR(TRIM(T_LEAVE[[#This Row],[TYPE]]),"")</f>
        <v>MATERNITY LEAVE</v>
      </c>
      <c r="N679" s="69" t="str">
        <f>IFERROR(VLOOKUP(T_LEAVE[[#This Row],[LEAVE TYPE]],T_LEAVETYPE[#All],2,0),"")</f>
        <v>ML</v>
      </c>
    </row>
    <row r="680" spans="2:14" x14ac:dyDescent="0.25">
      <c r="B680" s="93">
        <v>44194</v>
      </c>
      <c r="C680" s="48" t="s">
        <v>1343</v>
      </c>
      <c r="D680" s="48" t="s">
        <v>629</v>
      </c>
      <c r="E680" s="4" t="s">
        <v>92</v>
      </c>
      <c r="F680" s="49">
        <v>1</v>
      </c>
      <c r="G680" s="4" t="s">
        <v>92</v>
      </c>
      <c r="I680" s="4" t="s">
        <v>149</v>
      </c>
      <c r="J680" s="4" t="s">
        <v>1336</v>
      </c>
      <c r="K680" s="4" t="str">
        <f>IFERROR(LEFT(T_LEAVE[[#This Row],[EMPLOYEE NAME]],LEN(T_LEAVE[[#This Row],[EMPLOYEE NAME]])-3),"")</f>
        <v>JAIME, JACYLYN</v>
      </c>
      <c r="L680" s="48">
        <f>IFERROR(DATEVALUE(TEXT(RIGHT(T_LEAVE[[#This Row],[LEAVE DATE]],LEN(T_LEAVE[[#This Row],[LEAVE DATE]])-6),"[$-en-US]d-mmm-yyyy;@")),"")</f>
        <v>44273</v>
      </c>
      <c r="M680" s="4" t="str">
        <f>IFERROR(TRIM(T_LEAVE[[#This Row],[TYPE]]),"")</f>
        <v>MATERNITY LEAVE</v>
      </c>
      <c r="N680" s="69" t="str">
        <f>IFERROR(VLOOKUP(T_LEAVE[[#This Row],[LEAVE TYPE]],T_LEAVETYPE[#All],2,0),"")</f>
        <v>ML</v>
      </c>
    </row>
    <row r="681" spans="2:14" x14ac:dyDescent="0.25">
      <c r="B681" s="93">
        <v>44198</v>
      </c>
      <c r="C681" s="48" t="s">
        <v>314</v>
      </c>
      <c r="D681" s="48" t="s">
        <v>256</v>
      </c>
      <c r="E681" s="4" t="s">
        <v>88</v>
      </c>
      <c r="F681" s="49">
        <v>1</v>
      </c>
      <c r="G681" s="4" t="s">
        <v>315</v>
      </c>
      <c r="I681" s="4" t="s">
        <v>149</v>
      </c>
      <c r="J681" s="4" t="s">
        <v>99</v>
      </c>
      <c r="K681" s="4" t="str">
        <f>IFERROR(LEFT(T_LEAVE[[#This Row],[EMPLOYEE NAME]],LEN(T_LEAVE[[#This Row],[EMPLOYEE NAME]])-3),"")</f>
        <v>BALICAS, IRISH ANN</v>
      </c>
      <c r="L681" s="48">
        <f>IFERROR(DATEVALUE(TEXT(RIGHT(T_LEAVE[[#This Row],[LEAVE DATE]],LEN(T_LEAVE[[#This Row],[LEAVE DATE]])-6),"[$-en-US]d-mmm-yyyy;@")),"")</f>
        <v>44203</v>
      </c>
      <c r="M681" s="4" t="str">
        <f>IFERROR(TRIM(T_LEAVE[[#This Row],[TYPE]]),"")</f>
        <v>VACATION LEAVE</v>
      </c>
      <c r="N681" s="69" t="str">
        <f>IFERROR(VLOOKUP(T_LEAVE[[#This Row],[LEAVE TYPE]],T_LEAVETYPE[#All],2,0),"")</f>
        <v>VL</v>
      </c>
    </row>
    <row r="682" spans="2:14" x14ac:dyDescent="0.25">
      <c r="B682" s="93">
        <v>44199</v>
      </c>
      <c r="C682" s="48" t="s">
        <v>455</v>
      </c>
      <c r="D682" s="48" t="s">
        <v>421</v>
      </c>
      <c r="E682" s="4" t="s">
        <v>88</v>
      </c>
      <c r="F682" s="49">
        <v>1</v>
      </c>
      <c r="G682" s="4" t="s">
        <v>456</v>
      </c>
      <c r="I682" s="4" t="s">
        <v>149</v>
      </c>
      <c r="J682" s="4" t="s">
        <v>100</v>
      </c>
      <c r="K682" s="4" t="str">
        <f>IFERROR(LEFT(T_LEAVE[[#This Row],[EMPLOYEE NAME]],LEN(T_LEAVE[[#This Row],[EMPLOYEE NAME]])-3),"")</f>
        <v>DE LEON, JEFFREY</v>
      </c>
      <c r="L682" s="48">
        <f>IFERROR(DATEVALUE(TEXT(RIGHT(T_LEAVE[[#This Row],[LEAVE DATE]],LEN(T_LEAVE[[#This Row],[LEAVE DATE]])-6),"[$-en-US]d-mmm-yyyy;@")),"")</f>
        <v>44205</v>
      </c>
      <c r="M682" s="4" t="str">
        <f>IFERROR(TRIM(T_LEAVE[[#This Row],[TYPE]]),"")</f>
        <v>VACATION LEAVE</v>
      </c>
      <c r="N682" s="69" t="str">
        <f>IFERROR(VLOOKUP(T_LEAVE[[#This Row],[LEAVE TYPE]],T_LEAVETYPE[#All],2,0),"")</f>
        <v>VL</v>
      </c>
    </row>
    <row r="683" spans="2:14" x14ac:dyDescent="0.25">
      <c r="B683" s="93">
        <v>44203</v>
      </c>
      <c r="C683" s="48" t="s">
        <v>354</v>
      </c>
      <c r="D683" s="48" t="s">
        <v>330</v>
      </c>
      <c r="E683" s="4" t="s">
        <v>88</v>
      </c>
      <c r="F683" s="49">
        <v>1</v>
      </c>
      <c r="G683" s="4" t="s">
        <v>355</v>
      </c>
      <c r="I683" s="4" t="s">
        <v>149</v>
      </c>
      <c r="J683" s="4" t="s">
        <v>98</v>
      </c>
      <c r="K683" s="4" t="str">
        <f>IFERROR(LEFT(T_LEAVE[[#This Row],[EMPLOYEE NAME]],LEN(T_LEAVE[[#This Row],[EMPLOYEE NAME]])-3),"")</f>
        <v>BELMONTE, JOSE MARI</v>
      </c>
      <c r="L683" s="48">
        <f>IFERROR(DATEVALUE(TEXT(RIGHT(T_LEAVE[[#This Row],[LEAVE DATE]],LEN(T_LEAVE[[#This Row],[LEAVE DATE]])-6),"[$-en-US]d-mmm-yyyy;@")),"")</f>
        <v>44226</v>
      </c>
      <c r="M683" s="4" t="str">
        <f>IFERROR(TRIM(T_LEAVE[[#This Row],[TYPE]]),"")</f>
        <v>VACATION LEAVE</v>
      </c>
      <c r="N683" s="69" t="str">
        <f>IFERROR(VLOOKUP(T_LEAVE[[#This Row],[LEAVE TYPE]],T_LEAVETYPE[#All],2,0),"")</f>
        <v>VL</v>
      </c>
    </row>
    <row r="684" spans="2:14" x14ac:dyDescent="0.25">
      <c r="B684" s="93">
        <v>44206</v>
      </c>
      <c r="C684" s="48" t="s">
        <v>515</v>
      </c>
      <c r="D684" s="48" t="s">
        <v>496</v>
      </c>
      <c r="E684" s="4" t="s">
        <v>88</v>
      </c>
      <c r="F684" s="49">
        <v>1</v>
      </c>
      <c r="G684" s="4" t="s">
        <v>516</v>
      </c>
      <c r="I684" s="4" t="s">
        <v>149</v>
      </c>
      <c r="J684" s="4" t="s">
        <v>101</v>
      </c>
      <c r="K684" s="4" t="str">
        <f>IFERROR(LEFT(T_LEAVE[[#This Row],[EMPLOYEE NAME]],LEN(T_LEAVE[[#This Row],[EMPLOYEE NAME]])-3),"")</f>
        <v>FACTO, SHANICE</v>
      </c>
      <c r="L684" s="48">
        <f>IFERROR(DATEVALUE(TEXT(RIGHT(T_LEAVE[[#This Row],[LEAVE DATE]],LEN(T_LEAVE[[#This Row],[LEAVE DATE]])-6),"[$-en-US]d-mmm-yyyy;@")),"")</f>
        <v>44220</v>
      </c>
      <c r="M684" s="4" t="str">
        <f>IFERROR(TRIM(T_LEAVE[[#This Row],[TYPE]]),"")</f>
        <v>VACATION LEAVE</v>
      </c>
      <c r="N684" s="69" t="str">
        <f>IFERROR(VLOOKUP(T_LEAVE[[#This Row],[LEAVE TYPE]],T_LEAVETYPE[#All],2,0),"")</f>
        <v>VL</v>
      </c>
    </row>
    <row r="685" spans="2:14" x14ac:dyDescent="0.25">
      <c r="B685" s="93">
        <v>44208</v>
      </c>
      <c r="C685" s="48" t="s">
        <v>750</v>
      </c>
      <c r="D685" s="48" t="s">
        <v>847</v>
      </c>
      <c r="E685" s="4" t="s">
        <v>88</v>
      </c>
      <c r="F685" s="49">
        <v>1</v>
      </c>
      <c r="G685" s="4" t="s">
        <v>879</v>
      </c>
      <c r="I685" s="4" t="s">
        <v>149</v>
      </c>
      <c r="J685" s="4" t="s">
        <v>880</v>
      </c>
      <c r="K685" s="4" t="str">
        <f>IFERROR(LEFT(T_LEAVE[[#This Row],[EMPLOYEE NAME]],LEN(T_LEAVE[[#This Row],[EMPLOYEE NAME]])-3),"")</f>
        <v>MATIGNAS, JAYDEE</v>
      </c>
      <c r="L685" s="48">
        <f>IFERROR(DATEVALUE(TEXT(RIGHT(T_LEAVE[[#This Row],[LEAVE DATE]],LEN(T_LEAVE[[#This Row],[LEAVE DATE]])-6),"[$-en-US]d-mmm-yyyy;@")),"")</f>
        <v>44231</v>
      </c>
      <c r="M685" s="4" t="str">
        <f>IFERROR(TRIM(T_LEAVE[[#This Row],[TYPE]]),"")</f>
        <v>VACATION LEAVE</v>
      </c>
      <c r="N685" s="69" t="str">
        <f>IFERROR(VLOOKUP(T_LEAVE[[#This Row],[LEAVE TYPE]],T_LEAVETYPE[#All],2,0),"")</f>
        <v>VL</v>
      </c>
    </row>
    <row r="686" spans="2:14" x14ac:dyDescent="0.25">
      <c r="B686" s="93">
        <v>44210</v>
      </c>
      <c r="C686" s="48" t="s">
        <v>965</v>
      </c>
      <c r="D686" s="48" t="s">
        <v>950</v>
      </c>
      <c r="E686" s="4" t="s">
        <v>88</v>
      </c>
      <c r="F686" s="49">
        <v>1</v>
      </c>
      <c r="G686" s="4" t="s">
        <v>523</v>
      </c>
      <c r="I686" s="4" t="s">
        <v>149</v>
      </c>
      <c r="J686" s="4" t="s">
        <v>103</v>
      </c>
      <c r="K686" s="4" t="str">
        <f>IFERROR(LEFT(T_LEAVE[[#This Row],[EMPLOYEE NAME]],LEN(T_LEAVE[[#This Row],[EMPLOYEE NAME]])-3),"")</f>
        <v>SANTOS, JERICK</v>
      </c>
      <c r="L686" s="48">
        <f>IFERROR(DATEVALUE(TEXT(RIGHT(T_LEAVE[[#This Row],[LEAVE DATE]],LEN(T_LEAVE[[#This Row],[LEAVE DATE]])-6),"[$-en-US]d-mmm-yyyy;@")),"")</f>
        <v>44224</v>
      </c>
      <c r="M686" s="4" t="str">
        <f>IFERROR(TRIM(T_LEAVE[[#This Row],[TYPE]]),"")</f>
        <v>VACATION LEAVE</v>
      </c>
      <c r="N686" s="69" t="str">
        <f>IFERROR(VLOOKUP(T_LEAVE[[#This Row],[LEAVE TYPE]],T_LEAVETYPE[#All],2,0),"")</f>
        <v>VL</v>
      </c>
    </row>
    <row r="687" spans="2:14" x14ac:dyDescent="0.25">
      <c r="B687" s="93">
        <v>44211</v>
      </c>
      <c r="C687" s="48" t="s">
        <v>197</v>
      </c>
      <c r="D687" s="48" t="s">
        <v>147</v>
      </c>
      <c r="E687" s="4" t="s">
        <v>88</v>
      </c>
      <c r="F687" s="49">
        <v>1</v>
      </c>
      <c r="G687" s="4" t="s">
        <v>195</v>
      </c>
      <c r="I687" s="4" t="s">
        <v>149</v>
      </c>
      <c r="J687" s="4" t="s">
        <v>96</v>
      </c>
      <c r="K687" s="4" t="str">
        <f>IFERROR(LEFT(T_LEAVE[[#This Row],[EMPLOYEE NAME]],LEN(T_LEAVE[[#This Row],[EMPLOYEE NAME]])-3),"")</f>
        <v>ACOSTA, JOSEPH VAUGHN</v>
      </c>
      <c r="L687" s="48">
        <f>IFERROR(DATEVALUE(TEXT(RIGHT(T_LEAVE[[#This Row],[LEAVE DATE]],LEN(T_LEAVE[[#This Row],[LEAVE DATE]])-6),"[$-en-US]d-mmm-yyyy;@")),"")</f>
        <v>44213</v>
      </c>
      <c r="M687" s="4" t="str">
        <f>IFERROR(TRIM(T_LEAVE[[#This Row],[TYPE]]),"")</f>
        <v>VACATION LEAVE</v>
      </c>
      <c r="N687" s="4" t="str">
        <f>IFERROR(VLOOKUP(T_LEAVE[[#This Row],[LEAVE TYPE]],T_LEAVETYPE[#All],2,0),"")</f>
        <v>VL</v>
      </c>
    </row>
    <row r="688" spans="2:14" x14ac:dyDescent="0.25">
      <c r="B688" s="93">
        <v>44217</v>
      </c>
      <c r="C688" s="48" t="s">
        <v>198</v>
      </c>
      <c r="D688" s="48" t="s">
        <v>147</v>
      </c>
      <c r="E688" s="4" t="s">
        <v>88</v>
      </c>
      <c r="F688" s="49">
        <v>1</v>
      </c>
      <c r="G688" s="4" t="s">
        <v>199</v>
      </c>
      <c r="I688" s="4" t="s">
        <v>149</v>
      </c>
      <c r="J688" s="4" t="s">
        <v>97</v>
      </c>
      <c r="K688" s="4" t="str">
        <f>IFERROR(LEFT(T_LEAVE[[#This Row],[EMPLOYEE NAME]],LEN(T_LEAVE[[#This Row],[EMPLOYEE NAME]])-3),"")</f>
        <v>ACOSTA, JOSEPH VAUGHN</v>
      </c>
      <c r="L688" s="48">
        <f>IFERROR(DATEVALUE(TEXT(RIGHT(T_LEAVE[[#This Row],[LEAVE DATE]],LEN(T_LEAVE[[#This Row],[LEAVE DATE]])-6),"[$-en-US]d-mmm-yyyy;@")),"")</f>
        <v>44217</v>
      </c>
      <c r="M688" s="4" t="str">
        <f>IFERROR(TRIM(T_LEAVE[[#This Row],[TYPE]]),"")</f>
        <v>VACATION LEAVE</v>
      </c>
      <c r="N688" s="4" t="str">
        <f>IFERROR(VLOOKUP(T_LEAVE[[#This Row],[LEAVE TYPE]],T_LEAVETYPE[#All],2,0),"")</f>
        <v>VL</v>
      </c>
    </row>
    <row r="689" spans="2:14" x14ac:dyDescent="0.25">
      <c r="B689" s="93">
        <v>44217</v>
      </c>
      <c r="C689" s="48" t="s">
        <v>200</v>
      </c>
      <c r="D689" s="48" t="s">
        <v>147</v>
      </c>
      <c r="E689" s="4" t="s">
        <v>88</v>
      </c>
      <c r="F689" s="49">
        <v>1</v>
      </c>
      <c r="G689" s="4" t="s">
        <v>199</v>
      </c>
      <c r="I689" s="4" t="s">
        <v>149</v>
      </c>
      <c r="J689" s="4" t="s">
        <v>97</v>
      </c>
      <c r="K689" s="4" t="str">
        <f>IFERROR(LEFT(T_LEAVE[[#This Row],[EMPLOYEE NAME]],LEN(T_LEAVE[[#This Row],[EMPLOYEE NAME]])-3),"")</f>
        <v>ACOSTA, JOSEPH VAUGHN</v>
      </c>
      <c r="L689" s="48">
        <f>IFERROR(DATEVALUE(TEXT(RIGHT(T_LEAVE[[#This Row],[LEAVE DATE]],LEN(T_LEAVE[[#This Row],[LEAVE DATE]])-6),"[$-en-US]d-mmm-yyyy;@")),"")</f>
        <v>44218</v>
      </c>
      <c r="M689" s="4" t="str">
        <f>IFERROR(TRIM(T_LEAVE[[#This Row],[TYPE]]),"")</f>
        <v>VACATION LEAVE</v>
      </c>
      <c r="N689" s="4" t="str">
        <f>IFERROR(VLOOKUP(T_LEAVE[[#This Row],[LEAVE TYPE]],T_LEAVETYPE[#All],2,0),"")</f>
        <v>VL</v>
      </c>
    </row>
    <row r="690" spans="2:14" x14ac:dyDescent="0.25">
      <c r="B690" s="93">
        <v>44217</v>
      </c>
      <c r="C690" s="48" t="s">
        <v>201</v>
      </c>
      <c r="D690" s="48" t="s">
        <v>147</v>
      </c>
      <c r="E690" s="4" t="s">
        <v>88</v>
      </c>
      <c r="F690" s="49">
        <v>1</v>
      </c>
      <c r="G690" s="4" t="s">
        <v>199</v>
      </c>
      <c r="I690" s="4" t="s">
        <v>149</v>
      </c>
      <c r="J690" s="4" t="s">
        <v>97</v>
      </c>
      <c r="K690" s="4" t="str">
        <f>IFERROR(LEFT(T_LEAVE[[#This Row],[EMPLOYEE NAME]],LEN(T_LEAVE[[#This Row],[EMPLOYEE NAME]])-3),"")</f>
        <v>ACOSTA, JOSEPH VAUGHN</v>
      </c>
      <c r="L690" s="48">
        <f>IFERROR(DATEVALUE(TEXT(RIGHT(T_LEAVE[[#This Row],[LEAVE DATE]],LEN(T_LEAVE[[#This Row],[LEAVE DATE]])-6),"[$-en-US]d-mmm-yyyy;@")),"")</f>
        <v>44221</v>
      </c>
      <c r="M690" s="4" t="str">
        <f>IFERROR(TRIM(T_LEAVE[[#This Row],[TYPE]]),"")</f>
        <v>VACATION LEAVE</v>
      </c>
      <c r="N690" s="4" t="str">
        <f>IFERROR(VLOOKUP(T_LEAVE[[#This Row],[LEAVE TYPE]],T_LEAVETYPE[#All],2,0),"")</f>
        <v>VL</v>
      </c>
    </row>
    <row r="691" spans="2:14" x14ac:dyDescent="0.25">
      <c r="B691" s="93">
        <v>44217</v>
      </c>
      <c r="C691" s="48" t="s">
        <v>202</v>
      </c>
      <c r="D691" s="48" t="s">
        <v>147</v>
      </c>
      <c r="E691" s="4" t="s">
        <v>88</v>
      </c>
      <c r="F691" s="49">
        <v>1</v>
      </c>
      <c r="G691" s="4" t="s">
        <v>199</v>
      </c>
      <c r="I691" s="4" t="s">
        <v>149</v>
      </c>
      <c r="J691" s="4" t="s">
        <v>97</v>
      </c>
      <c r="K691" s="4" t="str">
        <f>IFERROR(LEFT(T_LEAVE[[#This Row],[EMPLOYEE NAME]],LEN(T_LEAVE[[#This Row],[EMPLOYEE NAME]])-3),"")</f>
        <v>ACOSTA, JOSEPH VAUGHN</v>
      </c>
      <c r="L691" s="48">
        <f>IFERROR(DATEVALUE(TEXT(RIGHT(T_LEAVE[[#This Row],[LEAVE DATE]],LEN(T_LEAVE[[#This Row],[LEAVE DATE]])-6),"[$-en-US]d-mmm-yyyy;@")),"")</f>
        <v>44222</v>
      </c>
      <c r="M691" s="4" t="str">
        <f>IFERROR(TRIM(T_LEAVE[[#This Row],[TYPE]]),"")</f>
        <v>VACATION LEAVE</v>
      </c>
      <c r="N691" s="4" t="str">
        <f>IFERROR(VLOOKUP(T_LEAVE[[#This Row],[LEAVE TYPE]],T_LEAVETYPE[#All],2,0),"")</f>
        <v>VL</v>
      </c>
    </row>
    <row r="692" spans="2:14" x14ac:dyDescent="0.25">
      <c r="B692" s="93">
        <v>44219</v>
      </c>
      <c r="C692" s="48" t="s">
        <v>253</v>
      </c>
      <c r="D692" s="48" t="s">
        <v>240</v>
      </c>
      <c r="E692" s="4" t="s">
        <v>88</v>
      </c>
      <c r="F692" s="49">
        <v>1</v>
      </c>
      <c r="G692" s="4" t="s">
        <v>254</v>
      </c>
      <c r="I692" s="4" t="s">
        <v>149</v>
      </c>
      <c r="J692" s="4" t="s">
        <v>98</v>
      </c>
      <c r="K692" s="4" t="str">
        <f>IFERROR(LEFT(T_LEAVE[[#This Row],[EMPLOYEE NAME]],LEN(T_LEAVE[[#This Row],[EMPLOYEE NAME]])-3),"")</f>
        <v>AYAG, PRINCESS</v>
      </c>
      <c r="L692" s="48">
        <f>IFERROR(DATEVALUE(TEXT(RIGHT(T_LEAVE[[#This Row],[LEAVE DATE]],LEN(T_LEAVE[[#This Row],[LEAVE DATE]])-6),"[$-en-US]d-mmm-yyyy;@")),"")</f>
        <v>44227</v>
      </c>
      <c r="M692" s="4" t="str">
        <f>IFERROR(TRIM(T_LEAVE[[#This Row],[TYPE]]),"")</f>
        <v>VACATION LEAVE</v>
      </c>
      <c r="N692" s="69" t="str">
        <f>IFERROR(VLOOKUP(T_LEAVE[[#This Row],[LEAVE TYPE]],T_LEAVETYPE[#All],2,0),"")</f>
        <v>VL</v>
      </c>
    </row>
    <row r="693" spans="2:14" x14ac:dyDescent="0.25">
      <c r="B693" s="93">
        <v>44221</v>
      </c>
      <c r="C693" s="48" t="s">
        <v>1062</v>
      </c>
      <c r="D693" s="48" t="s">
        <v>1142</v>
      </c>
      <c r="E693" s="4" t="s">
        <v>88</v>
      </c>
      <c r="F693" s="49">
        <v>1</v>
      </c>
      <c r="G693" s="4" t="s">
        <v>1154</v>
      </c>
      <c r="I693" s="4" t="s">
        <v>149</v>
      </c>
      <c r="J693" s="4" t="s">
        <v>1155</v>
      </c>
      <c r="K693" s="4" t="str">
        <f>IFERROR(LEFT(T_LEAVE[[#This Row],[EMPLOYEE NAME]],LEN(T_LEAVE[[#This Row],[EMPLOYEE NAME]])-3),"")</f>
        <v>WENCESLAO, JOHN GLENN</v>
      </c>
      <c r="L693" s="48">
        <f>IFERROR(DATEVALUE(TEXT(RIGHT(T_LEAVE[[#This Row],[LEAVE DATE]],LEN(T_LEAVE[[#This Row],[LEAVE DATE]])-6),"[$-en-US]d-mmm-yyyy;@")),"")</f>
        <v>44234</v>
      </c>
      <c r="M693" s="4" t="str">
        <f>IFERROR(TRIM(T_LEAVE[[#This Row],[TYPE]]),"")</f>
        <v>VACATION LEAVE</v>
      </c>
      <c r="N693" s="69" t="str">
        <f>IFERROR(VLOOKUP(T_LEAVE[[#This Row],[LEAVE TYPE]],T_LEAVETYPE[#All],2,0),"")</f>
        <v>VL</v>
      </c>
    </row>
    <row r="694" spans="2:14" x14ac:dyDescent="0.25">
      <c r="B694" s="93">
        <v>44225</v>
      </c>
      <c r="C694" s="48" t="s">
        <v>1329</v>
      </c>
      <c r="D694" s="48" t="s">
        <v>256</v>
      </c>
      <c r="E694" s="4" t="s">
        <v>88</v>
      </c>
      <c r="F694" s="49">
        <v>1</v>
      </c>
      <c r="G694" s="4" t="s">
        <v>1365</v>
      </c>
      <c r="I694" s="4" t="s">
        <v>149</v>
      </c>
      <c r="J694" s="4" t="s">
        <v>1366</v>
      </c>
      <c r="K694" s="4" t="str">
        <f>IFERROR(LEFT(T_LEAVE[[#This Row],[EMPLOYEE NAME]],LEN(T_LEAVE[[#This Row],[EMPLOYEE NAME]])-3),"")</f>
        <v>BALICAS, IRISH ANN</v>
      </c>
      <c r="L694" s="48">
        <f>IFERROR(DATEVALUE(TEXT(RIGHT(T_LEAVE[[#This Row],[LEAVE DATE]],LEN(T_LEAVE[[#This Row],[LEAVE DATE]])-6),"[$-en-US]d-mmm-yyyy;@")),"")</f>
        <v>44257</v>
      </c>
      <c r="M694" s="4" t="str">
        <f>IFERROR(TRIM(T_LEAVE[[#This Row],[TYPE]]),"")</f>
        <v>VACATION LEAVE</v>
      </c>
      <c r="N694" s="69" t="str">
        <f>IFERROR(VLOOKUP(T_LEAVE[[#This Row],[LEAVE TYPE]],T_LEAVETYPE[#All],2,0),"")</f>
        <v>VL</v>
      </c>
    </row>
    <row r="695" spans="2:14" x14ac:dyDescent="0.25">
      <c r="B695" s="93">
        <v>44225</v>
      </c>
      <c r="C695" s="48" t="s">
        <v>1330</v>
      </c>
      <c r="D695" s="48" t="s">
        <v>256</v>
      </c>
      <c r="E695" s="4" t="s">
        <v>88</v>
      </c>
      <c r="F695" s="49">
        <v>1</v>
      </c>
      <c r="G695" s="4" t="s">
        <v>1365</v>
      </c>
      <c r="I695" s="4" t="s">
        <v>149</v>
      </c>
      <c r="J695" s="4" t="s">
        <v>1366</v>
      </c>
      <c r="K695" s="4" t="str">
        <f>IFERROR(LEFT(T_LEAVE[[#This Row],[EMPLOYEE NAME]],LEN(T_LEAVE[[#This Row],[EMPLOYEE NAME]])-3),"")</f>
        <v>BALICAS, IRISH ANN</v>
      </c>
      <c r="L695" s="48">
        <f>IFERROR(DATEVALUE(TEXT(RIGHT(T_LEAVE[[#This Row],[LEAVE DATE]],LEN(T_LEAVE[[#This Row],[LEAVE DATE]])-6),"[$-en-US]d-mmm-yyyy;@")),"")</f>
        <v>44258</v>
      </c>
      <c r="M695" s="4" t="str">
        <f>IFERROR(TRIM(T_LEAVE[[#This Row],[TYPE]]),"")</f>
        <v>VACATION LEAVE</v>
      </c>
      <c r="N695" s="69" t="str">
        <f>IFERROR(VLOOKUP(T_LEAVE[[#This Row],[LEAVE TYPE]],T_LEAVETYPE[#All],2,0),"")</f>
        <v>VL</v>
      </c>
    </row>
    <row r="696" spans="2:14" x14ac:dyDescent="0.25">
      <c r="B696" s="93">
        <v>44225</v>
      </c>
      <c r="C696" s="48" t="s">
        <v>459</v>
      </c>
      <c r="D696" s="48" t="s">
        <v>421</v>
      </c>
      <c r="E696" s="4" t="s">
        <v>88</v>
      </c>
      <c r="F696" s="49">
        <v>1</v>
      </c>
      <c r="G696" s="4" t="s">
        <v>460</v>
      </c>
      <c r="I696" s="4" t="s">
        <v>149</v>
      </c>
      <c r="J696" s="4" t="s">
        <v>461</v>
      </c>
      <c r="K696" s="4" t="str">
        <f>IFERROR(LEFT(T_LEAVE[[#This Row],[EMPLOYEE NAME]],LEN(T_LEAVE[[#This Row],[EMPLOYEE NAME]])-3),"")</f>
        <v>DE LEON, JEFFREY</v>
      </c>
      <c r="L696" s="48">
        <f>IFERROR(DATEVALUE(TEXT(RIGHT(T_LEAVE[[#This Row],[LEAVE DATE]],LEN(T_LEAVE[[#This Row],[LEAVE DATE]])-6),"[$-en-US]d-mmm-yyyy;@")),"")</f>
        <v>44233</v>
      </c>
      <c r="M696" s="4" t="str">
        <f>IFERROR(TRIM(T_LEAVE[[#This Row],[TYPE]]),"")</f>
        <v>VACATION LEAVE</v>
      </c>
      <c r="N696" s="69" t="str">
        <f>IFERROR(VLOOKUP(T_LEAVE[[#This Row],[LEAVE TYPE]],T_LEAVETYPE[#All],2,0),"")</f>
        <v>VL</v>
      </c>
    </row>
    <row r="697" spans="2:14" x14ac:dyDescent="0.25">
      <c r="B697" s="93">
        <v>44226</v>
      </c>
      <c r="C697" s="48" t="s">
        <v>654</v>
      </c>
      <c r="D697" s="48" t="s">
        <v>1142</v>
      </c>
      <c r="E697" s="4" t="s">
        <v>88</v>
      </c>
      <c r="F697" s="49">
        <v>1</v>
      </c>
      <c r="G697" s="4" t="s">
        <v>1354</v>
      </c>
      <c r="I697" s="4" t="s">
        <v>149</v>
      </c>
      <c r="J697" s="4" t="s">
        <v>1351</v>
      </c>
      <c r="K697" s="4" t="str">
        <f>IFERROR(LEFT(T_LEAVE[[#This Row],[EMPLOYEE NAME]],LEN(T_LEAVE[[#This Row],[EMPLOYEE NAME]])-3),"")</f>
        <v>WENCESLAO, JOHN GLENN</v>
      </c>
      <c r="L697" s="48">
        <f>IFERROR(DATEVALUE(TEXT(RIGHT(T_LEAVE[[#This Row],[LEAVE DATE]],LEN(T_LEAVE[[#This Row],[LEAVE DATE]])-6),"[$-en-US]d-mmm-yyyy;@")),"")</f>
        <v>44247</v>
      </c>
      <c r="M697" s="4" t="str">
        <f>IFERROR(TRIM(T_LEAVE[[#This Row],[TYPE]]),"")</f>
        <v>VACATION LEAVE</v>
      </c>
      <c r="N697" s="69" t="str">
        <f>IFERROR(VLOOKUP(T_LEAVE[[#This Row],[LEAVE TYPE]],T_LEAVETYPE[#All],2,0),"")</f>
        <v>VL</v>
      </c>
    </row>
    <row r="698" spans="2:14" x14ac:dyDescent="0.25">
      <c r="B698" s="93">
        <v>44230</v>
      </c>
      <c r="C698" s="48" t="s">
        <v>354</v>
      </c>
      <c r="D698" s="48" t="s">
        <v>1004</v>
      </c>
      <c r="E698" s="4" t="s">
        <v>89</v>
      </c>
      <c r="F698" s="49">
        <v>1</v>
      </c>
      <c r="G698" s="4" t="s">
        <v>1031</v>
      </c>
      <c r="I698" s="4" t="s">
        <v>149</v>
      </c>
      <c r="J698" s="4" t="s">
        <v>880</v>
      </c>
      <c r="K698" s="4" t="str">
        <f>IFERROR(LEFT(T_LEAVE[[#This Row],[EMPLOYEE NAME]],LEN(T_LEAVE[[#This Row],[EMPLOYEE NAME]])-3),"")</f>
        <v>VALENCIA, WINDSOR ROBERT</v>
      </c>
      <c r="L698" s="48">
        <f>IFERROR(DATEVALUE(TEXT(RIGHT(T_LEAVE[[#This Row],[LEAVE DATE]],LEN(T_LEAVE[[#This Row],[LEAVE DATE]])-6),"[$-en-US]d-mmm-yyyy;@")),"")</f>
        <v>44226</v>
      </c>
      <c r="M698" s="4" t="str">
        <f>IFERROR(TRIM(T_LEAVE[[#This Row],[TYPE]]),"")</f>
        <v>SICK LEAVE</v>
      </c>
      <c r="N698" s="69" t="str">
        <f>IFERROR(VLOOKUP(T_LEAVE[[#This Row],[LEAVE TYPE]],T_LEAVETYPE[#All],2,0),"")</f>
        <v>SL</v>
      </c>
    </row>
    <row r="699" spans="2:14" x14ac:dyDescent="0.25">
      <c r="B699" s="93">
        <v>44234</v>
      </c>
      <c r="C699" s="48" t="s">
        <v>1062</v>
      </c>
      <c r="D699" s="48" t="s">
        <v>1033</v>
      </c>
      <c r="E699" s="4" t="s">
        <v>89</v>
      </c>
      <c r="F699" s="49">
        <v>1</v>
      </c>
      <c r="G699" s="4" t="s">
        <v>1063</v>
      </c>
      <c r="I699" s="4" t="s">
        <v>149</v>
      </c>
      <c r="J699" s="4" t="s">
        <v>825</v>
      </c>
      <c r="K699" s="4" t="str">
        <f>IFERROR(LEFT(T_LEAVE[[#This Row],[EMPLOYEE NAME]],LEN(T_LEAVE[[#This Row],[EMPLOYEE NAME]])-3),"")</f>
        <v>VALLADARES, ALLEN</v>
      </c>
      <c r="L699" s="48">
        <f>IFERROR(DATEVALUE(TEXT(RIGHT(T_LEAVE[[#This Row],[LEAVE DATE]],LEN(T_LEAVE[[#This Row],[LEAVE DATE]])-6),"[$-en-US]d-mmm-yyyy;@")),"")</f>
        <v>44234</v>
      </c>
      <c r="M699" s="4" t="str">
        <f>IFERROR(TRIM(T_LEAVE[[#This Row],[TYPE]]),"")</f>
        <v>SICK LEAVE</v>
      </c>
      <c r="N699" s="69" t="str">
        <f>IFERROR(VLOOKUP(T_LEAVE[[#This Row],[LEAVE TYPE]],T_LEAVETYPE[#All],2,0),"")</f>
        <v>SL</v>
      </c>
    </row>
    <row r="700" spans="2:14" x14ac:dyDescent="0.25">
      <c r="B700" s="93">
        <v>44236</v>
      </c>
      <c r="C700" s="48" t="s">
        <v>203</v>
      </c>
      <c r="D700" s="48" t="s">
        <v>204</v>
      </c>
      <c r="E700" s="4" t="s">
        <v>89</v>
      </c>
      <c r="F700" s="49">
        <v>1</v>
      </c>
      <c r="G700" s="4" t="s">
        <v>205</v>
      </c>
      <c r="I700" s="4" t="s">
        <v>149</v>
      </c>
      <c r="J700" s="4" t="s">
        <v>206</v>
      </c>
      <c r="K700" s="4" t="str">
        <f>IFERROR(LEFT(T_LEAVE[[#This Row],[EMPLOYEE NAME]],LEN(T_LEAVE[[#This Row],[EMPLOYEE NAME]])-3),"")</f>
        <v>APOLINARIO, JACQUELINE</v>
      </c>
      <c r="L700" s="48">
        <f>IFERROR(DATEVALUE(TEXT(RIGHT(T_LEAVE[[#This Row],[LEAVE DATE]],LEN(T_LEAVE[[#This Row],[LEAVE DATE]])-6),"[$-en-US]d-mmm-yyyy;@")),"")</f>
        <v>44236</v>
      </c>
      <c r="M700" s="4" t="str">
        <f>IFERROR(TRIM(T_LEAVE[[#This Row],[TYPE]]),"")</f>
        <v>SICK LEAVE</v>
      </c>
      <c r="N700" s="4" t="str">
        <f>IFERROR(VLOOKUP(T_LEAVE[[#This Row],[LEAVE TYPE]],T_LEAVETYPE[#All],2,0),"")</f>
        <v>SL</v>
      </c>
    </row>
    <row r="701" spans="2:14" x14ac:dyDescent="0.25">
      <c r="B701" s="93">
        <v>44237</v>
      </c>
      <c r="C701" s="48" t="s">
        <v>203</v>
      </c>
      <c r="D701" s="48" t="s">
        <v>256</v>
      </c>
      <c r="E701" s="4" t="s">
        <v>89</v>
      </c>
      <c r="F701" s="49">
        <v>1</v>
      </c>
      <c r="G701" s="4" t="s">
        <v>674</v>
      </c>
      <c r="I701" s="4" t="s">
        <v>149</v>
      </c>
      <c r="J701" s="4" t="s">
        <v>1314</v>
      </c>
      <c r="K701" s="4" t="str">
        <f>IFERROR(LEFT(T_LEAVE[[#This Row],[EMPLOYEE NAME]],LEN(T_LEAVE[[#This Row],[EMPLOYEE NAME]])-3),"")</f>
        <v>BALICAS, IRISH ANN</v>
      </c>
      <c r="L701" s="48">
        <f>IFERROR(DATEVALUE(TEXT(RIGHT(T_LEAVE[[#This Row],[LEAVE DATE]],LEN(T_LEAVE[[#This Row],[LEAVE DATE]])-6),"[$-en-US]d-mmm-yyyy;@")),"")</f>
        <v>44236</v>
      </c>
      <c r="M701" s="4" t="str">
        <f>IFERROR(TRIM(T_LEAVE[[#This Row],[TYPE]]),"")</f>
        <v>SICK LEAVE</v>
      </c>
      <c r="N701" s="69" t="str">
        <f>IFERROR(VLOOKUP(T_LEAVE[[#This Row],[LEAVE TYPE]],T_LEAVETYPE[#All],2,0),"")</f>
        <v>SL</v>
      </c>
    </row>
    <row r="702" spans="2:14" x14ac:dyDescent="0.25">
      <c r="B702" s="93">
        <v>44237</v>
      </c>
      <c r="C702" s="48" t="s">
        <v>457</v>
      </c>
      <c r="D702" s="48" t="s">
        <v>421</v>
      </c>
      <c r="E702" s="4" t="s">
        <v>88</v>
      </c>
      <c r="F702" s="49">
        <v>1</v>
      </c>
      <c r="G702" s="4" t="s">
        <v>458</v>
      </c>
      <c r="I702" s="4" t="s">
        <v>149</v>
      </c>
      <c r="J702" s="4" t="s">
        <v>206</v>
      </c>
      <c r="K702" s="4" t="str">
        <f>IFERROR(LEFT(T_LEAVE[[#This Row],[EMPLOYEE NAME]],LEN(T_LEAVE[[#This Row],[EMPLOYEE NAME]])-3),"")</f>
        <v>DE LEON, JEFFREY</v>
      </c>
      <c r="L702" s="48">
        <f>IFERROR(DATEVALUE(TEXT(RIGHT(T_LEAVE[[#This Row],[LEAVE DATE]],LEN(T_LEAVE[[#This Row],[LEAVE DATE]])-6),"[$-en-US]d-mmm-yyyy;@")),"")</f>
        <v>44229</v>
      </c>
      <c r="M702" s="4" t="str">
        <f>IFERROR(TRIM(T_LEAVE[[#This Row],[TYPE]]),"")</f>
        <v>VACATION LEAVE</v>
      </c>
      <c r="N702" s="69" t="str">
        <f>IFERROR(VLOOKUP(T_LEAVE[[#This Row],[LEAVE TYPE]],T_LEAVETYPE[#All],2,0),"")</f>
        <v>VL</v>
      </c>
    </row>
    <row r="703" spans="2:14" x14ac:dyDescent="0.25">
      <c r="B703" s="93">
        <v>44237</v>
      </c>
      <c r="C703" s="48" t="s">
        <v>556</v>
      </c>
      <c r="D703" s="48" t="s">
        <v>541</v>
      </c>
      <c r="E703" s="4" t="s">
        <v>89</v>
      </c>
      <c r="F703" s="49">
        <v>1</v>
      </c>
      <c r="G703" s="4" t="s">
        <v>557</v>
      </c>
      <c r="I703" s="4" t="s">
        <v>149</v>
      </c>
      <c r="J703" s="4" t="s">
        <v>206</v>
      </c>
      <c r="K703" s="4" t="str">
        <f>IFERROR(LEFT(T_LEAVE[[#This Row],[EMPLOYEE NAME]],LEN(T_LEAVE[[#This Row],[EMPLOYEE NAME]])-3),"")</f>
        <v>GARCINES, SHENALD</v>
      </c>
      <c r="L703" s="48">
        <f>IFERROR(DATEVALUE(TEXT(RIGHT(T_LEAVE[[#This Row],[LEAVE DATE]],LEN(T_LEAVE[[#This Row],[LEAVE DATE]])-6),"[$-en-US]d-mmm-yyyy;@")),"")</f>
        <v>44232</v>
      </c>
      <c r="M703" s="4" t="str">
        <f>IFERROR(TRIM(T_LEAVE[[#This Row],[TYPE]]),"")</f>
        <v>SICK LEAVE</v>
      </c>
      <c r="N703" s="69" t="str">
        <f>IFERROR(VLOOKUP(T_LEAVE[[#This Row],[LEAVE TYPE]],T_LEAVETYPE[#All],2,0),"")</f>
        <v>SL</v>
      </c>
    </row>
    <row r="704" spans="2:14" x14ac:dyDescent="0.25">
      <c r="B704" s="93">
        <v>44237</v>
      </c>
      <c r="C704" s="48" t="s">
        <v>459</v>
      </c>
      <c r="D704" s="48" t="s">
        <v>541</v>
      </c>
      <c r="E704" s="4" t="s">
        <v>89</v>
      </c>
      <c r="F704" s="49">
        <v>1</v>
      </c>
      <c r="G704" s="4" t="s">
        <v>557</v>
      </c>
      <c r="I704" s="4" t="s">
        <v>149</v>
      </c>
      <c r="J704" s="4" t="s">
        <v>206</v>
      </c>
      <c r="K704" s="4" t="str">
        <f>IFERROR(LEFT(T_LEAVE[[#This Row],[EMPLOYEE NAME]],LEN(T_LEAVE[[#This Row],[EMPLOYEE NAME]])-3),"")</f>
        <v>GARCINES, SHENALD</v>
      </c>
      <c r="L704" s="48">
        <f>IFERROR(DATEVALUE(TEXT(RIGHT(T_LEAVE[[#This Row],[LEAVE DATE]],LEN(T_LEAVE[[#This Row],[LEAVE DATE]])-6),"[$-en-US]d-mmm-yyyy;@")),"")</f>
        <v>44233</v>
      </c>
      <c r="M704" s="4" t="str">
        <f>IFERROR(TRIM(T_LEAVE[[#This Row],[TYPE]]),"")</f>
        <v>SICK LEAVE</v>
      </c>
      <c r="N704" s="69" t="str">
        <f>IFERROR(VLOOKUP(T_LEAVE[[#This Row],[LEAVE TYPE]],T_LEAVETYPE[#All],2,0),"")</f>
        <v>SL</v>
      </c>
    </row>
    <row r="705" spans="2:14" x14ac:dyDescent="0.25">
      <c r="B705" s="93">
        <v>44237</v>
      </c>
      <c r="C705" s="48" t="s">
        <v>750</v>
      </c>
      <c r="D705" s="48" t="s">
        <v>811</v>
      </c>
      <c r="E705" s="4" t="s">
        <v>89</v>
      </c>
      <c r="F705" s="49">
        <v>1</v>
      </c>
      <c r="G705" s="4" t="s">
        <v>824</v>
      </c>
      <c r="I705" s="4" t="s">
        <v>149</v>
      </c>
      <c r="J705" s="4" t="s">
        <v>825</v>
      </c>
      <c r="K705" s="4" t="str">
        <f>IFERROR(LEFT(T_LEAVE[[#This Row],[EMPLOYEE NAME]],LEN(T_LEAVE[[#This Row],[EMPLOYEE NAME]])-3),"")</f>
        <v>MAGNO, ALVIN</v>
      </c>
      <c r="L705" s="48">
        <f>IFERROR(DATEVALUE(TEXT(RIGHT(T_LEAVE[[#This Row],[LEAVE DATE]],LEN(T_LEAVE[[#This Row],[LEAVE DATE]])-6),"[$-en-US]d-mmm-yyyy;@")),"")</f>
        <v>44231</v>
      </c>
      <c r="M705" s="4" t="str">
        <f>IFERROR(TRIM(T_LEAVE[[#This Row],[TYPE]]),"")</f>
        <v>SICK LEAVE</v>
      </c>
      <c r="N705" s="69" t="str">
        <f>IFERROR(VLOOKUP(T_LEAVE[[#This Row],[LEAVE TYPE]],T_LEAVETYPE[#All],2,0),"")</f>
        <v>SL</v>
      </c>
    </row>
    <row r="706" spans="2:14" x14ac:dyDescent="0.25">
      <c r="B706" s="93">
        <v>44238</v>
      </c>
      <c r="C706" s="48" t="s">
        <v>648</v>
      </c>
      <c r="D706" s="48" t="s">
        <v>204</v>
      </c>
      <c r="E706" s="4" t="s">
        <v>89</v>
      </c>
      <c r="F706" s="49">
        <v>1</v>
      </c>
      <c r="G706" s="4" t="s">
        <v>547</v>
      </c>
      <c r="I706" s="4" t="s">
        <v>149</v>
      </c>
      <c r="J706" s="4" t="s">
        <v>1313</v>
      </c>
      <c r="K706" s="4" t="str">
        <f>IFERROR(LEFT(T_LEAVE[[#This Row],[EMPLOYEE NAME]],LEN(T_LEAVE[[#This Row],[EMPLOYEE NAME]])-3),"")</f>
        <v>APOLINARIO, JACQUELINE</v>
      </c>
      <c r="L706" s="48">
        <f>IFERROR(DATEVALUE(TEXT(RIGHT(T_LEAVE[[#This Row],[LEAVE DATE]],LEN(T_LEAVE[[#This Row],[LEAVE DATE]])-6),"[$-en-US]d-mmm-yyyy;@")),"")</f>
        <v>44237</v>
      </c>
      <c r="M706" s="4" t="str">
        <f>IFERROR(TRIM(T_LEAVE[[#This Row],[TYPE]]),"")</f>
        <v>SICK LEAVE</v>
      </c>
      <c r="N706" s="4" t="str">
        <f>IFERROR(VLOOKUP(T_LEAVE[[#This Row],[LEAVE TYPE]],T_LEAVETYPE[#All],2,0),"")</f>
        <v>SL</v>
      </c>
    </row>
    <row r="707" spans="2:14" x14ac:dyDescent="0.25">
      <c r="B707" s="93">
        <v>44239</v>
      </c>
      <c r="C707" s="48" t="s">
        <v>649</v>
      </c>
      <c r="D707" s="48" t="s">
        <v>330</v>
      </c>
      <c r="E707" s="4" t="s">
        <v>89</v>
      </c>
      <c r="F707" s="49">
        <v>1</v>
      </c>
      <c r="G707" s="4" t="s">
        <v>1315</v>
      </c>
      <c r="I707" s="4" t="s">
        <v>149</v>
      </c>
      <c r="J707" s="4" t="s">
        <v>1316</v>
      </c>
      <c r="K707" s="4" t="str">
        <f>IFERROR(LEFT(T_LEAVE[[#This Row],[EMPLOYEE NAME]],LEN(T_LEAVE[[#This Row],[EMPLOYEE NAME]])-3),"")</f>
        <v>BELMONTE, JOSE MARI</v>
      </c>
      <c r="L707" s="48">
        <f>IFERROR(DATEVALUE(TEXT(RIGHT(T_LEAVE[[#This Row],[LEAVE DATE]],LEN(T_LEAVE[[#This Row],[LEAVE DATE]])-6),"[$-en-US]d-mmm-yyyy;@")),"")</f>
        <v>44238</v>
      </c>
      <c r="M707" s="4" t="str">
        <f>IFERROR(TRIM(T_LEAVE[[#This Row],[TYPE]]),"")</f>
        <v>SICK LEAVE</v>
      </c>
      <c r="N707" s="69" t="str">
        <f>IFERROR(VLOOKUP(T_LEAVE[[#This Row],[LEAVE TYPE]],T_LEAVETYPE[#All],2,0),"")</f>
        <v>SL</v>
      </c>
    </row>
    <row r="708" spans="2:14" x14ac:dyDescent="0.25">
      <c r="B708" s="93">
        <v>44239</v>
      </c>
      <c r="C708" s="48" t="s">
        <v>752</v>
      </c>
      <c r="D708" s="48" t="s">
        <v>365</v>
      </c>
      <c r="E708" s="4" t="s">
        <v>88</v>
      </c>
      <c r="F708" s="49">
        <v>1</v>
      </c>
      <c r="G708" s="4" t="s">
        <v>1320</v>
      </c>
      <c r="I708" s="4" t="s">
        <v>149</v>
      </c>
      <c r="J708" s="4" t="s">
        <v>1321</v>
      </c>
      <c r="K708" s="4" t="str">
        <f>IFERROR(LEFT(T_LEAVE[[#This Row],[EMPLOYEE NAME]],LEN(T_LEAVE[[#This Row],[EMPLOYEE NAME]])-3),"")</f>
        <v>CASAS JR., BERNARDO</v>
      </c>
      <c r="L708" s="48">
        <f>IFERROR(DATEVALUE(TEXT(RIGHT(T_LEAVE[[#This Row],[LEAVE DATE]],LEN(T_LEAVE[[#This Row],[LEAVE DATE]])-6),"[$-en-US]d-mmm-yyyy;@")),"")</f>
        <v>44242</v>
      </c>
      <c r="M708" s="4" t="str">
        <f>IFERROR(TRIM(T_LEAVE[[#This Row],[TYPE]]),"")</f>
        <v>VACATION LEAVE</v>
      </c>
      <c r="N708" s="69" t="str">
        <f>IFERROR(VLOOKUP(T_LEAVE[[#This Row],[LEAVE TYPE]],T_LEAVETYPE[#All],2,0),"")</f>
        <v>VL</v>
      </c>
    </row>
    <row r="709" spans="2:14" x14ac:dyDescent="0.25">
      <c r="B709" s="93">
        <v>44239</v>
      </c>
      <c r="C709" s="48" t="s">
        <v>1322</v>
      </c>
      <c r="D709" s="48" t="s">
        <v>365</v>
      </c>
      <c r="E709" s="4" t="s">
        <v>940</v>
      </c>
      <c r="F709" s="49">
        <v>1</v>
      </c>
      <c r="G709" s="4" t="s">
        <v>1323</v>
      </c>
      <c r="I709" s="4" t="s">
        <v>149</v>
      </c>
      <c r="J709" s="4" t="s">
        <v>1324</v>
      </c>
      <c r="K709" s="4" t="str">
        <f>IFERROR(LEFT(T_LEAVE[[#This Row],[EMPLOYEE NAME]],LEN(T_LEAVE[[#This Row],[EMPLOYEE NAME]])-3),"")</f>
        <v>CASAS JR., BERNARDO</v>
      </c>
      <c r="L709" s="48">
        <f>IFERROR(DATEVALUE(TEXT(RIGHT(T_LEAVE[[#This Row],[LEAVE DATE]],LEN(T_LEAVE[[#This Row],[LEAVE DATE]])-6),"[$-en-US]d-mmm-yyyy;@")),"")</f>
        <v>44256</v>
      </c>
      <c r="M709" s="4" t="str">
        <f>IFERROR(TRIM(T_LEAVE[[#This Row],[TYPE]]),"")</f>
        <v>BIRTHDAY LEAVE</v>
      </c>
      <c r="N709" s="69" t="str">
        <f>IFERROR(VLOOKUP(T_LEAVE[[#This Row],[LEAVE TYPE]],T_LEAVETYPE[#All],2,0),"")</f>
        <v/>
      </c>
    </row>
    <row r="710" spans="2:14" x14ac:dyDescent="0.25">
      <c r="B710" s="93">
        <v>44239</v>
      </c>
      <c r="C710" s="48" t="s">
        <v>654</v>
      </c>
      <c r="D710" s="48" t="s">
        <v>1004</v>
      </c>
      <c r="E710" s="4" t="s">
        <v>88</v>
      </c>
      <c r="F710" s="49">
        <v>1</v>
      </c>
      <c r="G710" s="4" t="s">
        <v>1350</v>
      </c>
      <c r="I710" s="4" t="s">
        <v>149</v>
      </c>
      <c r="J710" s="4" t="s">
        <v>1351</v>
      </c>
      <c r="K710" s="4" t="str">
        <f>IFERROR(LEFT(T_LEAVE[[#This Row],[EMPLOYEE NAME]],LEN(T_LEAVE[[#This Row],[EMPLOYEE NAME]])-3),"")</f>
        <v>VALENCIA, WINDSOR ROBERT</v>
      </c>
      <c r="L710" s="48">
        <f>IFERROR(DATEVALUE(TEXT(RIGHT(T_LEAVE[[#This Row],[LEAVE DATE]],LEN(T_LEAVE[[#This Row],[LEAVE DATE]])-6),"[$-en-US]d-mmm-yyyy;@")),"")</f>
        <v>44247</v>
      </c>
      <c r="M710" s="4" t="str">
        <f>IFERROR(TRIM(T_LEAVE[[#This Row],[TYPE]]),"")</f>
        <v>VACATION LEAVE</v>
      </c>
      <c r="N710" s="69" t="str">
        <f>IFERROR(VLOOKUP(T_LEAVE[[#This Row],[LEAVE TYPE]],T_LEAVETYPE[#All],2,0),"")</f>
        <v>VL</v>
      </c>
    </row>
    <row r="711" spans="2:14" x14ac:dyDescent="0.25">
      <c r="B711" s="93">
        <v>44240</v>
      </c>
      <c r="C711" s="48" t="s">
        <v>650</v>
      </c>
      <c r="D711" s="48" t="s">
        <v>330</v>
      </c>
      <c r="E711" s="4" t="s">
        <v>89</v>
      </c>
      <c r="F711" s="49">
        <v>1</v>
      </c>
      <c r="G711" s="4" t="s">
        <v>1317</v>
      </c>
      <c r="I711" s="4" t="s">
        <v>149</v>
      </c>
      <c r="J711" s="4" t="s">
        <v>1316</v>
      </c>
      <c r="K711" s="4" t="str">
        <f>IFERROR(LEFT(T_LEAVE[[#This Row],[EMPLOYEE NAME]],LEN(T_LEAVE[[#This Row],[EMPLOYEE NAME]])-3),"")</f>
        <v>BELMONTE, JOSE MARI</v>
      </c>
      <c r="L711" s="48">
        <f>IFERROR(DATEVALUE(TEXT(RIGHT(T_LEAVE[[#This Row],[LEAVE DATE]],LEN(T_LEAVE[[#This Row],[LEAVE DATE]])-6),"[$-en-US]d-mmm-yyyy;@")),"")</f>
        <v>44240</v>
      </c>
      <c r="M711" s="4" t="str">
        <f>IFERROR(TRIM(T_LEAVE[[#This Row],[TYPE]]),"")</f>
        <v>SICK LEAVE</v>
      </c>
      <c r="N711" s="69" t="str">
        <f>IFERROR(VLOOKUP(T_LEAVE[[#This Row],[LEAVE TYPE]],T_LEAVETYPE[#All],2,0),"")</f>
        <v>SL</v>
      </c>
    </row>
    <row r="712" spans="2:14" x14ac:dyDescent="0.25">
      <c r="B712" s="93">
        <v>44240</v>
      </c>
      <c r="C712" s="48" t="s">
        <v>649</v>
      </c>
      <c r="D712" s="48" t="s">
        <v>827</v>
      </c>
      <c r="E712" s="4" t="s">
        <v>89</v>
      </c>
      <c r="F712" s="49">
        <v>1</v>
      </c>
      <c r="G712" s="4" t="s">
        <v>1344</v>
      </c>
      <c r="I712" s="4" t="s">
        <v>149</v>
      </c>
      <c r="J712" s="4" t="s">
        <v>1345</v>
      </c>
      <c r="K712" s="4" t="str">
        <f>IFERROR(LEFT(T_LEAVE[[#This Row],[EMPLOYEE NAME]],LEN(T_LEAVE[[#This Row],[EMPLOYEE NAME]])-3),"")</f>
        <v>MANGOBA, MICHAEL</v>
      </c>
      <c r="L712" s="48">
        <f>IFERROR(DATEVALUE(TEXT(RIGHT(T_LEAVE[[#This Row],[LEAVE DATE]],LEN(T_LEAVE[[#This Row],[LEAVE DATE]])-6),"[$-en-US]d-mmm-yyyy;@")),"")</f>
        <v>44238</v>
      </c>
      <c r="M712" s="4" t="str">
        <f>IFERROR(TRIM(T_LEAVE[[#This Row],[TYPE]]),"")</f>
        <v>SICK LEAVE</v>
      </c>
      <c r="N712" s="69" t="str">
        <f>IFERROR(VLOOKUP(T_LEAVE[[#This Row],[LEAVE TYPE]],T_LEAVETYPE[#All],2,0),"")</f>
        <v>SL</v>
      </c>
    </row>
    <row r="713" spans="2:14" x14ac:dyDescent="0.25">
      <c r="B713" s="93">
        <v>44244</v>
      </c>
      <c r="C713" s="48" t="s">
        <v>651</v>
      </c>
      <c r="D713" s="48" t="s">
        <v>330</v>
      </c>
      <c r="E713" s="4" t="s">
        <v>89</v>
      </c>
      <c r="F713" s="49">
        <v>1</v>
      </c>
      <c r="G713" s="4" t="s">
        <v>1318</v>
      </c>
      <c r="I713" s="4" t="s">
        <v>149</v>
      </c>
      <c r="J713" s="4" t="s">
        <v>1316</v>
      </c>
      <c r="K713" s="4" t="str">
        <f>IFERROR(LEFT(T_LEAVE[[#This Row],[EMPLOYEE NAME]],LEN(T_LEAVE[[#This Row],[EMPLOYEE NAME]])-3),"")</f>
        <v>BELMONTE, JOSE MARI</v>
      </c>
      <c r="L713" s="48">
        <f>IFERROR(DATEVALUE(TEXT(RIGHT(T_LEAVE[[#This Row],[LEAVE DATE]],LEN(T_LEAVE[[#This Row],[LEAVE DATE]])-6),"[$-en-US]d-mmm-yyyy;@")),"")</f>
        <v>44244</v>
      </c>
      <c r="M713" s="4" t="str">
        <f>IFERROR(TRIM(T_LEAVE[[#This Row],[TYPE]]),"")</f>
        <v>SICK LEAVE</v>
      </c>
      <c r="N713" s="69" t="str">
        <f>IFERROR(VLOOKUP(T_LEAVE[[#This Row],[LEAVE TYPE]],T_LEAVETYPE[#All],2,0),"")</f>
        <v>SL</v>
      </c>
    </row>
    <row r="714" spans="2:14" x14ac:dyDescent="0.25">
      <c r="B714" s="93">
        <v>44245</v>
      </c>
      <c r="C714" s="48" t="s">
        <v>652</v>
      </c>
      <c r="D714" s="48" t="s">
        <v>330</v>
      </c>
      <c r="E714" s="4" t="s">
        <v>88</v>
      </c>
      <c r="F714" s="49">
        <v>1</v>
      </c>
      <c r="G714" s="4" t="s">
        <v>1319</v>
      </c>
      <c r="I714" s="4" t="s">
        <v>149</v>
      </c>
      <c r="J714" s="4" t="s">
        <v>1316</v>
      </c>
      <c r="K714" s="4" t="str">
        <f>IFERROR(LEFT(T_LEAVE[[#This Row],[EMPLOYEE NAME]],LEN(T_LEAVE[[#This Row],[EMPLOYEE NAME]])-3),"")</f>
        <v>BELMONTE, JOSE MARI</v>
      </c>
      <c r="L714" s="48">
        <f>IFERROR(DATEVALUE(TEXT(RIGHT(T_LEAVE[[#This Row],[LEAVE DATE]],LEN(T_LEAVE[[#This Row],[LEAVE DATE]])-6),"[$-en-US]d-mmm-yyyy;@")),"")</f>
        <v>44245</v>
      </c>
      <c r="M714" s="4" t="str">
        <f>IFERROR(TRIM(T_LEAVE[[#This Row],[TYPE]]),"")</f>
        <v>VACATION LEAVE</v>
      </c>
      <c r="N714" s="69" t="str">
        <f>IFERROR(VLOOKUP(T_LEAVE[[#This Row],[LEAVE TYPE]],T_LEAVETYPE[#All],2,0),"")</f>
        <v>VL</v>
      </c>
    </row>
    <row r="715" spans="2:14" x14ac:dyDescent="0.25">
      <c r="B715" s="93">
        <v>44246</v>
      </c>
      <c r="C715" s="48" t="s">
        <v>203</v>
      </c>
      <c r="D715" s="48" t="s">
        <v>971</v>
      </c>
      <c r="E715" s="4" t="s">
        <v>88</v>
      </c>
      <c r="F715" s="49">
        <v>1</v>
      </c>
      <c r="G715" s="4" t="s">
        <v>1348</v>
      </c>
      <c r="I715" s="4" t="s">
        <v>149</v>
      </c>
      <c r="J715" s="4" t="s">
        <v>1349</v>
      </c>
      <c r="K715" s="4" t="str">
        <f>IFERROR(LEFT(T_LEAVE[[#This Row],[EMPLOYEE NAME]],LEN(T_LEAVE[[#This Row],[EMPLOYEE NAME]])-3),"")</f>
        <v>TABIA, JENNIFER</v>
      </c>
      <c r="L715" s="48">
        <f>IFERROR(DATEVALUE(TEXT(RIGHT(T_LEAVE[[#This Row],[LEAVE DATE]],LEN(T_LEAVE[[#This Row],[LEAVE DATE]])-6),"[$-en-US]d-mmm-yyyy;@")),"")</f>
        <v>44236</v>
      </c>
      <c r="M715" s="4" t="str">
        <f>IFERROR(TRIM(T_LEAVE[[#This Row],[TYPE]]),"")</f>
        <v>VACATION LEAVE</v>
      </c>
      <c r="N715" s="69" t="str">
        <f>IFERROR(VLOOKUP(T_LEAVE[[#This Row],[LEAVE TYPE]],T_LEAVETYPE[#All],2,0),"")</f>
        <v>VL</v>
      </c>
    </row>
    <row r="716" spans="2:14" x14ac:dyDescent="0.25">
      <c r="B716" s="93">
        <v>44248</v>
      </c>
      <c r="C716" s="48" t="s">
        <v>648</v>
      </c>
      <c r="D716" s="48" t="s">
        <v>1352</v>
      </c>
      <c r="E716" s="4" t="s">
        <v>89</v>
      </c>
      <c r="F716" s="49">
        <v>1</v>
      </c>
      <c r="G716" s="4" t="s">
        <v>547</v>
      </c>
      <c r="I716" s="4" t="s">
        <v>149</v>
      </c>
      <c r="J716" s="4" t="s">
        <v>1353</v>
      </c>
      <c r="K716" s="4" t="str">
        <f>IFERROR(LEFT(T_LEAVE[[#This Row],[EMPLOYEE NAME]],LEN(T_LEAVE[[#This Row],[EMPLOYEE NAME]])-3),"")</f>
        <v>VILLANUEVA, EUGENIO</v>
      </c>
      <c r="L716" s="48">
        <f>IFERROR(DATEVALUE(TEXT(RIGHT(T_LEAVE[[#This Row],[LEAVE DATE]],LEN(T_LEAVE[[#This Row],[LEAVE DATE]])-6),"[$-en-US]d-mmm-yyyy;@")),"")</f>
        <v>44237</v>
      </c>
      <c r="M716" s="4" t="str">
        <f>IFERROR(TRIM(T_LEAVE[[#This Row],[TYPE]]),"")</f>
        <v>SICK LEAVE</v>
      </c>
      <c r="N716" s="69" t="str">
        <f>IFERROR(VLOOKUP(T_LEAVE[[#This Row],[LEAVE TYPE]],T_LEAVETYPE[#All],2,0),"")</f>
        <v>SL</v>
      </c>
    </row>
    <row r="717" spans="2:14" x14ac:dyDescent="0.25">
      <c r="B717" s="93">
        <v>44248</v>
      </c>
      <c r="C717" s="48" t="s">
        <v>653</v>
      </c>
      <c r="D717" s="48" t="s">
        <v>1352</v>
      </c>
      <c r="E717" s="4" t="s">
        <v>89</v>
      </c>
      <c r="F717" s="49">
        <v>1</v>
      </c>
      <c r="G717" s="4" t="s">
        <v>547</v>
      </c>
      <c r="I717" s="4" t="s">
        <v>149</v>
      </c>
      <c r="J717" s="4" t="s">
        <v>1353</v>
      </c>
      <c r="K717" s="4" t="str">
        <f>IFERROR(LEFT(T_LEAVE[[#This Row],[EMPLOYEE NAME]],LEN(T_LEAVE[[#This Row],[EMPLOYEE NAME]])-3),"")</f>
        <v>VILLANUEVA, EUGENIO</v>
      </c>
      <c r="L717" s="48">
        <f>IFERROR(DATEVALUE(TEXT(RIGHT(T_LEAVE[[#This Row],[LEAVE DATE]],LEN(T_LEAVE[[#This Row],[LEAVE DATE]])-6),"[$-en-US]d-mmm-yyyy;@")),"")</f>
        <v>44246</v>
      </c>
      <c r="M717" s="4" t="str">
        <f>IFERROR(TRIM(T_LEAVE[[#This Row],[TYPE]]),"")</f>
        <v>SICK LEAVE</v>
      </c>
      <c r="N717" s="69" t="str">
        <f>IFERROR(VLOOKUP(T_LEAVE[[#This Row],[LEAVE TYPE]],T_LEAVETYPE[#All],2,0),"")</f>
        <v>SL</v>
      </c>
    </row>
    <row r="718" spans="2:14" x14ac:dyDescent="0.25">
      <c r="B718" s="93">
        <v>44249</v>
      </c>
      <c r="C718" s="48" t="s">
        <v>653</v>
      </c>
      <c r="D718" s="48" t="s">
        <v>847</v>
      </c>
      <c r="E718" s="4" t="s">
        <v>89</v>
      </c>
      <c r="F718" s="49">
        <v>1</v>
      </c>
      <c r="G718" s="4" t="s">
        <v>1346</v>
      </c>
      <c r="I718" s="4" t="s">
        <v>149</v>
      </c>
      <c r="J718" s="4" t="s">
        <v>1347</v>
      </c>
      <c r="K718" s="4" t="str">
        <f>IFERROR(LEFT(T_LEAVE[[#This Row],[EMPLOYEE NAME]],LEN(T_LEAVE[[#This Row],[EMPLOYEE NAME]])-3),"")</f>
        <v>MATIGNAS, JAYDEE</v>
      </c>
      <c r="L718" s="48">
        <f>IFERROR(DATEVALUE(TEXT(RIGHT(T_LEAVE[[#This Row],[LEAVE DATE]],LEN(T_LEAVE[[#This Row],[LEAVE DATE]])-6),"[$-en-US]d-mmm-yyyy;@")),"")</f>
        <v>44246</v>
      </c>
      <c r="M718" s="4" t="str">
        <f>IFERROR(TRIM(T_LEAVE[[#This Row],[TYPE]]),"")</f>
        <v>SICK LEAVE</v>
      </c>
      <c r="N718" s="69" t="str">
        <f>IFERROR(VLOOKUP(T_LEAVE[[#This Row],[LEAVE TYPE]],T_LEAVETYPE[#All],2,0),"")</f>
        <v>SL</v>
      </c>
    </row>
    <row r="719" spans="2:14" x14ac:dyDescent="0.25">
      <c r="B719" s="93">
        <v>44255</v>
      </c>
      <c r="C719" s="48" t="s">
        <v>1363</v>
      </c>
      <c r="D719" s="48" t="s">
        <v>240</v>
      </c>
      <c r="E719" s="4" t="s">
        <v>88</v>
      </c>
      <c r="F719" s="49">
        <v>1</v>
      </c>
      <c r="G719" s="4" t="s">
        <v>1135</v>
      </c>
      <c r="I719" s="4" t="s">
        <v>149</v>
      </c>
      <c r="J719" s="4" t="s">
        <v>1364</v>
      </c>
      <c r="K719" s="4" t="str">
        <f>IFERROR(LEFT(T_LEAVE[[#This Row],[EMPLOYEE NAME]],LEN(T_LEAVE[[#This Row],[EMPLOYEE NAME]])-3),"")</f>
        <v>AYAG, PRINCESS</v>
      </c>
      <c r="L719" s="48">
        <f>IFERROR(DATEVALUE(TEXT(RIGHT(T_LEAVE[[#This Row],[LEAVE DATE]],LEN(T_LEAVE[[#This Row],[LEAVE DATE]])-6),"[$-en-US]d-mmm-yyyy;@")),"")</f>
        <v>44269</v>
      </c>
      <c r="M719" s="4" t="str">
        <f>IFERROR(TRIM(T_LEAVE[[#This Row],[TYPE]]),"")</f>
        <v>VACATION LEAVE</v>
      </c>
      <c r="N719" s="69" t="str">
        <f>IFERROR(VLOOKUP(T_LEAVE[[#This Row],[LEAVE TYPE]],T_LEAVETYPE[#All],2,0),"")</f>
        <v>VL</v>
      </c>
    </row>
    <row r="720" spans="2:14" x14ac:dyDescent="0.25">
      <c r="B720" s="93">
        <v>44257</v>
      </c>
      <c r="C720" s="48" t="s">
        <v>1328</v>
      </c>
      <c r="D720" s="48" t="s">
        <v>330</v>
      </c>
      <c r="E720" s="4" t="s">
        <v>89</v>
      </c>
      <c r="F720" s="49">
        <v>1</v>
      </c>
      <c r="G720" s="4" t="s">
        <v>1318</v>
      </c>
      <c r="I720" s="4" t="s">
        <v>149</v>
      </c>
      <c r="J720" s="4" t="s">
        <v>1367</v>
      </c>
      <c r="K720" s="4" t="str">
        <f>IFERROR(LEFT(T_LEAVE[[#This Row],[EMPLOYEE NAME]],LEN(T_LEAVE[[#This Row],[EMPLOYEE NAME]])-3),"")</f>
        <v>BELMONTE, JOSE MARI</v>
      </c>
      <c r="L720" s="48">
        <f>IFERROR(DATEVALUE(TEXT(RIGHT(T_LEAVE[[#This Row],[LEAVE DATE]],LEN(T_LEAVE[[#This Row],[LEAVE DATE]])-6),"[$-en-US]d-mmm-yyyy;@")),"")</f>
        <v>44254</v>
      </c>
      <c r="M720" s="4" t="str">
        <f>IFERROR(TRIM(T_LEAVE[[#This Row],[TYPE]]),"")</f>
        <v>SICK LEAVE</v>
      </c>
      <c r="N720" s="69" t="str">
        <f>IFERROR(VLOOKUP(T_LEAVE[[#This Row],[LEAVE TYPE]],T_LEAVETYPE[#All],2,0),"")</f>
        <v>SL</v>
      </c>
    </row>
    <row r="721" spans="2:14" x14ac:dyDescent="0.25">
      <c r="B721" s="93">
        <v>44260</v>
      </c>
      <c r="C721" s="48" t="s">
        <v>1331</v>
      </c>
      <c r="D721" s="48" t="s">
        <v>204</v>
      </c>
      <c r="E721" s="4" t="s">
        <v>89</v>
      </c>
      <c r="F721" s="49">
        <v>1</v>
      </c>
      <c r="G721" s="4" t="s">
        <v>547</v>
      </c>
      <c r="I721" s="4" t="s">
        <v>149</v>
      </c>
      <c r="J721" s="4" t="s">
        <v>1362</v>
      </c>
      <c r="K721" s="4" t="str">
        <f>IFERROR(LEFT(T_LEAVE[[#This Row],[EMPLOYEE NAME]],LEN(T_LEAVE[[#This Row],[EMPLOYEE NAME]])-3),"")</f>
        <v>APOLINARIO, JACQUELINE</v>
      </c>
      <c r="L721" s="48">
        <f>IFERROR(DATEVALUE(TEXT(RIGHT(T_LEAVE[[#This Row],[LEAVE DATE]],LEN(T_LEAVE[[#This Row],[LEAVE DATE]])-6),"[$-en-US]d-mmm-yyyy;@")),"")</f>
        <v>44259</v>
      </c>
      <c r="M721" s="4" t="str">
        <f>IFERROR(TRIM(T_LEAVE[[#This Row],[TYPE]]),"")</f>
        <v>SICK LEAVE</v>
      </c>
      <c r="N721" s="4" t="str">
        <f>IFERROR(VLOOKUP(T_LEAVE[[#This Row],[LEAVE TYPE]],T_LEAVETYPE[#All],2,0),"")</f>
        <v>SL</v>
      </c>
    </row>
    <row r="722" spans="2:14" x14ac:dyDescent="0.25">
      <c r="B722" s="93">
        <v>44260</v>
      </c>
      <c r="C722" s="48" t="s">
        <v>1329</v>
      </c>
      <c r="D722" s="48" t="s">
        <v>517</v>
      </c>
      <c r="E722" s="4" t="s">
        <v>89</v>
      </c>
      <c r="F722" s="49">
        <v>1</v>
      </c>
      <c r="G722" s="4" t="s">
        <v>49</v>
      </c>
      <c r="I722" s="4" t="s">
        <v>149</v>
      </c>
      <c r="J722" s="4" t="s">
        <v>1372</v>
      </c>
      <c r="K722" s="4" t="str">
        <f>IFERROR(LEFT(T_LEAVE[[#This Row],[EMPLOYEE NAME]],LEN(T_LEAVE[[#This Row],[EMPLOYEE NAME]])-3),"")</f>
        <v>FESTEJO, ABIEL CAMBYSES</v>
      </c>
      <c r="L722" s="48">
        <f>IFERROR(DATEVALUE(TEXT(RIGHT(T_LEAVE[[#This Row],[LEAVE DATE]],LEN(T_LEAVE[[#This Row],[LEAVE DATE]])-6),"[$-en-US]d-mmm-yyyy;@")),"")</f>
        <v>44257</v>
      </c>
      <c r="M722" s="4" t="str">
        <f>IFERROR(TRIM(T_LEAVE[[#This Row],[TYPE]]),"")</f>
        <v>SICK LEAVE</v>
      </c>
      <c r="N722" s="69" t="str">
        <f>IFERROR(VLOOKUP(T_LEAVE[[#This Row],[LEAVE TYPE]],T_LEAVETYPE[#All],2,0),"")</f>
        <v>SL</v>
      </c>
    </row>
    <row r="723" spans="2:14" x14ac:dyDescent="0.25">
      <c r="B723" s="93">
        <v>44262</v>
      </c>
      <c r="C723" s="48" t="s">
        <v>1393</v>
      </c>
      <c r="D723" s="48" t="s">
        <v>629</v>
      </c>
      <c r="E723" s="4" t="s">
        <v>92</v>
      </c>
      <c r="F723" s="49">
        <v>1</v>
      </c>
      <c r="G723" s="4" t="s">
        <v>1394</v>
      </c>
      <c r="I723" s="4" t="s">
        <v>149</v>
      </c>
      <c r="J723" s="4" t="s">
        <v>1395</v>
      </c>
      <c r="K723" s="4" t="str">
        <f>IFERROR(LEFT(T_LEAVE[[#This Row],[EMPLOYEE NAME]],LEN(T_LEAVE[[#This Row],[EMPLOYEE NAME]])-3),"")</f>
        <v>JAIME, JACYLYN</v>
      </c>
      <c r="L723" s="48">
        <f>IFERROR(DATEVALUE(TEXT(RIGHT(T_LEAVE[[#This Row],[LEAVE DATE]],LEN(T_LEAVE[[#This Row],[LEAVE DATE]])-6),"[$-en-US]d-mmm-yyyy;@")),"")</f>
        <v>44287</v>
      </c>
      <c r="M723" s="4" t="str">
        <f>IFERROR(TRIM(T_LEAVE[[#This Row],[TYPE]]),"")</f>
        <v>MATERNITY LEAVE</v>
      </c>
      <c r="N723" s="69" t="str">
        <f>IFERROR(VLOOKUP(T_LEAVE[[#This Row],[LEAVE TYPE]],T_LEAVETYPE[#All],2,0),"")</f>
        <v>ML</v>
      </c>
    </row>
    <row r="724" spans="2:14" x14ac:dyDescent="0.25">
      <c r="B724" s="93">
        <v>44262</v>
      </c>
      <c r="C724" s="48" t="s">
        <v>1396</v>
      </c>
      <c r="D724" s="48" t="s">
        <v>629</v>
      </c>
      <c r="E724" s="4" t="s">
        <v>92</v>
      </c>
      <c r="F724" s="49">
        <v>1</v>
      </c>
      <c r="G724" s="4" t="s">
        <v>1394</v>
      </c>
      <c r="I724" s="4" t="s">
        <v>149</v>
      </c>
      <c r="J724" s="4" t="s">
        <v>1395</v>
      </c>
      <c r="K724" s="4" t="str">
        <f>IFERROR(LEFT(T_LEAVE[[#This Row],[EMPLOYEE NAME]],LEN(T_LEAVE[[#This Row],[EMPLOYEE NAME]])-3),"")</f>
        <v>JAIME, JACYLYN</v>
      </c>
      <c r="L724" s="48">
        <f>IFERROR(DATEVALUE(TEXT(RIGHT(T_LEAVE[[#This Row],[LEAVE DATE]],LEN(T_LEAVE[[#This Row],[LEAVE DATE]])-6),"[$-en-US]d-mmm-yyyy;@")),"")</f>
        <v>44288</v>
      </c>
      <c r="M724" s="4" t="str">
        <f>IFERROR(TRIM(T_LEAVE[[#This Row],[TYPE]]),"")</f>
        <v>MATERNITY LEAVE</v>
      </c>
      <c r="N724" s="69" t="str">
        <f>IFERROR(VLOOKUP(T_LEAVE[[#This Row],[LEAVE TYPE]],T_LEAVETYPE[#All],2,0),"")</f>
        <v>ML</v>
      </c>
    </row>
    <row r="725" spans="2:14" x14ac:dyDescent="0.25">
      <c r="B725" s="93">
        <v>44262</v>
      </c>
      <c r="C725" s="48" t="s">
        <v>1397</v>
      </c>
      <c r="D725" s="48" t="s">
        <v>629</v>
      </c>
      <c r="E725" s="4" t="s">
        <v>92</v>
      </c>
      <c r="F725" s="49">
        <v>1</v>
      </c>
      <c r="G725" s="4" t="s">
        <v>1394</v>
      </c>
      <c r="I725" s="4" t="s">
        <v>149</v>
      </c>
      <c r="J725" s="4" t="s">
        <v>1395</v>
      </c>
      <c r="K725" s="4" t="str">
        <f>IFERROR(LEFT(T_LEAVE[[#This Row],[EMPLOYEE NAME]],LEN(T_LEAVE[[#This Row],[EMPLOYEE NAME]])-3),"")</f>
        <v>JAIME, JACYLYN</v>
      </c>
      <c r="L725" s="48">
        <f>IFERROR(DATEVALUE(TEXT(RIGHT(T_LEAVE[[#This Row],[LEAVE DATE]],LEN(T_LEAVE[[#This Row],[LEAVE DATE]])-6),"[$-en-US]d-mmm-yyyy;@")),"")</f>
        <v>44291</v>
      </c>
      <c r="M725" s="4" t="str">
        <f>IFERROR(TRIM(T_LEAVE[[#This Row],[TYPE]]),"")</f>
        <v>MATERNITY LEAVE</v>
      </c>
      <c r="N725" s="69" t="str">
        <f>IFERROR(VLOOKUP(T_LEAVE[[#This Row],[LEAVE TYPE]],T_LEAVETYPE[#All],2,0),"")</f>
        <v>ML</v>
      </c>
    </row>
    <row r="726" spans="2:14" x14ac:dyDescent="0.25">
      <c r="B726" s="93">
        <v>44262</v>
      </c>
      <c r="C726" s="48" t="s">
        <v>1398</v>
      </c>
      <c r="D726" s="48" t="s">
        <v>629</v>
      </c>
      <c r="E726" s="4" t="s">
        <v>92</v>
      </c>
      <c r="F726" s="49">
        <v>1</v>
      </c>
      <c r="G726" s="4" t="s">
        <v>1394</v>
      </c>
      <c r="I726" s="4" t="s">
        <v>149</v>
      </c>
      <c r="J726" s="4" t="s">
        <v>1395</v>
      </c>
      <c r="K726" s="4" t="str">
        <f>IFERROR(LEFT(T_LEAVE[[#This Row],[EMPLOYEE NAME]],LEN(T_LEAVE[[#This Row],[EMPLOYEE NAME]])-3),"")</f>
        <v>JAIME, JACYLYN</v>
      </c>
      <c r="L726" s="48">
        <f>IFERROR(DATEVALUE(TEXT(RIGHT(T_LEAVE[[#This Row],[LEAVE DATE]],LEN(T_LEAVE[[#This Row],[LEAVE DATE]])-6),"[$-en-US]d-mmm-yyyy;@")),"")</f>
        <v>44292</v>
      </c>
      <c r="M726" s="4" t="str">
        <f>IFERROR(TRIM(T_LEAVE[[#This Row],[TYPE]]),"")</f>
        <v>MATERNITY LEAVE</v>
      </c>
      <c r="N726" s="69" t="str">
        <f>IFERROR(VLOOKUP(T_LEAVE[[#This Row],[LEAVE TYPE]],T_LEAVETYPE[#All],2,0),"")</f>
        <v>ML</v>
      </c>
    </row>
    <row r="727" spans="2:14" x14ac:dyDescent="0.25">
      <c r="B727" s="93">
        <v>44262</v>
      </c>
      <c r="C727" s="48" t="s">
        <v>1399</v>
      </c>
      <c r="D727" s="48" t="s">
        <v>629</v>
      </c>
      <c r="E727" s="4" t="s">
        <v>92</v>
      </c>
      <c r="F727" s="49">
        <v>1</v>
      </c>
      <c r="G727" s="4" t="s">
        <v>1394</v>
      </c>
      <c r="I727" s="4" t="s">
        <v>149</v>
      </c>
      <c r="J727" s="4" t="s">
        <v>1395</v>
      </c>
      <c r="K727" s="4" t="str">
        <f>IFERROR(LEFT(T_LEAVE[[#This Row],[EMPLOYEE NAME]],LEN(T_LEAVE[[#This Row],[EMPLOYEE NAME]])-3),"")</f>
        <v>JAIME, JACYLYN</v>
      </c>
      <c r="L727" s="48">
        <f>IFERROR(DATEVALUE(TEXT(RIGHT(T_LEAVE[[#This Row],[LEAVE DATE]],LEN(T_LEAVE[[#This Row],[LEAVE DATE]])-6),"[$-en-US]d-mmm-yyyy;@")),"")</f>
        <v>44293</v>
      </c>
      <c r="M727" s="4" t="str">
        <f>IFERROR(TRIM(T_LEAVE[[#This Row],[TYPE]]),"")</f>
        <v>MATERNITY LEAVE</v>
      </c>
      <c r="N727" s="69" t="str">
        <f>IFERROR(VLOOKUP(T_LEAVE[[#This Row],[LEAVE TYPE]],T_LEAVETYPE[#All],2,0),"")</f>
        <v>ML</v>
      </c>
    </row>
    <row r="728" spans="2:14" x14ac:dyDescent="0.25">
      <c r="B728" s="93">
        <v>44262</v>
      </c>
      <c r="C728" s="48" t="s">
        <v>1400</v>
      </c>
      <c r="D728" s="48" t="s">
        <v>629</v>
      </c>
      <c r="E728" s="4" t="s">
        <v>92</v>
      </c>
      <c r="F728" s="49">
        <v>1</v>
      </c>
      <c r="G728" s="4" t="s">
        <v>1394</v>
      </c>
      <c r="I728" s="4" t="s">
        <v>149</v>
      </c>
      <c r="J728" s="4" t="s">
        <v>1401</v>
      </c>
      <c r="K728" s="4" t="str">
        <f>IFERROR(LEFT(T_LEAVE[[#This Row],[EMPLOYEE NAME]],LEN(T_LEAVE[[#This Row],[EMPLOYEE NAME]])-3),"")</f>
        <v>JAIME, JACYLYN</v>
      </c>
      <c r="L728" s="48">
        <f>IFERROR(DATEVALUE(TEXT(RIGHT(T_LEAVE[[#This Row],[LEAVE DATE]],LEN(T_LEAVE[[#This Row],[LEAVE DATE]])-6),"[$-en-US]d-mmm-yyyy;@")),"")</f>
        <v>44294</v>
      </c>
      <c r="M728" s="4" t="str">
        <f>IFERROR(TRIM(T_LEAVE[[#This Row],[TYPE]]),"")</f>
        <v>MATERNITY LEAVE</v>
      </c>
      <c r="N728" s="69" t="str">
        <f>IFERROR(VLOOKUP(T_LEAVE[[#This Row],[LEAVE TYPE]],T_LEAVETYPE[#All],2,0),"")</f>
        <v>ML</v>
      </c>
    </row>
    <row r="729" spans="2:14" x14ac:dyDescent="0.25">
      <c r="B729" s="93">
        <v>44262</v>
      </c>
      <c r="C729" s="48" t="s">
        <v>1402</v>
      </c>
      <c r="D729" s="48" t="s">
        <v>629</v>
      </c>
      <c r="E729" s="4" t="s">
        <v>92</v>
      </c>
      <c r="F729" s="49">
        <v>1</v>
      </c>
      <c r="G729" s="4" t="s">
        <v>1394</v>
      </c>
      <c r="I729" s="4" t="s">
        <v>149</v>
      </c>
      <c r="J729" s="4" t="s">
        <v>1391</v>
      </c>
      <c r="K729" s="4" t="str">
        <f>IFERROR(LEFT(T_LEAVE[[#This Row],[EMPLOYEE NAME]],LEN(T_LEAVE[[#This Row],[EMPLOYEE NAME]])-3),"")</f>
        <v>JAIME, JACYLYN</v>
      </c>
      <c r="L729" s="48">
        <f>IFERROR(DATEVALUE(TEXT(RIGHT(T_LEAVE[[#This Row],[LEAVE DATE]],LEN(T_LEAVE[[#This Row],[LEAVE DATE]])-6),"[$-en-US]d-mmm-yyyy;@")),"")</f>
        <v>44295</v>
      </c>
      <c r="M729" s="4" t="str">
        <f>IFERROR(TRIM(T_LEAVE[[#This Row],[TYPE]]),"")</f>
        <v>MATERNITY LEAVE</v>
      </c>
      <c r="N729" s="69" t="str">
        <f>IFERROR(VLOOKUP(T_LEAVE[[#This Row],[LEAVE TYPE]],T_LEAVETYPE[#All],2,0),"")</f>
        <v>ML</v>
      </c>
    </row>
    <row r="730" spans="2:14" x14ac:dyDescent="0.25">
      <c r="B730" s="93">
        <v>44262</v>
      </c>
      <c r="C730" s="48" t="s">
        <v>1403</v>
      </c>
      <c r="D730" s="48" t="s">
        <v>629</v>
      </c>
      <c r="E730" s="4" t="s">
        <v>92</v>
      </c>
      <c r="F730" s="49">
        <v>1</v>
      </c>
      <c r="G730" s="4" t="s">
        <v>1394</v>
      </c>
      <c r="I730" s="4" t="s">
        <v>149</v>
      </c>
      <c r="J730" s="4" t="s">
        <v>1391</v>
      </c>
      <c r="K730" s="4" t="str">
        <f>IFERROR(LEFT(T_LEAVE[[#This Row],[EMPLOYEE NAME]],LEN(T_LEAVE[[#This Row],[EMPLOYEE NAME]])-3),"")</f>
        <v>JAIME, JACYLYN</v>
      </c>
      <c r="L730" s="48">
        <f>IFERROR(DATEVALUE(TEXT(RIGHT(T_LEAVE[[#This Row],[LEAVE DATE]],LEN(T_LEAVE[[#This Row],[LEAVE DATE]])-6),"[$-en-US]d-mmm-yyyy;@")),"")</f>
        <v>44298</v>
      </c>
      <c r="M730" s="4" t="str">
        <f>IFERROR(TRIM(T_LEAVE[[#This Row],[TYPE]]),"")</f>
        <v>MATERNITY LEAVE</v>
      </c>
      <c r="N730" s="69" t="str">
        <f>IFERROR(VLOOKUP(T_LEAVE[[#This Row],[LEAVE TYPE]],T_LEAVETYPE[#All],2,0),"")</f>
        <v>ML</v>
      </c>
    </row>
    <row r="731" spans="2:14" x14ac:dyDescent="0.25">
      <c r="B731" s="93">
        <v>44262</v>
      </c>
      <c r="C731" s="48" t="s">
        <v>1404</v>
      </c>
      <c r="D731" s="48" t="s">
        <v>629</v>
      </c>
      <c r="E731" s="4" t="s">
        <v>92</v>
      </c>
      <c r="F731" s="49">
        <v>1</v>
      </c>
      <c r="G731" s="4" t="s">
        <v>1394</v>
      </c>
      <c r="I731" s="4" t="s">
        <v>149</v>
      </c>
      <c r="J731" s="4" t="s">
        <v>1391</v>
      </c>
      <c r="K731" s="4" t="str">
        <f>IFERROR(LEFT(T_LEAVE[[#This Row],[EMPLOYEE NAME]],LEN(T_LEAVE[[#This Row],[EMPLOYEE NAME]])-3),"")</f>
        <v>JAIME, JACYLYN</v>
      </c>
      <c r="L731" s="48">
        <f>IFERROR(DATEVALUE(TEXT(RIGHT(T_LEAVE[[#This Row],[LEAVE DATE]],LEN(T_LEAVE[[#This Row],[LEAVE DATE]])-6),"[$-en-US]d-mmm-yyyy;@")),"")</f>
        <v>44299</v>
      </c>
      <c r="M731" s="4" t="str">
        <f>IFERROR(TRIM(T_LEAVE[[#This Row],[TYPE]]),"")</f>
        <v>MATERNITY LEAVE</v>
      </c>
      <c r="N731" s="69" t="str">
        <f>IFERROR(VLOOKUP(T_LEAVE[[#This Row],[LEAVE TYPE]],T_LEAVETYPE[#All],2,0),"")</f>
        <v>ML</v>
      </c>
    </row>
    <row r="732" spans="2:14" x14ac:dyDescent="0.25">
      <c r="B732" s="93">
        <v>44262</v>
      </c>
      <c r="C732" s="48" t="s">
        <v>1405</v>
      </c>
      <c r="D732" s="48" t="s">
        <v>629</v>
      </c>
      <c r="E732" s="4" t="s">
        <v>92</v>
      </c>
      <c r="F732" s="49">
        <v>1</v>
      </c>
      <c r="G732" s="4" t="s">
        <v>1394</v>
      </c>
      <c r="I732" s="4" t="s">
        <v>149</v>
      </c>
      <c r="J732" s="4" t="s">
        <v>1391</v>
      </c>
      <c r="K732" s="4" t="str">
        <f>IFERROR(LEFT(T_LEAVE[[#This Row],[EMPLOYEE NAME]],LEN(T_LEAVE[[#This Row],[EMPLOYEE NAME]])-3),"")</f>
        <v>JAIME, JACYLYN</v>
      </c>
      <c r="L732" s="48">
        <f>IFERROR(DATEVALUE(TEXT(RIGHT(T_LEAVE[[#This Row],[LEAVE DATE]],LEN(T_LEAVE[[#This Row],[LEAVE DATE]])-6),"[$-en-US]d-mmm-yyyy;@")),"")</f>
        <v>44300</v>
      </c>
      <c r="M732" s="4" t="str">
        <f>IFERROR(TRIM(T_LEAVE[[#This Row],[TYPE]]),"")</f>
        <v>MATERNITY LEAVE</v>
      </c>
      <c r="N732" s="69" t="str">
        <f>IFERROR(VLOOKUP(T_LEAVE[[#This Row],[LEAVE TYPE]],T_LEAVETYPE[#All],2,0),"")</f>
        <v>ML</v>
      </c>
    </row>
    <row r="733" spans="2:14" x14ac:dyDescent="0.25">
      <c r="B733" s="93">
        <v>44262</v>
      </c>
      <c r="C733" s="48" t="s">
        <v>1406</v>
      </c>
      <c r="D733" s="48" t="s">
        <v>629</v>
      </c>
      <c r="E733" s="4" t="s">
        <v>92</v>
      </c>
      <c r="F733" s="49">
        <v>1</v>
      </c>
      <c r="G733" s="4" t="s">
        <v>1394</v>
      </c>
      <c r="I733" s="4" t="s">
        <v>149</v>
      </c>
      <c r="J733" s="4" t="s">
        <v>1391</v>
      </c>
      <c r="K733" s="4" t="str">
        <f>IFERROR(LEFT(T_LEAVE[[#This Row],[EMPLOYEE NAME]],LEN(T_LEAVE[[#This Row],[EMPLOYEE NAME]])-3),"")</f>
        <v>JAIME, JACYLYN</v>
      </c>
      <c r="L733" s="48">
        <f>IFERROR(DATEVALUE(TEXT(RIGHT(T_LEAVE[[#This Row],[LEAVE DATE]],LEN(T_LEAVE[[#This Row],[LEAVE DATE]])-6),"[$-en-US]d-mmm-yyyy;@")),"")</f>
        <v>44301</v>
      </c>
      <c r="M733" s="4" t="str">
        <f>IFERROR(TRIM(T_LEAVE[[#This Row],[TYPE]]),"")</f>
        <v>MATERNITY LEAVE</v>
      </c>
      <c r="N733" s="69" t="str">
        <f>IFERROR(VLOOKUP(T_LEAVE[[#This Row],[LEAVE TYPE]],T_LEAVETYPE[#All],2,0),"")</f>
        <v>ML</v>
      </c>
    </row>
    <row r="734" spans="2:14" x14ac:dyDescent="0.25">
      <c r="B734" s="93">
        <v>44262</v>
      </c>
      <c r="C734" s="48" t="s">
        <v>1407</v>
      </c>
      <c r="D734" s="48" t="s">
        <v>629</v>
      </c>
      <c r="E734" s="4" t="s">
        <v>92</v>
      </c>
      <c r="F734" s="49">
        <v>1</v>
      </c>
      <c r="G734" s="4" t="s">
        <v>1394</v>
      </c>
      <c r="I734" s="4" t="s">
        <v>149</v>
      </c>
      <c r="J734" s="4" t="s">
        <v>1391</v>
      </c>
      <c r="K734" s="4" t="str">
        <f>IFERROR(LEFT(T_LEAVE[[#This Row],[EMPLOYEE NAME]],LEN(T_LEAVE[[#This Row],[EMPLOYEE NAME]])-3),"")</f>
        <v>JAIME, JACYLYN</v>
      </c>
      <c r="L734" s="48">
        <f>IFERROR(DATEVALUE(TEXT(RIGHT(T_LEAVE[[#This Row],[LEAVE DATE]],LEN(T_LEAVE[[#This Row],[LEAVE DATE]])-6),"[$-en-US]d-mmm-yyyy;@")),"")</f>
        <v>44302</v>
      </c>
      <c r="M734" s="4" t="str">
        <f>IFERROR(TRIM(T_LEAVE[[#This Row],[TYPE]]),"")</f>
        <v>MATERNITY LEAVE</v>
      </c>
      <c r="N734" s="69" t="str">
        <f>IFERROR(VLOOKUP(T_LEAVE[[#This Row],[LEAVE TYPE]],T_LEAVETYPE[#All],2,0),"")</f>
        <v>ML</v>
      </c>
    </row>
    <row r="735" spans="2:14" x14ac:dyDescent="0.25">
      <c r="B735" s="93">
        <v>44262</v>
      </c>
      <c r="C735" s="48" t="s">
        <v>1408</v>
      </c>
      <c r="D735" s="48" t="s">
        <v>629</v>
      </c>
      <c r="E735" s="4" t="s">
        <v>92</v>
      </c>
      <c r="F735" s="49">
        <v>1</v>
      </c>
      <c r="G735" s="4" t="s">
        <v>1394</v>
      </c>
      <c r="I735" s="4" t="s">
        <v>149</v>
      </c>
      <c r="J735" s="4" t="s">
        <v>1391</v>
      </c>
      <c r="K735" s="4" t="str">
        <f>IFERROR(LEFT(T_LEAVE[[#This Row],[EMPLOYEE NAME]],LEN(T_LEAVE[[#This Row],[EMPLOYEE NAME]])-3),"")</f>
        <v>JAIME, JACYLYN</v>
      </c>
      <c r="L735" s="48">
        <f>IFERROR(DATEVALUE(TEXT(RIGHT(T_LEAVE[[#This Row],[LEAVE DATE]],LEN(T_LEAVE[[#This Row],[LEAVE DATE]])-6),"[$-en-US]d-mmm-yyyy;@")),"")</f>
        <v>44305</v>
      </c>
      <c r="M735" s="4" t="str">
        <f>IFERROR(TRIM(T_LEAVE[[#This Row],[TYPE]]),"")</f>
        <v>MATERNITY LEAVE</v>
      </c>
      <c r="N735" s="69" t="str">
        <f>IFERROR(VLOOKUP(T_LEAVE[[#This Row],[LEAVE TYPE]],T_LEAVETYPE[#All],2,0),"")</f>
        <v>ML</v>
      </c>
    </row>
    <row r="736" spans="2:14" x14ac:dyDescent="0.25">
      <c r="B736" s="93">
        <v>44262</v>
      </c>
      <c r="C736" s="48" t="s">
        <v>1409</v>
      </c>
      <c r="D736" s="48" t="s">
        <v>629</v>
      </c>
      <c r="E736" s="4" t="s">
        <v>92</v>
      </c>
      <c r="F736" s="49">
        <v>1</v>
      </c>
      <c r="G736" s="4" t="s">
        <v>1394</v>
      </c>
      <c r="I736" s="4" t="s">
        <v>149</v>
      </c>
      <c r="J736" s="4" t="s">
        <v>1391</v>
      </c>
      <c r="K736" s="4" t="str">
        <f>IFERROR(LEFT(T_LEAVE[[#This Row],[EMPLOYEE NAME]],LEN(T_LEAVE[[#This Row],[EMPLOYEE NAME]])-3),"")</f>
        <v>JAIME, JACYLYN</v>
      </c>
      <c r="L736" s="48">
        <f>IFERROR(DATEVALUE(TEXT(RIGHT(T_LEAVE[[#This Row],[LEAVE DATE]],LEN(T_LEAVE[[#This Row],[LEAVE DATE]])-6),"[$-en-US]d-mmm-yyyy;@")),"")</f>
        <v>44306</v>
      </c>
      <c r="M736" s="4" t="str">
        <f>IFERROR(TRIM(T_LEAVE[[#This Row],[TYPE]]),"")</f>
        <v>MATERNITY LEAVE</v>
      </c>
      <c r="N736" s="69" t="str">
        <f>IFERROR(VLOOKUP(T_LEAVE[[#This Row],[LEAVE TYPE]],T_LEAVETYPE[#All],2,0),"")</f>
        <v>ML</v>
      </c>
    </row>
    <row r="737" spans="2:14" x14ac:dyDescent="0.25">
      <c r="B737" s="93">
        <v>44262</v>
      </c>
      <c r="C737" s="48" t="s">
        <v>1410</v>
      </c>
      <c r="D737" s="48" t="s">
        <v>629</v>
      </c>
      <c r="E737" s="4" t="s">
        <v>92</v>
      </c>
      <c r="F737" s="49">
        <v>1</v>
      </c>
      <c r="G737" s="4" t="s">
        <v>1394</v>
      </c>
      <c r="I737" s="4" t="s">
        <v>149</v>
      </c>
      <c r="J737" s="4" t="s">
        <v>1391</v>
      </c>
      <c r="K737" s="4" t="str">
        <f>IFERROR(LEFT(T_LEAVE[[#This Row],[EMPLOYEE NAME]],LEN(T_LEAVE[[#This Row],[EMPLOYEE NAME]])-3),"")</f>
        <v>JAIME, JACYLYN</v>
      </c>
      <c r="L737" s="48">
        <f>IFERROR(DATEVALUE(TEXT(RIGHT(T_LEAVE[[#This Row],[LEAVE DATE]],LEN(T_LEAVE[[#This Row],[LEAVE DATE]])-6),"[$-en-US]d-mmm-yyyy;@")),"")</f>
        <v>44307</v>
      </c>
      <c r="M737" s="4" t="str">
        <f>IFERROR(TRIM(T_LEAVE[[#This Row],[TYPE]]),"")</f>
        <v>MATERNITY LEAVE</v>
      </c>
      <c r="N737" s="69" t="str">
        <f>IFERROR(VLOOKUP(T_LEAVE[[#This Row],[LEAVE TYPE]],T_LEAVETYPE[#All],2,0),"")</f>
        <v>ML</v>
      </c>
    </row>
    <row r="738" spans="2:14" x14ac:dyDescent="0.25">
      <c r="B738" s="93">
        <v>44262</v>
      </c>
      <c r="C738" s="48" t="s">
        <v>1411</v>
      </c>
      <c r="D738" s="48" t="s">
        <v>629</v>
      </c>
      <c r="E738" s="4" t="s">
        <v>92</v>
      </c>
      <c r="F738" s="49">
        <v>1</v>
      </c>
      <c r="G738" s="4" t="s">
        <v>1394</v>
      </c>
      <c r="I738" s="4" t="s">
        <v>149</v>
      </c>
      <c r="J738" s="4" t="s">
        <v>1391</v>
      </c>
      <c r="K738" s="4" t="str">
        <f>IFERROR(LEFT(T_LEAVE[[#This Row],[EMPLOYEE NAME]],LEN(T_LEAVE[[#This Row],[EMPLOYEE NAME]])-3),"")</f>
        <v>JAIME, JACYLYN</v>
      </c>
      <c r="L738" s="48">
        <f>IFERROR(DATEVALUE(TEXT(RIGHT(T_LEAVE[[#This Row],[LEAVE DATE]],LEN(T_LEAVE[[#This Row],[LEAVE DATE]])-6),"[$-en-US]d-mmm-yyyy;@")),"")</f>
        <v>44308</v>
      </c>
      <c r="M738" s="4" t="str">
        <f>IFERROR(TRIM(T_LEAVE[[#This Row],[TYPE]]),"")</f>
        <v>MATERNITY LEAVE</v>
      </c>
      <c r="N738" s="69" t="str">
        <f>IFERROR(VLOOKUP(T_LEAVE[[#This Row],[LEAVE TYPE]],T_LEAVETYPE[#All],2,0),"")</f>
        <v>ML</v>
      </c>
    </row>
    <row r="739" spans="2:14" x14ac:dyDescent="0.25">
      <c r="B739" s="93">
        <v>44263</v>
      </c>
      <c r="C739" s="48" t="s">
        <v>1332</v>
      </c>
      <c r="D739" s="48" t="s">
        <v>330</v>
      </c>
      <c r="E739" s="4" t="s">
        <v>89</v>
      </c>
      <c r="F739" s="49">
        <v>1</v>
      </c>
      <c r="G739" s="4" t="s">
        <v>1368</v>
      </c>
      <c r="I739" s="4" t="s">
        <v>149</v>
      </c>
      <c r="J739" s="4" t="s">
        <v>1369</v>
      </c>
      <c r="K739" s="4" t="str">
        <f>IFERROR(LEFT(T_LEAVE[[#This Row],[EMPLOYEE NAME]],LEN(T_LEAVE[[#This Row],[EMPLOYEE NAME]])-3),"")</f>
        <v>BELMONTE, JOSE MARI</v>
      </c>
      <c r="L739" s="48">
        <f>IFERROR(DATEVALUE(TEXT(RIGHT(T_LEAVE[[#This Row],[LEAVE DATE]],LEN(T_LEAVE[[#This Row],[LEAVE DATE]])-6),"[$-en-US]d-mmm-yyyy;@")),"")</f>
        <v>44260</v>
      </c>
      <c r="M739" s="4" t="str">
        <f>IFERROR(TRIM(T_LEAVE[[#This Row],[TYPE]]),"")</f>
        <v>SICK LEAVE</v>
      </c>
      <c r="N739" s="69" t="str">
        <f>IFERROR(VLOOKUP(T_LEAVE[[#This Row],[LEAVE TYPE]],T_LEAVETYPE[#All],2,0),"")</f>
        <v>SL</v>
      </c>
    </row>
    <row r="740" spans="2:14" x14ac:dyDescent="0.25">
      <c r="B740" s="93">
        <v>44263</v>
      </c>
      <c r="C740" s="48" t="s">
        <v>1333</v>
      </c>
      <c r="D740" s="48" t="s">
        <v>330</v>
      </c>
      <c r="E740" s="4" t="s">
        <v>88</v>
      </c>
      <c r="F740" s="49">
        <v>1</v>
      </c>
      <c r="G740" s="4" t="s">
        <v>1368</v>
      </c>
      <c r="I740" s="4" t="s">
        <v>149</v>
      </c>
      <c r="J740" s="4" t="s">
        <v>1369</v>
      </c>
      <c r="K740" s="4" t="str">
        <f>IFERROR(LEFT(T_LEAVE[[#This Row],[EMPLOYEE NAME]],LEN(T_LEAVE[[#This Row],[EMPLOYEE NAME]])-3),"")</f>
        <v>BELMONTE, JOSE MARI</v>
      </c>
      <c r="L740" s="48">
        <f>IFERROR(DATEVALUE(TEXT(RIGHT(T_LEAVE[[#This Row],[LEAVE DATE]],LEN(T_LEAVE[[#This Row],[LEAVE DATE]])-6),"[$-en-US]d-mmm-yyyy;@")),"")</f>
        <v>44261</v>
      </c>
      <c r="M740" s="4" t="str">
        <f>IFERROR(TRIM(T_LEAVE[[#This Row],[TYPE]]),"")</f>
        <v>VACATION LEAVE</v>
      </c>
      <c r="N740" s="69" t="str">
        <f>IFERROR(VLOOKUP(T_LEAVE[[#This Row],[LEAVE TYPE]],T_LEAVETYPE[#All],2,0),"")</f>
        <v>VL</v>
      </c>
    </row>
    <row r="741" spans="2:14" x14ac:dyDescent="0.25">
      <c r="B741" s="93">
        <v>44263</v>
      </c>
      <c r="C741" s="48" t="s">
        <v>1330</v>
      </c>
      <c r="D741" s="48" t="s">
        <v>541</v>
      </c>
      <c r="E741" s="4" t="s">
        <v>88</v>
      </c>
      <c r="F741" s="49">
        <v>1</v>
      </c>
      <c r="G741" s="4" t="s">
        <v>1375</v>
      </c>
      <c r="I741" s="4" t="s">
        <v>149</v>
      </c>
      <c r="J741" s="4" t="s">
        <v>1376</v>
      </c>
      <c r="K741" s="4" t="str">
        <f>IFERROR(LEFT(T_LEAVE[[#This Row],[EMPLOYEE NAME]],LEN(T_LEAVE[[#This Row],[EMPLOYEE NAME]])-3),"")</f>
        <v>GARCINES, SHENALD</v>
      </c>
      <c r="L741" s="48">
        <f>IFERROR(DATEVALUE(TEXT(RIGHT(T_LEAVE[[#This Row],[LEAVE DATE]],LEN(T_LEAVE[[#This Row],[LEAVE DATE]])-6),"[$-en-US]d-mmm-yyyy;@")),"")</f>
        <v>44258</v>
      </c>
      <c r="M741" s="4" t="str">
        <f>IFERROR(TRIM(T_LEAVE[[#This Row],[TYPE]]),"")</f>
        <v>VACATION LEAVE</v>
      </c>
      <c r="N741" s="69" t="str">
        <f>IFERROR(VLOOKUP(T_LEAVE[[#This Row],[LEAVE TYPE]],T_LEAVETYPE[#All],2,0),"")</f>
        <v>VL</v>
      </c>
    </row>
    <row r="742" spans="2:14" x14ac:dyDescent="0.25">
      <c r="B742" s="93">
        <v>44263</v>
      </c>
      <c r="C742" s="48" t="s">
        <v>1331</v>
      </c>
      <c r="D742" s="48" t="s">
        <v>541</v>
      </c>
      <c r="E742" s="4" t="s">
        <v>88</v>
      </c>
      <c r="F742" s="49">
        <v>1</v>
      </c>
      <c r="G742" s="4" t="s">
        <v>1375</v>
      </c>
      <c r="I742" s="4" t="s">
        <v>149</v>
      </c>
      <c r="J742" s="4" t="s">
        <v>1377</v>
      </c>
      <c r="K742" s="4" t="str">
        <f>IFERROR(LEFT(T_LEAVE[[#This Row],[EMPLOYEE NAME]],LEN(T_LEAVE[[#This Row],[EMPLOYEE NAME]])-3),"")</f>
        <v>GARCINES, SHENALD</v>
      </c>
      <c r="L742" s="48">
        <f>IFERROR(DATEVALUE(TEXT(RIGHT(T_LEAVE[[#This Row],[LEAVE DATE]],LEN(T_LEAVE[[#This Row],[LEAVE DATE]])-6),"[$-en-US]d-mmm-yyyy;@")),"")</f>
        <v>44259</v>
      </c>
      <c r="M742" s="4" t="str">
        <f>IFERROR(TRIM(T_LEAVE[[#This Row],[TYPE]]),"")</f>
        <v>VACATION LEAVE</v>
      </c>
      <c r="N742" s="69" t="str">
        <f>IFERROR(VLOOKUP(T_LEAVE[[#This Row],[LEAVE TYPE]],T_LEAVETYPE[#All],2,0),"")</f>
        <v>VL</v>
      </c>
    </row>
    <row r="743" spans="2:14" x14ac:dyDescent="0.25">
      <c r="B743" s="93">
        <v>44263</v>
      </c>
      <c r="C743" s="48" t="s">
        <v>1332</v>
      </c>
      <c r="D743" s="48" t="s">
        <v>541</v>
      </c>
      <c r="E743" s="4" t="s">
        <v>88</v>
      </c>
      <c r="F743" s="49">
        <v>1</v>
      </c>
      <c r="G743" s="4" t="s">
        <v>1375</v>
      </c>
      <c r="I743" s="4" t="s">
        <v>149</v>
      </c>
      <c r="J743" s="4" t="s">
        <v>1377</v>
      </c>
      <c r="K743" s="4" t="str">
        <f>IFERROR(LEFT(T_LEAVE[[#This Row],[EMPLOYEE NAME]],LEN(T_LEAVE[[#This Row],[EMPLOYEE NAME]])-3),"")</f>
        <v>GARCINES, SHENALD</v>
      </c>
      <c r="L743" s="48">
        <f>IFERROR(DATEVALUE(TEXT(RIGHT(T_LEAVE[[#This Row],[LEAVE DATE]],LEN(T_LEAVE[[#This Row],[LEAVE DATE]])-6),"[$-en-US]d-mmm-yyyy;@")),"")</f>
        <v>44260</v>
      </c>
      <c r="M743" s="4" t="str">
        <f>IFERROR(TRIM(T_LEAVE[[#This Row],[TYPE]]),"")</f>
        <v>VACATION LEAVE</v>
      </c>
      <c r="N743" s="69" t="str">
        <f>IFERROR(VLOOKUP(T_LEAVE[[#This Row],[LEAVE TYPE]],T_LEAVETYPE[#All],2,0),"")</f>
        <v>VL</v>
      </c>
    </row>
    <row r="744" spans="2:14" x14ac:dyDescent="0.25">
      <c r="B744" s="93">
        <v>44263</v>
      </c>
      <c r="C744" s="48" t="s">
        <v>1333</v>
      </c>
      <c r="D744" s="48" t="s">
        <v>541</v>
      </c>
      <c r="E744" s="4" t="s">
        <v>89</v>
      </c>
      <c r="F744" s="49">
        <v>1</v>
      </c>
      <c r="G744" s="4" t="s">
        <v>51</v>
      </c>
      <c r="I744" s="4" t="s">
        <v>149</v>
      </c>
      <c r="J744" s="4" t="s">
        <v>1378</v>
      </c>
      <c r="K744" s="4" t="str">
        <f>IFERROR(LEFT(T_LEAVE[[#This Row],[EMPLOYEE NAME]],LEN(T_LEAVE[[#This Row],[EMPLOYEE NAME]])-3),"")</f>
        <v>GARCINES, SHENALD</v>
      </c>
      <c r="L744" s="48">
        <f>IFERROR(DATEVALUE(TEXT(RIGHT(T_LEAVE[[#This Row],[LEAVE DATE]],LEN(T_LEAVE[[#This Row],[LEAVE DATE]])-6),"[$-en-US]d-mmm-yyyy;@")),"")</f>
        <v>44261</v>
      </c>
      <c r="M744" s="4" t="str">
        <f>IFERROR(TRIM(T_LEAVE[[#This Row],[TYPE]]),"")</f>
        <v>SICK LEAVE</v>
      </c>
      <c r="N744" s="69" t="str">
        <f>IFERROR(VLOOKUP(T_LEAVE[[#This Row],[LEAVE TYPE]],T_LEAVETYPE[#All],2,0),"")</f>
        <v>SL</v>
      </c>
    </row>
    <row r="745" spans="2:14" x14ac:dyDescent="0.25">
      <c r="B745" s="93">
        <v>44263</v>
      </c>
      <c r="C745" s="48" t="s">
        <v>1373</v>
      </c>
      <c r="D745" s="48" t="s">
        <v>541</v>
      </c>
      <c r="E745" s="4" t="s">
        <v>89</v>
      </c>
      <c r="F745" s="49">
        <v>1</v>
      </c>
      <c r="G745" s="4" t="s">
        <v>51</v>
      </c>
      <c r="I745" s="4" t="s">
        <v>149</v>
      </c>
      <c r="J745" s="4" t="s">
        <v>1378</v>
      </c>
      <c r="K745" s="4" t="str">
        <f>IFERROR(LEFT(T_LEAVE[[#This Row],[EMPLOYEE NAME]],LEN(T_LEAVE[[#This Row],[EMPLOYEE NAME]])-3),"")</f>
        <v>GARCINES, SHENALD</v>
      </c>
      <c r="L745" s="48">
        <f>IFERROR(DATEVALUE(TEXT(RIGHT(T_LEAVE[[#This Row],[LEAVE DATE]],LEN(T_LEAVE[[#This Row],[LEAVE DATE]])-6),"[$-en-US]d-mmm-yyyy;@")),"")</f>
        <v>44262</v>
      </c>
      <c r="M745" s="4" t="str">
        <f>IFERROR(TRIM(T_LEAVE[[#This Row],[TYPE]]),"")</f>
        <v>SICK LEAVE</v>
      </c>
      <c r="N745" s="69" t="str">
        <f>IFERROR(VLOOKUP(T_LEAVE[[#This Row],[LEAVE TYPE]],T_LEAVETYPE[#All],2,0),"")</f>
        <v>SL</v>
      </c>
    </row>
    <row r="746" spans="2:14" x14ac:dyDescent="0.25">
      <c r="B746" s="93">
        <v>44263</v>
      </c>
      <c r="C746" s="48" t="s">
        <v>1373</v>
      </c>
      <c r="D746" s="48" t="s">
        <v>971</v>
      </c>
      <c r="E746" s="4" t="s">
        <v>89</v>
      </c>
      <c r="F746" s="49">
        <v>1</v>
      </c>
      <c r="G746" s="4" t="s">
        <v>1379</v>
      </c>
      <c r="I746" s="4" t="s">
        <v>149</v>
      </c>
      <c r="J746" s="4" t="s">
        <v>1380</v>
      </c>
      <c r="K746" s="4" t="str">
        <f>IFERROR(LEFT(T_LEAVE[[#This Row],[EMPLOYEE NAME]],LEN(T_LEAVE[[#This Row],[EMPLOYEE NAME]])-3),"")</f>
        <v>TABIA, JENNIFER</v>
      </c>
      <c r="L746" s="48">
        <f>IFERROR(DATEVALUE(TEXT(RIGHT(T_LEAVE[[#This Row],[LEAVE DATE]],LEN(T_LEAVE[[#This Row],[LEAVE DATE]])-6),"[$-en-US]d-mmm-yyyy;@")),"")</f>
        <v>44262</v>
      </c>
      <c r="M746" s="4" t="str">
        <f>IFERROR(TRIM(T_LEAVE[[#This Row],[TYPE]]),"")</f>
        <v>SICK LEAVE</v>
      </c>
      <c r="N746" s="69" t="str">
        <f>IFERROR(VLOOKUP(T_LEAVE[[#This Row],[LEAVE TYPE]],T_LEAVETYPE[#All],2,0),"")</f>
        <v>SL</v>
      </c>
    </row>
    <row r="747" spans="2:14" x14ac:dyDescent="0.25">
      <c r="B747" s="93">
        <v>44264</v>
      </c>
      <c r="C747" s="48" t="s">
        <v>1373</v>
      </c>
      <c r="D747" s="48" t="s">
        <v>517</v>
      </c>
      <c r="E747" s="4" t="s">
        <v>89</v>
      </c>
      <c r="F747" s="49">
        <v>1</v>
      </c>
      <c r="G747" s="4" t="s">
        <v>547</v>
      </c>
      <c r="I747" s="4" t="s">
        <v>149</v>
      </c>
      <c r="J747" s="4" t="s">
        <v>1374</v>
      </c>
      <c r="K747" s="4" t="str">
        <f>IFERROR(LEFT(T_LEAVE[[#This Row],[EMPLOYEE NAME]],LEN(T_LEAVE[[#This Row],[EMPLOYEE NAME]])-3),"")</f>
        <v>FESTEJO, ABIEL CAMBYSES</v>
      </c>
      <c r="L747" s="48">
        <f>IFERROR(DATEVALUE(TEXT(RIGHT(T_LEAVE[[#This Row],[LEAVE DATE]],LEN(T_LEAVE[[#This Row],[LEAVE DATE]])-6),"[$-en-US]d-mmm-yyyy;@")),"")</f>
        <v>44262</v>
      </c>
      <c r="M747" s="4" t="str">
        <f>IFERROR(TRIM(T_LEAVE[[#This Row],[TYPE]]),"")</f>
        <v>SICK LEAVE</v>
      </c>
      <c r="N747" s="69" t="str">
        <f>IFERROR(VLOOKUP(T_LEAVE[[#This Row],[LEAVE TYPE]],T_LEAVETYPE[#All],2,0),"")</f>
        <v>SL</v>
      </c>
    </row>
    <row r="748" spans="2:14" x14ac:dyDescent="0.25">
      <c r="B748" s="93">
        <v>44265</v>
      </c>
      <c r="C748" s="48" t="s">
        <v>1332</v>
      </c>
      <c r="D748" s="48" t="s">
        <v>421</v>
      </c>
      <c r="E748" s="4" t="s">
        <v>89</v>
      </c>
      <c r="F748" s="49">
        <v>1</v>
      </c>
      <c r="G748" s="4" t="s">
        <v>1370</v>
      </c>
      <c r="H748" s="4" t="s">
        <v>165</v>
      </c>
      <c r="I748" s="4" t="s">
        <v>149</v>
      </c>
      <c r="J748" s="4" t="s">
        <v>1371</v>
      </c>
      <c r="K748" s="4" t="str">
        <f>IFERROR(LEFT(T_LEAVE[[#This Row],[EMPLOYEE NAME]],LEN(T_LEAVE[[#This Row],[EMPLOYEE NAME]])-3),"")</f>
        <v>DE LEON, JEFFREY</v>
      </c>
      <c r="L748" s="48">
        <f>IFERROR(DATEVALUE(TEXT(RIGHT(T_LEAVE[[#This Row],[LEAVE DATE]],LEN(T_LEAVE[[#This Row],[LEAVE DATE]])-6),"[$-en-US]d-mmm-yyyy;@")),"")</f>
        <v>44260</v>
      </c>
      <c r="M748" s="4" t="str">
        <f>IFERROR(TRIM(T_LEAVE[[#This Row],[TYPE]]),"")</f>
        <v>SICK LEAVE</v>
      </c>
      <c r="N748" s="69" t="str">
        <f>IFERROR(VLOOKUP(T_LEAVE[[#This Row],[LEAVE TYPE]],T_LEAVETYPE[#All],2,0),"")</f>
        <v>SL</v>
      </c>
    </row>
    <row r="749" spans="2:14" x14ac:dyDescent="0.25">
      <c r="B749" s="93">
        <v>44265</v>
      </c>
      <c r="C749" s="48" t="s">
        <v>1333</v>
      </c>
      <c r="D749" s="48" t="s">
        <v>421</v>
      </c>
      <c r="E749" s="4" t="s">
        <v>89</v>
      </c>
      <c r="F749" s="49">
        <v>1</v>
      </c>
      <c r="G749" s="4" t="s">
        <v>1370</v>
      </c>
      <c r="H749" s="4" t="s">
        <v>165</v>
      </c>
      <c r="I749" s="4" t="s">
        <v>149</v>
      </c>
      <c r="J749" s="4" t="s">
        <v>1371</v>
      </c>
      <c r="K749" s="4" t="str">
        <f>IFERROR(LEFT(T_LEAVE[[#This Row],[EMPLOYEE NAME]],LEN(T_LEAVE[[#This Row],[EMPLOYEE NAME]])-3),"")</f>
        <v>DE LEON, JEFFREY</v>
      </c>
      <c r="L749" s="48">
        <f>IFERROR(DATEVALUE(TEXT(RIGHT(T_LEAVE[[#This Row],[LEAVE DATE]],LEN(T_LEAVE[[#This Row],[LEAVE DATE]])-6),"[$-en-US]d-mmm-yyyy;@")),"")</f>
        <v>44261</v>
      </c>
      <c r="M749" s="4" t="str">
        <f>IFERROR(TRIM(T_LEAVE[[#This Row],[TYPE]]),"")</f>
        <v>SICK LEAVE</v>
      </c>
      <c r="N749" s="69" t="str">
        <f>IFERROR(VLOOKUP(T_LEAVE[[#This Row],[LEAVE TYPE]],T_LEAVETYPE[#All],2,0),"")</f>
        <v>SL</v>
      </c>
    </row>
    <row r="750" spans="2:14" x14ac:dyDescent="0.25">
      <c r="B750" s="93">
        <v>44268</v>
      </c>
      <c r="C750" s="48" t="s">
        <v>1363</v>
      </c>
      <c r="D750" s="48" t="s">
        <v>1412</v>
      </c>
      <c r="E750" s="4" t="s">
        <v>88</v>
      </c>
      <c r="F750" s="49">
        <v>1</v>
      </c>
      <c r="G750" s="4" t="s">
        <v>50</v>
      </c>
      <c r="I750" s="4" t="s">
        <v>149</v>
      </c>
      <c r="J750" s="4" t="s">
        <v>1413</v>
      </c>
      <c r="K750" s="4" t="str">
        <f>IFERROR(LEFT(T_LEAVE[[#This Row],[EMPLOYEE NAME]],LEN(T_LEAVE[[#This Row],[EMPLOYEE NAME]])-3),"")</f>
        <v>JOSE, DANJELO</v>
      </c>
      <c r="L750" s="48">
        <f>IFERROR(DATEVALUE(TEXT(RIGHT(T_LEAVE[[#This Row],[LEAVE DATE]],LEN(T_LEAVE[[#This Row],[LEAVE DATE]])-6),"[$-en-US]d-mmm-yyyy;@")),"")</f>
        <v>44269</v>
      </c>
      <c r="M750" s="4" t="str">
        <f>IFERROR(TRIM(T_LEAVE[[#This Row],[TYPE]]),"")</f>
        <v>VACATION LEAVE</v>
      </c>
      <c r="N750" s="69" t="str">
        <f>IFERROR(VLOOKUP(T_LEAVE[[#This Row],[LEAVE TYPE]],T_LEAVETYPE[#All],2,0),"")</f>
        <v>VL</v>
      </c>
    </row>
    <row r="751" spans="2:14" x14ac:dyDescent="0.25">
      <c r="B751" s="93">
        <v>44271</v>
      </c>
      <c r="C751" s="48" t="s">
        <v>1338</v>
      </c>
      <c r="D751" s="48" t="s">
        <v>541</v>
      </c>
      <c r="E751" s="4" t="s">
        <v>89</v>
      </c>
      <c r="F751" s="49">
        <v>1</v>
      </c>
      <c r="G751" s="4" t="s">
        <v>51</v>
      </c>
      <c r="I751" s="4" t="s">
        <v>149</v>
      </c>
      <c r="J751" s="4" t="s">
        <v>1392</v>
      </c>
      <c r="K751" s="4" t="str">
        <f>IFERROR(LEFT(T_LEAVE[[#This Row],[EMPLOYEE NAME]],LEN(T_LEAVE[[#This Row],[EMPLOYEE NAME]])-3),"")</f>
        <v>GARCINES, SHENALD</v>
      </c>
      <c r="L751" s="48">
        <f>IFERROR(DATEVALUE(TEXT(RIGHT(T_LEAVE[[#This Row],[LEAVE DATE]],LEN(T_LEAVE[[#This Row],[LEAVE DATE]])-6),"[$-en-US]d-mmm-yyyy;@")),"")</f>
        <v>44266</v>
      </c>
      <c r="M751" s="4" t="str">
        <f>IFERROR(TRIM(T_LEAVE[[#This Row],[TYPE]]),"")</f>
        <v>SICK LEAVE</v>
      </c>
      <c r="N751" s="69" t="str">
        <f>IFERROR(VLOOKUP(T_LEAVE[[#This Row],[LEAVE TYPE]],T_LEAVETYPE[#All],2,0),"")</f>
        <v>SL</v>
      </c>
    </row>
    <row r="752" spans="2:14" x14ac:dyDescent="0.25">
      <c r="B752" s="93">
        <v>44272</v>
      </c>
      <c r="C752" s="48" t="s">
        <v>1363</v>
      </c>
      <c r="D752" s="48" t="s">
        <v>950</v>
      </c>
      <c r="E752" s="4" t="s">
        <v>89</v>
      </c>
      <c r="F752" s="49">
        <v>1</v>
      </c>
      <c r="G752" s="4" t="s">
        <v>205</v>
      </c>
      <c r="I752" s="4" t="s">
        <v>149</v>
      </c>
      <c r="J752" s="4" t="s">
        <v>1418</v>
      </c>
      <c r="K752" s="4" t="str">
        <f>IFERROR(LEFT(T_LEAVE[[#This Row],[EMPLOYEE NAME]],LEN(T_LEAVE[[#This Row],[EMPLOYEE NAME]])-3),"")</f>
        <v>SANTOS, JERICK</v>
      </c>
      <c r="L752" s="48">
        <f>IFERROR(DATEVALUE(TEXT(RIGHT(T_LEAVE[[#This Row],[LEAVE DATE]],LEN(T_LEAVE[[#This Row],[LEAVE DATE]])-6),"[$-en-US]d-mmm-yyyy;@")),"")</f>
        <v>44269</v>
      </c>
      <c r="M752" s="4" t="str">
        <f>IFERROR(TRIM(T_LEAVE[[#This Row],[TYPE]]),"")</f>
        <v>SICK LEAVE</v>
      </c>
      <c r="N752" s="69" t="str">
        <f>IFERROR(VLOOKUP(T_LEAVE[[#This Row],[LEAVE TYPE]],T_LEAVETYPE[#All],2,0),"")</f>
        <v>SL</v>
      </c>
    </row>
    <row r="753" spans="2:14" x14ac:dyDescent="0.25">
      <c r="B753" s="93">
        <v>44272</v>
      </c>
      <c r="C753" s="48" t="s">
        <v>1419</v>
      </c>
      <c r="D753" s="48" t="s">
        <v>950</v>
      </c>
      <c r="E753" s="4" t="s">
        <v>89</v>
      </c>
      <c r="F753" s="49">
        <v>1</v>
      </c>
      <c r="G753" s="4" t="s">
        <v>205</v>
      </c>
      <c r="I753" s="4" t="s">
        <v>149</v>
      </c>
      <c r="J753" s="4" t="s">
        <v>1418</v>
      </c>
      <c r="K753" s="4" t="str">
        <f>IFERROR(LEFT(T_LEAVE[[#This Row],[EMPLOYEE NAME]],LEN(T_LEAVE[[#This Row],[EMPLOYEE NAME]])-3),"")</f>
        <v>SANTOS, JERICK</v>
      </c>
      <c r="L753" s="48">
        <f>IFERROR(DATEVALUE(TEXT(RIGHT(T_LEAVE[[#This Row],[LEAVE DATE]],LEN(T_LEAVE[[#This Row],[LEAVE DATE]])-6),"[$-en-US]d-mmm-yyyy;@")),"")</f>
        <v>44270</v>
      </c>
      <c r="M753" s="4" t="str">
        <f>IFERROR(TRIM(T_LEAVE[[#This Row],[TYPE]]),"")</f>
        <v>SICK LEAVE</v>
      </c>
      <c r="N753" s="69" t="str">
        <f>IFERROR(VLOOKUP(T_LEAVE[[#This Row],[LEAVE TYPE]],T_LEAVETYPE[#All],2,0),"")</f>
        <v>SL</v>
      </c>
    </row>
    <row r="754" spans="2:14" x14ac:dyDescent="0.25">
      <c r="B754" s="93">
        <v>44274</v>
      </c>
      <c r="C754" s="48" t="s">
        <v>1335</v>
      </c>
      <c r="D754" s="48" t="s">
        <v>256</v>
      </c>
      <c r="E754" s="4" t="s">
        <v>89</v>
      </c>
      <c r="F754" s="49">
        <v>1</v>
      </c>
      <c r="G754" s="4" t="s">
        <v>1381</v>
      </c>
      <c r="H754" s="4" t="s">
        <v>165</v>
      </c>
      <c r="I754" s="4" t="s">
        <v>149</v>
      </c>
      <c r="J754" s="4" t="s">
        <v>1382</v>
      </c>
      <c r="K754" s="4" t="str">
        <f>IFERROR(LEFT(T_LEAVE[[#This Row],[EMPLOYEE NAME]],LEN(T_LEAVE[[#This Row],[EMPLOYEE NAME]])-3),"")</f>
        <v>BALICAS, IRISH ANN</v>
      </c>
      <c r="L754" s="48">
        <f>IFERROR(DATEVALUE(TEXT(RIGHT(T_LEAVE[[#This Row],[LEAVE DATE]],LEN(T_LEAVE[[#This Row],[LEAVE DATE]])-6),"[$-en-US]d-mmm-yyyy;@")),"")</f>
        <v>44264</v>
      </c>
      <c r="M754" s="4" t="str">
        <f>IFERROR(TRIM(T_LEAVE[[#This Row],[TYPE]]),"")</f>
        <v>SICK LEAVE</v>
      </c>
      <c r="N754" s="69" t="str">
        <f>IFERROR(VLOOKUP(T_LEAVE[[#This Row],[LEAVE TYPE]],T_LEAVETYPE[#All],2,0),"")</f>
        <v>SL</v>
      </c>
    </row>
    <row r="755" spans="2:14" x14ac:dyDescent="0.25">
      <c r="B755" s="93">
        <v>44274</v>
      </c>
      <c r="C755" s="48" t="s">
        <v>1337</v>
      </c>
      <c r="D755" s="48" t="s">
        <v>256</v>
      </c>
      <c r="E755" s="4" t="s">
        <v>89</v>
      </c>
      <c r="F755" s="49">
        <v>1</v>
      </c>
      <c r="G755" s="4" t="s">
        <v>1381</v>
      </c>
      <c r="H755" s="4" t="s">
        <v>165</v>
      </c>
      <c r="I755" s="4" t="s">
        <v>149</v>
      </c>
      <c r="J755" s="4" t="s">
        <v>1383</v>
      </c>
      <c r="K755" s="4" t="str">
        <f>IFERROR(LEFT(T_LEAVE[[#This Row],[EMPLOYEE NAME]],LEN(T_LEAVE[[#This Row],[EMPLOYEE NAME]])-3),"")</f>
        <v>BALICAS, IRISH ANN</v>
      </c>
      <c r="L755" s="48">
        <f>IFERROR(DATEVALUE(TEXT(RIGHT(T_LEAVE[[#This Row],[LEAVE DATE]],LEN(T_LEAVE[[#This Row],[LEAVE DATE]])-6),"[$-en-US]d-mmm-yyyy;@")),"")</f>
        <v>44265</v>
      </c>
      <c r="M755" s="4" t="str">
        <f>IFERROR(TRIM(T_LEAVE[[#This Row],[TYPE]]),"")</f>
        <v>SICK LEAVE</v>
      </c>
      <c r="N755" s="69" t="str">
        <f>IFERROR(VLOOKUP(T_LEAVE[[#This Row],[LEAVE TYPE]],T_LEAVETYPE[#All],2,0),"")</f>
        <v>SL</v>
      </c>
    </row>
    <row r="756" spans="2:14" x14ac:dyDescent="0.25">
      <c r="B756" s="93">
        <v>44274</v>
      </c>
      <c r="C756" s="48" t="s">
        <v>1338</v>
      </c>
      <c r="D756" s="48" t="s">
        <v>256</v>
      </c>
      <c r="E756" s="4" t="s">
        <v>89</v>
      </c>
      <c r="F756" s="49">
        <v>1</v>
      </c>
      <c r="G756" s="4" t="s">
        <v>1381</v>
      </c>
      <c r="H756" s="4" t="s">
        <v>165</v>
      </c>
      <c r="I756" s="4" t="s">
        <v>149</v>
      </c>
      <c r="J756" s="4" t="s">
        <v>1383</v>
      </c>
      <c r="K756" s="4" t="str">
        <f>IFERROR(LEFT(T_LEAVE[[#This Row],[EMPLOYEE NAME]],LEN(T_LEAVE[[#This Row],[EMPLOYEE NAME]])-3),"")</f>
        <v>BALICAS, IRISH ANN</v>
      </c>
      <c r="L756" s="48">
        <f>IFERROR(DATEVALUE(TEXT(RIGHT(T_LEAVE[[#This Row],[LEAVE DATE]],LEN(T_LEAVE[[#This Row],[LEAVE DATE]])-6),"[$-en-US]d-mmm-yyyy;@")),"")</f>
        <v>44266</v>
      </c>
      <c r="M756" s="4" t="str">
        <f>IFERROR(TRIM(T_LEAVE[[#This Row],[TYPE]]),"")</f>
        <v>SICK LEAVE</v>
      </c>
      <c r="N756" s="69" t="str">
        <f>IFERROR(VLOOKUP(T_LEAVE[[#This Row],[LEAVE TYPE]],T_LEAVETYPE[#All],2,0),"")</f>
        <v>SL</v>
      </c>
    </row>
    <row r="757" spans="2:14" x14ac:dyDescent="0.25">
      <c r="B757" s="93">
        <v>44274</v>
      </c>
      <c r="C757" s="48" t="s">
        <v>1339</v>
      </c>
      <c r="D757" s="48" t="s">
        <v>256</v>
      </c>
      <c r="E757" s="4" t="s">
        <v>89</v>
      </c>
      <c r="F757" s="49">
        <v>1</v>
      </c>
      <c r="G757" s="4" t="s">
        <v>1381</v>
      </c>
      <c r="H757" s="4" t="s">
        <v>165</v>
      </c>
      <c r="I757" s="4" t="s">
        <v>149</v>
      </c>
      <c r="J757" s="4" t="s">
        <v>1383</v>
      </c>
      <c r="K757" s="4" t="str">
        <f>IFERROR(LEFT(T_LEAVE[[#This Row],[EMPLOYEE NAME]],LEN(T_LEAVE[[#This Row],[EMPLOYEE NAME]])-3),"")</f>
        <v>BALICAS, IRISH ANN</v>
      </c>
      <c r="L757" s="48">
        <f>IFERROR(DATEVALUE(TEXT(RIGHT(T_LEAVE[[#This Row],[LEAVE DATE]],LEN(T_LEAVE[[#This Row],[LEAVE DATE]])-6),"[$-en-US]d-mmm-yyyy;@")),"")</f>
        <v>44267</v>
      </c>
      <c r="M757" s="4" t="str">
        <f>IFERROR(TRIM(T_LEAVE[[#This Row],[TYPE]]),"")</f>
        <v>SICK LEAVE</v>
      </c>
      <c r="N757" s="69" t="str">
        <f>IFERROR(VLOOKUP(T_LEAVE[[#This Row],[LEAVE TYPE]],T_LEAVETYPE[#All],2,0),"")</f>
        <v>SL</v>
      </c>
    </row>
    <row r="758" spans="2:14" x14ac:dyDescent="0.25">
      <c r="B758" s="93">
        <v>44274</v>
      </c>
      <c r="C758" s="48" t="s">
        <v>1337</v>
      </c>
      <c r="D758" s="48" t="s">
        <v>1384</v>
      </c>
      <c r="E758" s="4" t="s">
        <v>89</v>
      </c>
      <c r="F758" s="49">
        <v>1</v>
      </c>
      <c r="G758" s="4" t="s">
        <v>1385</v>
      </c>
      <c r="I758" s="4" t="s">
        <v>149</v>
      </c>
      <c r="J758" s="4" t="s">
        <v>1386</v>
      </c>
      <c r="K758" s="4" t="str">
        <f>IFERROR(LEFT(T_LEAVE[[#This Row],[EMPLOYEE NAME]],LEN(T_LEAVE[[#This Row],[EMPLOYEE NAME]])-3),"")</f>
        <v>CHUA, BERNARD</v>
      </c>
      <c r="L758" s="48">
        <f>IFERROR(DATEVALUE(TEXT(RIGHT(T_LEAVE[[#This Row],[LEAVE DATE]],LEN(T_LEAVE[[#This Row],[LEAVE DATE]])-6),"[$-en-US]d-mmm-yyyy;@")),"")</f>
        <v>44265</v>
      </c>
      <c r="M758" s="4" t="str">
        <f>IFERROR(TRIM(T_LEAVE[[#This Row],[TYPE]]),"")</f>
        <v>SICK LEAVE</v>
      </c>
      <c r="N758" s="69" t="str">
        <f>IFERROR(VLOOKUP(T_LEAVE[[#This Row],[LEAVE TYPE]],T_LEAVETYPE[#All],2,0),"")</f>
        <v>SL</v>
      </c>
    </row>
    <row r="759" spans="2:14" x14ac:dyDescent="0.25">
      <c r="B759" s="93">
        <v>44275</v>
      </c>
      <c r="C759" s="48" t="s">
        <v>1414</v>
      </c>
      <c r="D759" s="48" t="s">
        <v>777</v>
      </c>
      <c r="E759" s="4" t="s">
        <v>88</v>
      </c>
      <c r="F759" s="49">
        <v>1</v>
      </c>
      <c r="G759" s="4" t="s">
        <v>1415</v>
      </c>
      <c r="H759" s="4" t="s">
        <v>165</v>
      </c>
      <c r="I759" s="4" t="s">
        <v>149</v>
      </c>
      <c r="J759" s="4" t="s">
        <v>1413</v>
      </c>
      <c r="K759" s="4" t="str">
        <f>IFERROR(LEFT(T_LEAVE[[#This Row],[EMPLOYEE NAME]],LEN(T_LEAVE[[#This Row],[EMPLOYEE NAME]])-3),"")</f>
        <v>MACALALAD, ANAMARIE</v>
      </c>
      <c r="L759" s="48">
        <f>IFERROR(DATEVALUE(TEXT(RIGHT(T_LEAVE[[#This Row],[LEAVE DATE]],LEN(T_LEAVE[[#This Row],[LEAVE DATE]])-6),"[$-en-US]d-mmm-yyyy;@")),"")</f>
        <v>44276</v>
      </c>
      <c r="M759" s="4" t="str">
        <f>IFERROR(TRIM(T_LEAVE[[#This Row],[TYPE]]),"")</f>
        <v>VACATION LEAVE</v>
      </c>
      <c r="N759" s="69" t="str">
        <f>IFERROR(VLOOKUP(T_LEAVE[[#This Row],[LEAVE TYPE]],T_LEAVETYPE[#All],2,0),"")</f>
        <v>VL</v>
      </c>
    </row>
    <row r="760" spans="2:14" x14ac:dyDescent="0.25">
      <c r="B760" s="93">
        <v>44278</v>
      </c>
      <c r="C760" s="48" t="s">
        <v>1342</v>
      </c>
      <c r="D760" s="48" t="s">
        <v>847</v>
      </c>
      <c r="E760" s="4" t="s">
        <v>89</v>
      </c>
      <c r="F760" s="49">
        <v>1</v>
      </c>
      <c r="G760" s="4" t="s">
        <v>1416</v>
      </c>
      <c r="I760" s="4" t="s">
        <v>149</v>
      </c>
      <c r="J760" s="4" t="s">
        <v>1417</v>
      </c>
      <c r="K760" s="4" t="str">
        <f>IFERROR(LEFT(T_LEAVE[[#This Row],[EMPLOYEE NAME]],LEN(T_LEAVE[[#This Row],[EMPLOYEE NAME]])-3),"")</f>
        <v>MATIGNAS, JAYDEE</v>
      </c>
      <c r="L760" s="48">
        <f>IFERROR(DATEVALUE(TEXT(RIGHT(T_LEAVE[[#This Row],[LEAVE DATE]],LEN(T_LEAVE[[#This Row],[LEAVE DATE]])-6),"[$-en-US]d-mmm-yyyy;@")),"")</f>
        <v>44272</v>
      </c>
      <c r="M760" s="4" t="str">
        <f>IFERROR(TRIM(T_LEAVE[[#This Row],[TYPE]]),"")</f>
        <v>SICK LEAVE</v>
      </c>
      <c r="N760" s="69" t="str">
        <f>IFERROR(VLOOKUP(T_LEAVE[[#This Row],[LEAVE TYPE]],T_LEAVETYPE[#All],2,0),"")</f>
        <v>SL</v>
      </c>
    </row>
    <row r="761" spans="2:14" x14ac:dyDescent="0.25">
      <c r="B761" s="93">
        <v>44279</v>
      </c>
      <c r="C761" s="48" t="s">
        <v>1414</v>
      </c>
      <c r="D761" s="48" t="s">
        <v>971</v>
      </c>
      <c r="E761" s="4" t="s">
        <v>88</v>
      </c>
      <c r="F761" s="49">
        <v>1</v>
      </c>
      <c r="G761" s="4" t="s">
        <v>411</v>
      </c>
      <c r="I761" s="4" t="s">
        <v>149</v>
      </c>
      <c r="J761" s="4" t="s">
        <v>1420</v>
      </c>
      <c r="K761" s="4" t="str">
        <f>IFERROR(LEFT(T_LEAVE[[#This Row],[EMPLOYEE NAME]],LEN(T_LEAVE[[#This Row],[EMPLOYEE NAME]])-3),"")</f>
        <v>TABIA, JENNIFER</v>
      </c>
      <c r="L761" s="48">
        <f>IFERROR(DATEVALUE(TEXT(RIGHT(T_LEAVE[[#This Row],[LEAVE DATE]],LEN(T_LEAVE[[#This Row],[LEAVE DATE]])-6),"[$-en-US]d-mmm-yyyy;@")),"")</f>
        <v>44276</v>
      </c>
      <c r="M761" s="4" t="str">
        <f>IFERROR(TRIM(T_LEAVE[[#This Row],[TYPE]]),"")</f>
        <v>VACATION LEAVE</v>
      </c>
      <c r="N761" s="69" t="str">
        <f>IFERROR(VLOOKUP(T_LEAVE[[#This Row],[LEAVE TYPE]],T_LEAVETYPE[#All],2,0),"")</f>
        <v>VL</v>
      </c>
    </row>
    <row r="762" spans="2:14" x14ac:dyDescent="0.25">
      <c r="B762" s="93">
        <v>44279</v>
      </c>
      <c r="C762" s="48" t="s">
        <v>1425</v>
      </c>
      <c r="D762" s="48" t="s">
        <v>1352</v>
      </c>
      <c r="E762" s="4" t="s">
        <v>89</v>
      </c>
      <c r="F762" s="49">
        <v>1</v>
      </c>
      <c r="G762" s="4" t="s">
        <v>547</v>
      </c>
      <c r="I762" s="4" t="s">
        <v>149</v>
      </c>
      <c r="J762" s="4" t="s">
        <v>1420</v>
      </c>
      <c r="K762" s="4" t="str">
        <f>IFERROR(LEFT(T_LEAVE[[#This Row],[EMPLOYEE NAME]],LEN(T_LEAVE[[#This Row],[EMPLOYEE NAME]])-3),"")</f>
        <v>VILLANUEVA, EUGENIO</v>
      </c>
      <c r="L762" s="48">
        <f>IFERROR(DATEVALUE(TEXT(RIGHT(T_LEAVE[[#This Row],[LEAVE DATE]],LEN(T_LEAVE[[#This Row],[LEAVE DATE]])-6),"[$-en-US]d-mmm-yyyy;@")),"")</f>
        <v>44277</v>
      </c>
      <c r="M762" s="4" t="str">
        <f>IFERROR(TRIM(T_LEAVE[[#This Row],[TYPE]]),"")</f>
        <v>SICK LEAVE</v>
      </c>
      <c r="N762" s="69" t="str">
        <f>IFERROR(VLOOKUP(T_LEAVE[[#This Row],[LEAVE TYPE]],T_LEAVETYPE[#All],2,0),"")</f>
        <v>SL</v>
      </c>
    </row>
    <row r="763" spans="2:14" x14ac:dyDescent="0.25">
      <c r="B763" s="93">
        <v>44283</v>
      </c>
      <c r="C763" s="48" t="s">
        <v>1387</v>
      </c>
      <c r="D763" s="48" t="s">
        <v>480</v>
      </c>
      <c r="E763" s="4" t="s">
        <v>88</v>
      </c>
      <c r="F763" s="49">
        <v>1</v>
      </c>
      <c r="G763" s="4" t="s">
        <v>1388</v>
      </c>
      <c r="I763" s="4" t="s">
        <v>149</v>
      </c>
      <c r="J763" s="4" t="s">
        <v>1389</v>
      </c>
      <c r="K763" s="4" t="str">
        <f>IFERROR(LEFT(T_LEAVE[[#This Row],[EMPLOYEE NAME]],LEN(T_LEAVE[[#This Row],[EMPLOYEE NAME]])-3),"")</f>
        <v>DELA CRUZ, R-JOHN</v>
      </c>
      <c r="L763" s="48">
        <f>IFERROR(DATEVALUE(TEXT(RIGHT(T_LEAVE[[#This Row],[LEAVE DATE]],LEN(T_LEAVE[[#This Row],[LEAVE DATE]])-6),"[$-en-US]d-mmm-yyyy;@")),"")</f>
        <v>44281</v>
      </c>
      <c r="M763" s="4" t="str">
        <f>IFERROR(TRIM(T_LEAVE[[#This Row],[TYPE]]),"")</f>
        <v>VACATION LEAVE</v>
      </c>
      <c r="N763" s="69" t="str">
        <f>IFERROR(VLOOKUP(T_LEAVE[[#This Row],[LEAVE TYPE]],T_LEAVETYPE[#All],2,0),"")</f>
        <v>VL</v>
      </c>
    </row>
    <row r="764" spans="2:14" x14ac:dyDescent="0.25">
      <c r="B764" s="93">
        <v>44283</v>
      </c>
      <c r="C764" s="48" t="s">
        <v>1390</v>
      </c>
      <c r="D764" s="48" t="s">
        <v>480</v>
      </c>
      <c r="E764" s="4" t="s">
        <v>88</v>
      </c>
      <c r="F764" s="49">
        <v>1</v>
      </c>
      <c r="G764" s="4" t="s">
        <v>1388</v>
      </c>
      <c r="I764" s="4" t="s">
        <v>149</v>
      </c>
      <c r="J764" s="4" t="s">
        <v>1391</v>
      </c>
      <c r="K764" s="4" t="str">
        <f>IFERROR(LEFT(T_LEAVE[[#This Row],[EMPLOYEE NAME]],LEN(T_LEAVE[[#This Row],[EMPLOYEE NAME]])-3),"")</f>
        <v>DELA CRUZ, R-JOHN</v>
      </c>
      <c r="L764" s="48">
        <f>IFERROR(DATEVALUE(TEXT(RIGHT(T_LEAVE[[#This Row],[LEAVE DATE]],LEN(T_LEAVE[[#This Row],[LEAVE DATE]])-6),"[$-en-US]d-mmm-yyyy;@")),"")</f>
        <v>44282</v>
      </c>
      <c r="M764" s="4" t="str">
        <f>IFERROR(TRIM(T_LEAVE[[#This Row],[TYPE]]),"")</f>
        <v>VACATION LEAVE</v>
      </c>
      <c r="N764" s="69" t="str">
        <f>IFERROR(VLOOKUP(T_LEAVE[[#This Row],[LEAVE TYPE]],T_LEAVETYPE[#All],2,0),"")</f>
        <v>VL</v>
      </c>
    </row>
    <row r="765" spans="2:14" x14ac:dyDescent="0.25">
      <c r="B765" s="93">
        <v>44286</v>
      </c>
      <c r="C765" s="48" t="s">
        <v>1390</v>
      </c>
      <c r="D765" s="48" t="s">
        <v>971</v>
      </c>
      <c r="E765" s="4" t="s">
        <v>89</v>
      </c>
      <c r="F765" s="49">
        <v>1</v>
      </c>
      <c r="G765" s="4" t="s">
        <v>1421</v>
      </c>
      <c r="I765" s="4" t="s">
        <v>149</v>
      </c>
      <c r="J765" s="4" t="s">
        <v>1422</v>
      </c>
      <c r="K765" s="4" t="str">
        <f>IFERROR(LEFT(T_LEAVE[[#This Row],[EMPLOYEE NAME]],LEN(T_LEAVE[[#This Row],[EMPLOYEE NAME]])-3),"")</f>
        <v>TABIA, JENNIFER</v>
      </c>
      <c r="L765" s="48">
        <f>IFERROR(DATEVALUE(TEXT(RIGHT(T_LEAVE[[#This Row],[LEAVE DATE]],LEN(T_LEAVE[[#This Row],[LEAVE DATE]])-6),"[$-en-US]d-mmm-yyyy;@")),"")</f>
        <v>44282</v>
      </c>
      <c r="M765" s="4" t="str">
        <f>IFERROR(TRIM(T_LEAVE[[#This Row],[TYPE]]),"")</f>
        <v>SICK LEAVE</v>
      </c>
      <c r="N765" s="69" t="str">
        <f>IFERROR(VLOOKUP(T_LEAVE[[#This Row],[LEAVE TYPE]],T_LEAVETYPE[#All],2,0),"")</f>
        <v>SL</v>
      </c>
    </row>
    <row r="766" spans="2:14" x14ac:dyDescent="0.25">
      <c r="B766" s="93">
        <v>44286</v>
      </c>
      <c r="C766" s="48" t="s">
        <v>1423</v>
      </c>
      <c r="D766" s="48" t="s">
        <v>971</v>
      </c>
      <c r="E766" s="4" t="s">
        <v>89</v>
      </c>
      <c r="F766" s="49">
        <v>1</v>
      </c>
      <c r="G766" s="4" t="s">
        <v>1424</v>
      </c>
      <c r="I766" s="4" t="s">
        <v>149</v>
      </c>
      <c r="J766" s="4" t="s">
        <v>1422</v>
      </c>
      <c r="K766" s="4" t="str">
        <f>IFERROR(LEFT(T_LEAVE[[#This Row],[EMPLOYEE NAME]],LEN(T_LEAVE[[#This Row],[EMPLOYEE NAME]])-3),"")</f>
        <v>TABIA, JENNIFER</v>
      </c>
      <c r="L766" s="48">
        <f>IFERROR(DATEVALUE(TEXT(RIGHT(T_LEAVE[[#This Row],[LEAVE DATE]],LEN(T_LEAVE[[#This Row],[LEAVE DATE]])-6),"[$-en-US]d-mmm-yyyy;@")),"")</f>
        <v>44284</v>
      </c>
      <c r="M766" s="4" t="str">
        <f>IFERROR(TRIM(T_LEAVE[[#This Row],[TYPE]]),"")</f>
        <v>SICK LEAVE</v>
      </c>
      <c r="N766" s="69" t="str">
        <f>IFERROR(VLOOKUP(T_LEAVE[[#This Row],[LEAVE TYPE]],T_LEAVETYPE[#All],2,0),"")</f>
        <v>SL</v>
      </c>
    </row>
    <row r="767" spans="2:14" x14ac:dyDescent="0.25">
      <c r="B767" s="93"/>
      <c r="K767" s="4" t="str">
        <f>IFERROR(LEFT(T_LEAVE[[#This Row],[EMPLOYEE NAME]],LEN(T_LEAVE[[#This Row],[EMPLOYEE NAME]])-3),"")</f>
        <v/>
      </c>
      <c r="L767" s="48" t="str">
        <f>IFERROR(DATEVALUE(TEXT(RIGHT(T_LEAVE[[#This Row],[LEAVE DATE]],LEN(T_LEAVE[[#This Row],[LEAVE DATE]])-6),"[$-en-US]d-mmm-yyyy;@")),"")</f>
        <v/>
      </c>
      <c r="M767" s="4" t="str">
        <f>IFERROR(TRIM(T_LEAVE[[#This Row],[TYPE]]),"")</f>
        <v/>
      </c>
      <c r="N767" s="69" t="str">
        <f>IFERROR(VLOOKUP(T_LEAVE[[#This Row],[LEAVE TYPE]],T_LEAVETYPE[#All],2,0),"")</f>
        <v/>
      </c>
    </row>
    <row r="768" spans="2:14" x14ac:dyDescent="0.25">
      <c r="B768" s="93"/>
      <c r="K768" s="4" t="str">
        <f>IFERROR(LEFT(T_LEAVE[[#This Row],[EMPLOYEE NAME]],LEN(T_LEAVE[[#This Row],[EMPLOYEE NAME]])-3),"")</f>
        <v/>
      </c>
      <c r="L768" s="48" t="str">
        <f>IFERROR(DATEVALUE(TEXT(RIGHT(T_LEAVE[[#This Row],[LEAVE DATE]],LEN(T_LEAVE[[#This Row],[LEAVE DATE]])-6),"[$-en-US]d-mmm-yyyy;@")),"")</f>
        <v/>
      </c>
      <c r="M768" s="4" t="str">
        <f>IFERROR(TRIM(T_LEAVE[[#This Row],[TYPE]]),"")</f>
        <v/>
      </c>
      <c r="N768" s="69" t="str">
        <f>IFERROR(VLOOKUP(T_LEAVE[[#This Row],[LEAVE TYPE]],T_LEAVETYPE[#All],2,0),"")</f>
        <v/>
      </c>
    </row>
    <row r="769" spans="2:14" x14ac:dyDescent="0.25">
      <c r="B769" s="93"/>
      <c r="K769" s="4" t="str">
        <f>IFERROR(LEFT(T_LEAVE[[#This Row],[EMPLOYEE NAME]],LEN(T_LEAVE[[#This Row],[EMPLOYEE NAME]])-3),"")</f>
        <v/>
      </c>
      <c r="L769" s="48" t="str">
        <f>IFERROR(DATEVALUE(TEXT(RIGHT(T_LEAVE[[#This Row],[LEAVE DATE]],LEN(T_LEAVE[[#This Row],[LEAVE DATE]])-6),"[$-en-US]d-mmm-yyyy;@")),"")</f>
        <v/>
      </c>
      <c r="M769" s="4" t="str">
        <f>IFERROR(TRIM(T_LEAVE[[#This Row],[TYPE]]),"")</f>
        <v/>
      </c>
      <c r="N769" s="69" t="str">
        <f>IFERROR(VLOOKUP(T_LEAVE[[#This Row],[LEAVE TYPE]],T_LEAVETYPE[#All],2,0),"")</f>
        <v/>
      </c>
    </row>
    <row r="770" spans="2:14" x14ac:dyDescent="0.25">
      <c r="B770" s="93"/>
      <c r="K770" s="4" t="str">
        <f>IFERROR(LEFT(T_LEAVE[[#This Row],[EMPLOYEE NAME]],LEN(T_LEAVE[[#This Row],[EMPLOYEE NAME]])-3),"")</f>
        <v/>
      </c>
      <c r="L770" s="48" t="str">
        <f>IFERROR(DATEVALUE(TEXT(RIGHT(T_LEAVE[[#This Row],[LEAVE DATE]],LEN(T_LEAVE[[#This Row],[LEAVE DATE]])-6),"[$-en-US]d-mmm-yyyy;@")),"")</f>
        <v/>
      </c>
      <c r="M770" s="4" t="str">
        <f>IFERROR(TRIM(T_LEAVE[[#This Row],[TYPE]]),"")</f>
        <v/>
      </c>
      <c r="N770" s="69" t="str">
        <f>IFERROR(VLOOKUP(T_LEAVE[[#This Row],[LEAVE TYPE]],T_LEAVETYPE[#All],2,0),"")</f>
        <v/>
      </c>
    </row>
    <row r="771" spans="2:14" x14ac:dyDescent="0.25">
      <c r="B771" s="93"/>
      <c r="K771" s="4" t="str">
        <f>IFERROR(LEFT(T_LEAVE[[#This Row],[EMPLOYEE NAME]],LEN(T_LEAVE[[#This Row],[EMPLOYEE NAME]])-3),"")</f>
        <v/>
      </c>
      <c r="L771" s="48" t="str">
        <f>IFERROR(DATEVALUE(TEXT(RIGHT(T_LEAVE[[#This Row],[LEAVE DATE]],LEN(T_LEAVE[[#This Row],[LEAVE DATE]])-6),"[$-en-US]d-mmm-yyyy;@")),"")</f>
        <v/>
      </c>
      <c r="M771" s="4" t="str">
        <f>IFERROR(TRIM(T_LEAVE[[#This Row],[TYPE]]),"")</f>
        <v/>
      </c>
      <c r="N771" s="69" t="str">
        <f>IFERROR(VLOOKUP(T_LEAVE[[#This Row],[LEAVE TYPE]],T_LEAVETYPE[#All],2,0),"")</f>
        <v/>
      </c>
    </row>
    <row r="772" spans="2:14" x14ac:dyDescent="0.25">
      <c r="B772" s="93"/>
      <c r="K772" s="4" t="str">
        <f>IFERROR(LEFT(T_LEAVE[[#This Row],[EMPLOYEE NAME]],LEN(T_LEAVE[[#This Row],[EMPLOYEE NAME]])-3),"")</f>
        <v/>
      </c>
      <c r="L772" s="48" t="str">
        <f>IFERROR(DATEVALUE(TEXT(RIGHT(T_LEAVE[[#This Row],[LEAVE DATE]],LEN(T_LEAVE[[#This Row],[LEAVE DATE]])-6),"[$-en-US]d-mmm-yyyy;@")),"")</f>
        <v/>
      </c>
      <c r="M772" s="4" t="str">
        <f>IFERROR(TRIM(T_LEAVE[[#This Row],[TYPE]]),"")</f>
        <v/>
      </c>
      <c r="N772" s="69" t="str">
        <f>IFERROR(VLOOKUP(T_LEAVE[[#This Row],[LEAVE TYPE]],T_LEAVETYPE[#All],2,0),"")</f>
        <v/>
      </c>
    </row>
    <row r="773" spans="2:14" x14ac:dyDescent="0.25">
      <c r="B773" s="93"/>
      <c r="K773" s="4" t="str">
        <f>IFERROR(LEFT(T_LEAVE[[#This Row],[EMPLOYEE NAME]],LEN(T_LEAVE[[#This Row],[EMPLOYEE NAME]])-3),"")</f>
        <v/>
      </c>
      <c r="L773" s="48" t="str">
        <f>IFERROR(DATEVALUE(TEXT(RIGHT(T_LEAVE[[#This Row],[LEAVE DATE]],LEN(T_LEAVE[[#This Row],[LEAVE DATE]])-6),"[$-en-US]d-mmm-yyyy;@")),"")</f>
        <v/>
      </c>
      <c r="M773" s="4" t="str">
        <f>IFERROR(TRIM(T_LEAVE[[#This Row],[TYPE]]),"")</f>
        <v/>
      </c>
      <c r="N773" s="69" t="str">
        <f>IFERROR(VLOOKUP(T_LEAVE[[#This Row],[LEAVE TYPE]],T_LEAVETYPE[#All],2,0),"")</f>
        <v/>
      </c>
    </row>
    <row r="774" spans="2:14" x14ac:dyDescent="0.25">
      <c r="B774" s="93"/>
      <c r="K774" s="4" t="str">
        <f>IFERROR(LEFT(T_LEAVE[[#This Row],[EMPLOYEE NAME]],LEN(T_LEAVE[[#This Row],[EMPLOYEE NAME]])-3),"")</f>
        <v/>
      </c>
      <c r="L774" s="48" t="str">
        <f>IFERROR(DATEVALUE(TEXT(RIGHT(T_LEAVE[[#This Row],[LEAVE DATE]],LEN(T_LEAVE[[#This Row],[LEAVE DATE]])-6),"[$-en-US]d-mmm-yyyy;@")),"")</f>
        <v/>
      </c>
      <c r="M774" s="4" t="str">
        <f>IFERROR(TRIM(T_LEAVE[[#This Row],[TYPE]]),"")</f>
        <v/>
      </c>
      <c r="N774" s="69" t="str">
        <f>IFERROR(VLOOKUP(T_LEAVE[[#This Row],[LEAVE TYPE]],T_LEAVETYPE[#All],2,0),"")</f>
        <v/>
      </c>
    </row>
    <row r="775" spans="2:14" x14ac:dyDescent="0.25">
      <c r="B775" s="93"/>
      <c r="K775" s="4" t="str">
        <f>IFERROR(LEFT(T_LEAVE[[#This Row],[EMPLOYEE NAME]],LEN(T_LEAVE[[#This Row],[EMPLOYEE NAME]])-3),"")</f>
        <v/>
      </c>
      <c r="L775" s="48" t="str">
        <f>IFERROR(DATEVALUE(TEXT(RIGHT(T_LEAVE[[#This Row],[LEAVE DATE]],LEN(T_LEAVE[[#This Row],[LEAVE DATE]])-6),"[$-en-US]d-mmm-yyyy;@")),"")</f>
        <v/>
      </c>
      <c r="M775" s="4" t="str">
        <f>IFERROR(TRIM(T_LEAVE[[#This Row],[TYPE]]),"")</f>
        <v/>
      </c>
      <c r="N775" s="69" t="str">
        <f>IFERROR(VLOOKUP(T_LEAVE[[#This Row],[LEAVE TYPE]],T_LEAVETYPE[#All],2,0),"")</f>
        <v/>
      </c>
    </row>
    <row r="776" spans="2:14" x14ac:dyDescent="0.25">
      <c r="B776" s="93"/>
      <c r="K776" s="4" t="str">
        <f>IFERROR(LEFT(T_LEAVE[[#This Row],[EMPLOYEE NAME]],LEN(T_LEAVE[[#This Row],[EMPLOYEE NAME]])-3),"")</f>
        <v/>
      </c>
      <c r="L776" s="48" t="str">
        <f>IFERROR(DATEVALUE(TEXT(RIGHT(T_LEAVE[[#This Row],[LEAVE DATE]],LEN(T_LEAVE[[#This Row],[LEAVE DATE]])-6),"[$-en-US]d-mmm-yyyy;@")),"")</f>
        <v/>
      </c>
      <c r="M776" s="4" t="str">
        <f>IFERROR(TRIM(T_LEAVE[[#This Row],[TYPE]]),"")</f>
        <v/>
      </c>
      <c r="N776" s="69" t="str">
        <f>IFERROR(VLOOKUP(T_LEAVE[[#This Row],[LEAVE TYPE]],T_LEAVETYPE[#All],2,0),"")</f>
        <v/>
      </c>
    </row>
    <row r="777" spans="2:14" x14ac:dyDescent="0.25">
      <c r="B777" s="93"/>
      <c r="K777" s="4" t="str">
        <f>IFERROR(LEFT(T_LEAVE[[#This Row],[EMPLOYEE NAME]],LEN(T_LEAVE[[#This Row],[EMPLOYEE NAME]])-3),"")</f>
        <v/>
      </c>
      <c r="L777" s="48" t="str">
        <f>IFERROR(DATEVALUE(TEXT(RIGHT(T_LEAVE[[#This Row],[LEAVE DATE]],LEN(T_LEAVE[[#This Row],[LEAVE DATE]])-6),"[$-en-US]d-mmm-yyyy;@")),"")</f>
        <v/>
      </c>
      <c r="M777" s="4" t="str">
        <f>IFERROR(TRIM(T_LEAVE[[#This Row],[TYPE]]),"")</f>
        <v/>
      </c>
      <c r="N777" s="69" t="str">
        <f>IFERROR(VLOOKUP(T_LEAVE[[#This Row],[LEAVE TYPE]],T_LEAVETYPE[#All],2,0),"")</f>
        <v/>
      </c>
    </row>
    <row r="778" spans="2:14" x14ac:dyDescent="0.25">
      <c r="B778" s="93"/>
      <c r="K778" s="4" t="str">
        <f>IFERROR(LEFT(T_LEAVE[[#This Row],[EMPLOYEE NAME]],LEN(T_LEAVE[[#This Row],[EMPLOYEE NAME]])-3),"")</f>
        <v/>
      </c>
      <c r="L778" s="48" t="str">
        <f>IFERROR(DATEVALUE(TEXT(RIGHT(T_LEAVE[[#This Row],[LEAVE DATE]],LEN(T_LEAVE[[#This Row],[LEAVE DATE]])-6),"[$-en-US]d-mmm-yyyy;@")),"")</f>
        <v/>
      </c>
      <c r="M778" s="4" t="str">
        <f>IFERROR(TRIM(T_LEAVE[[#This Row],[TYPE]]),"")</f>
        <v/>
      </c>
      <c r="N778" s="69" t="str">
        <f>IFERROR(VLOOKUP(T_LEAVE[[#This Row],[LEAVE TYPE]],T_LEAVETYPE[#All],2,0),"")</f>
        <v/>
      </c>
    </row>
    <row r="779" spans="2:14" x14ac:dyDescent="0.25">
      <c r="B779" s="93"/>
      <c r="K779" s="4" t="str">
        <f>IFERROR(LEFT(T_LEAVE[[#This Row],[EMPLOYEE NAME]],LEN(T_LEAVE[[#This Row],[EMPLOYEE NAME]])-3),"")</f>
        <v/>
      </c>
      <c r="L779" s="48" t="str">
        <f>IFERROR(DATEVALUE(TEXT(RIGHT(T_LEAVE[[#This Row],[LEAVE DATE]],LEN(T_LEAVE[[#This Row],[LEAVE DATE]])-6),"[$-en-US]d-mmm-yyyy;@")),"")</f>
        <v/>
      </c>
      <c r="M779" s="4" t="str">
        <f>IFERROR(TRIM(T_LEAVE[[#This Row],[TYPE]]),"")</f>
        <v/>
      </c>
      <c r="N779" s="69" t="str">
        <f>IFERROR(VLOOKUP(T_LEAVE[[#This Row],[LEAVE TYPE]],T_LEAVETYPE[#All],2,0),"")</f>
        <v/>
      </c>
    </row>
    <row r="780" spans="2:14" x14ac:dyDescent="0.25">
      <c r="B780" s="93"/>
      <c r="K780" s="4" t="str">
        <f>IFERROR(LEFT(T_LEAVE[[#This Row],[EMPLOYEE NAME]],LEN(T_LEAVE[[#This Row],[EMPLOYEE NAME]])-3),"")</f>
        <v/>
      </c>
      <c r="L780" s="48" t="str">
        <f>IFERROR(DATEVALUE(TEXT(RIGHT(T_LEAVE[[#This Row],[LEAVE DATE]],LEN(T_LEAVE[[#This Row],[LEAVE DATE]])-6),"[$-en-US]d-mmm-yyyy;@")),"")</f>
        <v/>
      </c>
      <c r="M780" s="4" t="str">
        <f>IFERROR(TRIM(T_LEAVE[[#This Row],[TYPE]]),"")</f>
        <v/>
      </c>
      <c r="N780" s="69" t="str">
        <f>IFERROR(VLOOKUP(T_LEAVE[[#This Row],[LEAVE TYPE]],T_LEAVETYPE[#All],2,0),"")</f>
        <v/>
      </c>
    </row>
    <row r="781" spans="2:14" x14ac:dyDescent="0.25">
      <c r="B781" s="93"/>
      <c r="K781" s="4" t="str">
        <f>IFERROR(LEFT(T_LEAVE[[#This Row],[EMPLOYEE NAME]],LEN(T_LEAVE[[#This Row],[EMPLOYEE NAME]])-3),"")</f>
        <v/>
      </c>
      <c r="L781" s="48" t="str">
        <f>IFERROR(DATEVALUE(TEXT(RIGHT(T_LEAVE[[#This Row],[LEAVE DATE]],LEN(T_LEAVE[[#This Row],[LEAVE DATE]])-6),"[$-en-US]d-mmm-yyyy;@")),"")</f>
        <v/>
      </c>
      <c r="M781" s="4" t="str">
        <f>IFERROR(TRIM(T_LEAVE[[#This Row],[TYPE]]),"")</f>
        <v/>
      </c>
      <c r="N781" s="69" t="str">
        <f>IFERROR(VLOOKUP(T_LEAVE[[#This Row],[LEAVE TYPE]],T_LEAVETYPE[#All],2,0),"")</f>
        <v/>
      </c>
    </row>
    <row r="782" spans="2:14" x14ac:dyDescent="0.25">
      <c r="B782" s="93"/>
      <c r="K782" s="4" t="str">
        <f>IFERROR(LEFT(T_LEAVE[[#This Row],[EMPLOYEE NAME]],LEN(T_LEAVE[[#This Row],[EMPLOYEE NAME]])-3),"")</f>
        <v/>
      </c>
      <c r="L782" s="48" t="str">
        <f>IFERROR(DATEVALUE(TEXT(RIGHT(T_LEAVE[[#This Row],[LEAVE DATE]],LEN(T_LEAVE[[#This Row],[LEAVE DATE]])-6),"[$-en-US]d-mmm-yyyy;@")),"")</f>
        <v/>
      </c>
      <c r="M782" s="4" t="str">
        <f>IFERROR(TRIM(T_LEAVE[[#This Row],[TYPE]]),"")</f>
        <v/>
      </c>
      <c r="N782" s="69" t="str">
        <f>IFERROR(VLOOKUP(T_LEAVE[[#This Row],[LEAVE TYPE]],T_LEAVETYPE[#All],2,0),"")</f>
        <v/>
      </c>
    </row>
    <row r="783" spans="2:14" x14ac:dyDescent="0.25">
      <c r="B783" s="93"/>
      <c r="K783" s="4" t="str">
        <f>IFERROR(LEFT(T_LEAVE[[#This Row],[EMPLOYEE NAME]],LEN(T_LEAVE[[#This Row],[EMPLOYEE NAME]])-3),"")</f>
        <v/>
      </c>
      <c r="L783" s="48" t="str">
        <f>IFERROR(DATEVALUE(TEXT(RIGHT(T_LEAVE[[#This Row],[LEAVE DATE]],LEN(T_LEAVE[[#This Row],[LEAVE DATE]])-6),"[$-en-US]d-mmm-yyyy;@")),"")</f>
        <v/>
      </c>
      <c r="M783" s="4" t="str">
        <f>IFERROR(TRIM(T_LEAVE[[#This Row],[TYPE]]),"")</f>
        <v/>
      </c>
      <c r="N783" s="69" t="str">
        <f>IFERROR(VLOOKUP(T_LEAVE[[#This Row],[LEAVE TYPE]],T_LEAVETYPE[#All],2,0),"")</f>
        <v/>
      </c>
    </row>
    <row r="784" spans="2:14" x14ac:dyDescent="0.25">
      <c r="B784" s="93"/>
      <c r="K784" s="4" t="str">
        <f>IFERROR(LEFT(T_LEAVE[[#This Row],[EMPLOYEE NAME]],LEN(T_LEAVE[[#This Row],[EMPLOYEE NAME]])-3),"")</f>
        <v/>
      </c>
      <c r="L784" s="48" t="str">
        <f>IFERROR(DATEVALUE(TEXT(RIGHT(T_LEAVE[[#This Row],[LEAVE DATE]],LEN(T_LEAVE[[#This Row],[LEAVE DATE]])-6),"[$-en-US]d-mmm-yyyy;@")),"")</f>
        <v/>
      </c>
      <c r="M784" s="4" t="str">
        <f>IFERROR(TRIM(T_LEAVE[[#This Row],[TYPE]]),"")</f>
        <v/>
      </c>
      <c r="N784" s="69" t="str">
        <f>IFERROR(VLOOKUP(T_LEAVE[[#This Row],[LEAVE TYPE]],T_LEAVETYPE[#All],2,0),"")</f>
        <v/>
      </c>
    </row>
    <row r="785" spans="2:14" x14ac:dyDescent="0.25">
      <c r="B785" s="93"/>
      <c r="K785" s="4" t="str">
        <f>IFERROR(LEFT(T_LEAVE[[#This Row],[EMPLOYEE NAME]],LEN(T_LEAVE[[#This Row],[EMPLOYEE NAME]])-3),"")</f>
        <v/>
      </c>
      <c r="L785" s="48" t="str">
        <f>IFERROR(DATEVALUE(TEXT(RIGHT(T_LEAVE[[#This Row],[LEAVE DATE]],LEN(T_LEAVE[[#This Row],[LEAVE DATE]])-6),"[$-en-US]d-mmm-yyyy;@")),"")</f>
        <v/>
      </c>
      <c r="M785" s="4" t="str">
        <f>IFERROR(TRIM(T_LEAVE[[#This Row],[TYPE]]),"")</f>
        <v/>
      </c>
      <c r="N785" s="69" t="str">
        <f>IFERROR(VLOOKUP(T_LEAVE[[#This Row],[LEAVE TYPE]],T_LEAVETYPE[#All],2,0),"")</f>
        <v/>
      </c>
    </row>
    <row r="786" spans="2:14" x14ac:dyDescent="0.25">
      <c r="B786" s="93"/>
      <c r="K786" s="4" t="str">
        <f>IFERROR(LEFT(T_LEAVE[[#This Row],[EMPLOYEE NAME]],LEN(T_LEAVE[[#This Row],[EMPLOYEE NAME]])-3),"")</f>
        <v/>
      </c>
      <c r="L786" s="48" t="str">
        <f>IFERROR(DATEVALUE(TEXT(RIGHT(T_LEAVE[[#This Row],[LEAVE DATE]],LEN(T_LEAVE[[#This Row],[LEAVE DATE]])-6),"[$-en-US]d-mmm-yyyy;@")),"")</f>
        <v/>
      </c>
      <c r="M786" s="4" t="str">
        <f>IFERROR(TRIM(T_LEAVE[[#This Row],[TYPE]]),"")</f>
        <v/>
      </c>
      <c r="N786" s="69" t="str">
        <f>IFERROR(VLOOKUP(T_LEAVE[[#This Row],[LEAVE TYPE]],T_LEAVETYPE[#All],2,0),"")</f>
        <v/>
      </c>
    </row>
    <row r="787" spans="2:14" x14ac:dyDescent="0.25">
      <c r="B787" s="93"/>
      <c r="K787" s="4" t="str">
        <f>IFERROR(LEFT(T_LEAVE[[#This Row],[EMPLOYEE NAME]],LEN(T_LEAVE[[#This Row],[EMPLOYEE NAME]])-3),"")</f>
        <v/>
      </c>
      <c r="L787" s="48" t="str">
        <f>IFERROR(DATEVALUE(TEXT(RIGHT(T_LEAVE[[#This Row],[LEAVE DATE]],LEN(T_LEAVE[[#This Row],[LEAVE DATE]])-6),"[$-en-US]d-mmm-yyyy;@")),"")</f>
        <v/>
      </c>
      <c r="M787" s="4" t="str">
        <f>IFERROR(TRIM(T_LEAVE[[#This Row],[TYPE]]),"")</f>
        <v/>
      </c>
      <c r="N787" s="69" t="str">
        <f>IFERROR(VLOOKUP(T_LEAVE[[#This Row],[LEAVE TYPE]],T_LEAVETYPE[#All],2,0),"")</f>
        <v/>
      </c>
    </row>
    <row r="788" spans="2:14" x14ac:dyDescent="0.25">
      <c r="B788" s="93"/>
      <c r="K788" s="4" t="str">
        <f>IFERROR(LEFT(T_LEAVE[[#This Row],[EMPLOYEE NAME]],LEN(T_LEAVE[[#This Row],[EMPLOYEE NAME]])-3),"")</f>
        <v/>
      </c>
      <c r="L788" s="48" t="str">
        <f>IFERROR(DATEVALUE(TEXT(RIGHT(T_LEAVE[[#This Row],[LEAVE DATE]],LEN(T_LEAVE[[#This Row],[LEAVE DATE]])-6),"[$-en-US]d-mmm-yyyy;@")),"")</f>
        <v/>
      </c>
      <c r="M788" s="4" t="str">
        <f>IFERROR(TRIM(T_LEAVE[[#This Row],[TYPE]]),"")</f>
        <v/>
      </c>
      <c r="N788" s="69" t="str">
        <f>IFERROR(VLOOKUP(T_LEAVE[[#This Row],[LEAVE TYPE]],T_LEAVETYPE[#All],2,0),"")</f>
        <v/>
      </c>
    </row>
    <row r="789" spans="2:14" x14ac:dyDescent="0.25">
      <c r="B789" s="93"/>
      <c r="K789" s="4" t="str">
        <f>IFERROR(LEFT(T_LEAVE[[#This Row],[EMPLOYEE NAME]],LEN(T_LEAVE[[#This Row],[EMPLOYEE NAME]])-3),"")</f>
        <v/>
      </c>
      <c r="L789" s="48" t="str">
        <f>IFERROR(DATEVALUE(TEXT(RIGHT(T_LEAVE[[#This Row],[LEAVE DATE]],LEN(T_LEAVE[[#This Row],[LEAVE DATE]])-6),"[$-en-US]d-mmm-yyyy;@")),"")</f>
        <v/>
      </c>
      <c r="M789" s="4" t="str">
        <f>IFERROR(TRIM(T_LEAVE[[#This Row],[TYPE]]),"")</f>
        <v/>
      </c>
      <c r="N789" s="69" t="str">
        <f>IFERROR(VLOOKUP(T_LEAVE[[#This Row],[LEAVE TYPE]],T_LEAVETYPE[#All],2,0),"")</f>
        <v/>
      </c>
    </row>
    <row r="790" spans="2:14" x14ac:dyDescent="0.25">
      <c r="B790" s="93"/>
      <c r="K790" s="4" t="str">
        <f>IFERROR(LEFT(T_LEAVE[[#This Row],[EMPLOYEE NAME]],LEN(T_LEAVE[[#This Row],[EMPLOYEE NAME]])-3),"")</f>
        <v/>
      </c>
      <c r="L790" s="48" t="str">
        <f>IFERROR(DATEVALUE(TEXT(RIGHT(T_LEAVE[[#This Row],[LEAVE DATE]],LEN(T_LEAVE[[#This Row],[LEAVE DATE]])-6),"[$-en-US]d-mmm-yyyy;@")),"")</f>
        <v/>
      </c>
      <c r="M790" s="4" t="str">
        <f>IFERROR(TRIM(T_LEAVE[[#This Row],[TYPE]]),"")</f>
        <v/>
      </c>
      <c r="N790" s="69" t="str">
        <f>IFERROR(VLOOKUP(T_LEAVE[[#This Row],[LEAVE TYPE]],T_LEAVETYPE[#All],2,0),"")</f>
        <v/>
      </c>
    </row>
    <row r="791" spans="2:14" x14ac:dyDescent="0.25">
      <c r="B791" s="93"/>
      <c r="K791" s="4" t="str">
        <f>IFERROR(LEFT(T_LEAVE[[#This Row],[EMPLOYEE NAME]],LEN(T_LEAVE[[#This Row],[EMPLOYEE NAME]])-3),"")</f>
        <v/>
      </c>
      <c r="L791" s="48" t="str">
        <f>IFERROR(DATEVALUE(TEXT(RIGHT(T_LEAVE[[#This Row],[LEAVE DATE]],LEN(T_LEAVE[[#This Row],[LEAVE DATE]])-6),"[$-en-US]d-mmm-yyyy;@")),"")</f>
        <v/>
      </c>
      <c r="M791" s="4" t="str">
        <f>IFERROR(TRIM(T_LEAVE[[#This Row],[TYPE]]),"")</f>
        <v/>
      </c>
      <c r="N791" s="69" t="str">
        <f>IFERROR(VLOOKUP(T_LEAVE[[#This Row],[LEAVE TYPE]],T_LEAVETYPE[#All],2,0),"")</f>
        <v/>
      </c>
    </row>
    <row r="792" spans="2:14" x14ac:dyDescent="0.25">
      <c r="B792" s="93"/>
      <c r="K792" s="4" t="str">
        <f>IFERROR(LEFT(T_LEAVE[[#This Row],[EMPLOYEE NAME]],LEN(T_LEAVE[[#This Row],[EMPLOYEE NAME]])-3),"")</f>
        <v/>
      </c>
      <c r="L792" s="48" t="str">
        <f>IFERROR(DATEVALUE(TEXT(RIGHT(T_LEAVE[[#This Row],[LEAVE DATE]],LEN(T_LEAVE[[#This Row],[LEAVE DATE]])-6),"[$-en-US]d-mmm-yyyy;@")),"")</f>
        <v/>
      </c>
      <c r="M792" s="4" t="str">
        <f>IFERROR(TRIM(T_LEAVE[[#This Row],[TYPE]]),"")</f>
        <v/>
      </c>
      <c r="N792" s="69" t="str">
        <f>IFERROR(VLOOKUP(T_LEAVE[[#This Row],[LEAVE TYPE]],T_LEAVETYPE[#All],2,0),"")</f>
        <v/>
      </c>
    </row>
    <row r="793" spans="2:14" x14ac:dyDescent="0.25">
      <c r="B793" s="93"/>
      <c r="K793" s="4" t="str">
        <f>IFERROR(LEFT(T_LEAVE[[#This Row],[EMPLOYEE NAME]],LEN(T_LEAVE[[#This Row],[EMPLOYEE NAME]])-3),"")</f>
        <v/>
      </c>
      <c r="L793" s="48" t="str">
        <f>IFERROR(DATEVALUE(TEXT(RIGHT(T_LEAVE[[#This Row],[LEAVE DATE]],LEN(T_LEAVE[[#This Row],[LEAVE DATE]])-6),"[$-en-US]d-mmm-yyyy;@")),"")</f>
        <v/>
      </c>
      <c r="M793" s="4" t="str">
        <f>IFERROR(TRIM(T_LEAVE[[#This Row],[TYPE]]),"")</f>
        <v/>
      </c>
      <c r="N793" s="69" t="str">
        <f>IFERROR(VLOOKUP(T_LEAVE[[#This Row],[LEAVE TYPE]],T_LEAVETYPE[#All],2,0),"")</f>
        <v/>
      </c>
    </row>
    <row r="794" spans="2:14" x14ac:dyDescent="0.25">
      <c r="B794" s="93"/>
      <c r="K794" s="4" t="str">
        <f>IFERROR(LEFT(T_LEAVE[[#This Row],[EMPLOYEE NAME]],LEN(T_LEAVE[[#This Row],[EMPLOYEE NAME]])-3),"")</f>
        <v/>
      </c>
      <c r="L794" s="48" t="str">
        <f>IFERROR(DATEVALUE(TEXT(RIGHT(T_LEAVE[[#This Row],[LEAVE DATE]],LEN(T_LEAVE[[#This Row],[LEAVE DATE]])-6),"[$-en-US]d-mmm-yyyy;@")),"")</f>
        <v/>
      </c>
      <c r="M794" s="4" t="str">
        <f>IFERROR(TRIM(T_LEAVE[[#This Row],[TYPE]]),"")</f>
        <v/>
      </c>
      <c r="N794" s="69" t="str">
        <f>IFERROR(VLOOKUP(T_LEAVE[[#This Row],[LEAVE TYPE]],T_LEAVETYPE[#All],2,0),"")</f>
        <v/>
      </c>
    </row>
    <row r="795" spans="2:14" x14ac:dyDescent="0.25">
      <c r="B795" s="93"/>
      <c r="K795" s="4" t="str">
        <f>IFERROR(LEFT(T_LEAVE[[#This Row],[EMPLOYEE NAME]],LEN(T_LEAVE[[#This Row],[EMPLOYEE NAME]])-3),"")</f>
        <v/>
      </c>
      <c r="L795" s="48" t="str">
        <f>IFERROR(DATEVALUE(TEXT(RIGHT(T_LEAVE[[#This Row],[LEAVE DATE]],LEN(T_LEAVE[[#This Row],[LEAVE DATE]])-6),"[$-en-US]d-mmm-yyyy;@")),"")</f>
        <v/>
      </c>
      <c r="M795" s="4" t="str">
        <f>IFERROR(TRIM(T_LEAVE[[#This Row],[TYPE]]),"")</f>
        <v/>
      </c>
      <c r="N795" s="69" t="str">
        <f>IFERROR(VLOOKUP(T_LEAVE[[#This Row],[LEAVE TYPE]],T_LEAVETYPE[#All],2,0),"")</f>
        <v/>
      </c>
    </row>
    <row r="796" spans="2:14" x14ac:dyDescent="0.25">
      <c r="B796" s="93"/>
      <c r="K796" s="4" t="str">
        <f>IFERROR(LEFT(T_LEAVE[[#This Row],[EMPLOYEE NAME]],LEN(T_LEAVE[[#This Row],[EMPLOYEE NAME]])-3),"")</f>
        <v/>
      </c>
      <c r="L796" s="48" t="str">
        <f>IFERROR(DATEVALUE(TEXT(RIGHT(T_LEAVE[[#This Row],[LEAVE DATE]],LEN(T_LEAVE[[#This Row],[LEAVE DATE]])-6),"[$-en-US]d-mmm-yyyy;@")),"")</f>
        <v/>
      </c>
      <c r="M796" s="4" t="str">
        <f>IFERROR(TRIM(T_LEAVE[[#This Row],[TYPE]]),"")</f>
        <v/>
      </c>
      <c r="N796" s="69" t="str">
        <f>IFERROR(VLOOKUP(T_LEAVE[[#This Row],[LEAVE TYPE]],T_LEAVETYPE[#All],2,0),"")</f>
        <v/>
      </c>
    </row>
    <row r="797" spans="2:14" x14ac:dyDescent="0.25">
      <c r="B797" s="93"/>
      <c r="K797" s="4" t="str">
        <f>IFERROR(LEFT(T_LEAVE[[#This Row],[EMPLOYEE NAME]],LEN(T_LEAVE[[#This Row],[EMPLOYEE NAME]])-3),"")</f>
        <v/>
      </c>
      <c r="L797" s="48" t="str">
        <f>IFERROR(DATEVALUE(TEXT(RIGHT(T_LEAVE[[#This Row],[LEAVE DATE]],LEN(T_LEAVE[[#This Row],[LEAVE DATE]])-6),"[$-en-US]d-mmm-yyyy;@")),"")</f>
        <v/>
      </c>
      <c r="M797" s="4" t="str">
        <f>IFERROR(TRIM(T_LEAVE[[#This Row],[TYPE]]),"")</f>
        <v/>
      </c>
      <c r="N797" s="69" t="str">
        <f>IFERROR(VLOOKUP(T_LEAVE[[#This Row],[LEAVE TYPE]],T_LEAVETYPE[#All],2,0),"")</f>
        <v/>
      </c>
    </row>
    <row r="798" spans="2:14" x14ac:dyDescent="0.25">
      <c r="B798" s="93"/>
      <c r="K798" s="4" t="str">
        <f>IFERROR(LEFT(T_LEAVE[[#This Row],[EMPLOYEE NAME]],LEN(T_LEAVE[[#This Row],[EMPLOYEE NAME]])-3),"")</f>
        <v/>
      </c>
      <c r="L798" s="48" t="str">
        <f>IFERROR(DATEVALUE(TEXT(RIGHT(T_LEAVE[[#This Row],[LEAVE DATE]],LEN(T_LEAVE[[#This Row],[LEAVE DATE]])-6),"[$-en-US]d-mmm-yyyy;@")),"")</f>
        <v/>
      </c>
      <c r="M798" s="4" t="str">
        <f>IFERROR(TRIM(T_LEAVE[[#This Row],[TYPE]]),"")</f>
        <v/>
      </c>
      <c r="N798" s="69" t="str">
        <f>IFERROR(VLOOKUP(T_LEAVE[[#This Row],[LEAVE TYPE]],T_LEAVETYPE[#All],2,0),"")</f>
        <v/>
      </c>
    </row>
    <row r="799" spans="2:14" x14ac:dyDescent="0.25">
      <c r="B799" s="93"/>
      <c r="K799" s="4" t="str">
        <f>IFERROR(LEFT(T_LEAVE[[#This Row],[EMPLOYEE NAME]],LEN(T_LEAVE[[#This Row],[EMPLOYEE NAME]])-3),"")</f>
        <v/>
      </c>
      <c r="L799" s="48" t="str">
        <f>IFERROR(DATEVALUE(TEXT(RIGHT(T_LEAVE[[#This Row],[LEAVE DATE]],LEN(T_LEAVE[[#This Row],[LEAVE DATE]])-6),"[$-en-US]d-mmm-yyyy;@")),"")</f>
        <v/>
      </c>
      <c r="M799" s="4" t="str">
        <f>IFERROR(TRIM(T_LEAVE[[#This Row],[TYPE]]),"")</f>
        <v/>
      </c>
      <c r="N799" s="69" t="str">
        <f>IFERROR(VLOOKUP(T_LEAVE[[#This Row],[LEAVE TYPE]],T_LEAVETYPE[#All],2,0),"")</f>
        <v/>
      </c>
    </row>
    <row r="800" spans="2:14" x14ac:dyDescent="0.25">
      <c r="B800" s="93"/>
      <c r="K800" s="4" t="str">
        <f>IFERROR(LEFT(T_LEAVE[[#This Row],[EMPLOYEE NAME]],LEN(T_LEAVE[[#This Row],[EMPLOYEE NAME]])-3),"")</f>
        <v/>
      </c>
      <c r="L800" s="48" t="str">
        <f>IFERROR(DATEVALUE(TEXT(RIGHT(T_LEAVE[[#This Row],[LEAVE DATE]],LEN(T_LEAVE[[#This Row],[LEAVE DATE]])-6),"[$-en-US]d-mmm-yyyy;@")),"")</f>
        <v/>
      </c>
      <c r="M800" s="4" t="str">
        <f>IFERROR(TRIM(T_LEAVE[[#This Row],[TYPE]]),"")</f>
        <v/>
      </c>
      <c r="N800" s="69" t="str">
        <f>IFERROR(VLOOKUP(T_LEAVE[[#This Row],[LEAVE TYPE]],T_LEAVETYPE[#All],2,0),"")</f>
        <v/>
      </c>
    </row>
  </sheetData>
  <dataValidations count="1">
    <dataValidation type="list" allowBlank="1" showInputMessage="1" showErrorMessage="1" sqref="E4:E800" xr:uid="{0CF535F5-BDF9-4258-AEB8-F54DE7498966}">
      <formula1>L_TYPE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016A9-92FE-4A9D-88D4-2DB7DDD1F8F6}">
  <sheetPr codeName="Sheet4">
    <tabColor rgb="FFFF0000"/>
  </sheetPr>
  <dimension ref="A1:J37"/>
  <sheetViews>
    <sheetView showGridLines="0" workbookViewId="0">
      <pane ySplit="3" topLeftCell="A4" activePane="bottomLeft" state="frozen"/>
      <selection pane="bottomLeft" activeCell="J12" sqref="J12"/>
    </sheetView>
  </sheetViews>
  <sheetFormatPr defaultRowHeight="15" x14ac:dyDescent="0.25"/>
  <cols>
    <col min="1" max="1" width="3.140625" style="4" customWidth="1"/>
    <col min="2" max="2" width="15.42578125" style="4" bestFit="1" customWidth="1"/>
    <col min="3" max="3" width="13.42578125" style="48" bestFit="1" customWidth="1"/>
    <col min="4" max="4" width="9.28515625" style="48" bestFit="1" customWidth="1"/>
    <col min="5" max="5" width="9.28515625" style="4" bestFit="1" customWidth="1"/>
    <col min="6" max="6" width="16.28515625" bestFit="1" customWidth="1"/>
    <col min="7" max="7" width="12.140625" style="4" bestFit="1" customWidth="1"/>
    <col min="8" max="8" width="12" style="4" bestFit="1" customWidth="1"/>
    <col min="9" max="9" width="14.140625" style="4" bestFit="1" customWidth="1"/>
    <col min="10" max="10" width="14.5703125" style="4" bestFit="1" customWidth="1"/>
    <col min="11" max="16384" width="9.140625" style="4"/>
  </cols>
  <sheetData>
    <row r="1" spans="1:10" customFormat="1" ht="60" customHeight="1" x14ac:dyDescent="0.25">
      <c r="A1" s="1"/>
      <c r="B1" s="9"/>
      <c r="C1" s="43"/>
      <c r="D1" s="43"/>
      <c r="E1" s="1"/>
      <c r="F1" s="1"/>
      <c r="G1" s="1"/>
    </row>
    <row r="2" spans="1:10" customFormat="1" x14ac:dyDescent="0.25">
      <c r="B2" s="10" t="s">
        <v>6</v>
      </c>
      <c r="C2" s="44" t="s">
        <v>6</v>
      </c>
      <c r="D2" s="44" t="s">
        <v>6</v>
      </c>
      <c r="E2" s="10" t="s">
        <v>6</v>
      </c>
      <c r="F2" s="10" t="s">
        <v>59</v>
      </c>
    </row>
    <row r="3" spans="1:10" x14ac:dyDescent="0.25">
      <c r="B3" s="4" t="s">
        <v>74</v>
      </c>
      <c r="C3" s="48" t="s">
        <v>75</v>
      </c>
      <c r="D3" s="48" t="s">
        <v>76</v>
      </c>
      <c r="E3" s="4" t="s">
        <v>77</v>
      </c>
      <c r="F3" s="4" t="s">
        <v>78</v>
      </c>
      <c r="G3" s="4" t="s">
        <v>79</v>
      </c>
      <c r="H3" s="4" t="s">
        <v>80</v>
      </c>
      <c r="I3" s="4" t="s">
        <v>81</v>
      </c>
      <c r="J3" s="4" t="s">
        <v>82</v>
      </c>
    </row>
    <row r="4" spans="1:10" x14ac:dyDescent="0.25">
      <c r="F4" t="str">
        <f>IFERROR(VLOOKUP(T_PENDING[[#This Row],[Type ]],T_LEAVETYPE[#All],2,0),"")</f>
        <v/>
      </c>
    </row>
    <row r="5" spans="1:10" x14ac:dyDescent="0.25">
      <c r="F5" t="str">
        <f>IFERROR(VLOOKUP(T_PENDING[[#This Row],[Type ]],T_LEAVETYPE[#All],2,0),"")</f>
        <v/>
      </c>
    </row>
    <row r="6" spans="1:10" x14ac:dyDescent="0.25">
      <c r="F6" t="str">
        <f>IFERROR(VLOOKUP(T_PENDING[[#This Row],[Type ]],T_LEAVETYPE[#All],2,0),"")</f>
        <v/>
      </c>
    </row>
    <row r="7" spans="1:10" x14ac:dyDescent="0.25">
      <c r="F7" t="str">
        <f>IFERROR(VLOOKUP(T_PENDING[[#This Row],[Type ]],T_LEAVETYPE[#All],2,0),"")</f>
        <v/>
      </c>
    </row>
    <row r="8" spans="1:10" x14ac:dyDescent="0.25">
      <c r="F8" t="str">
        <f>IFERROR(VLOOKUP(T_PENDING[[#This Row],[Type ]],T_LEAVETYPE[#All],2,0),"")</f>
        <v/>
      </c>
    </row>
    <row r="9" spans="1:10" x14ac:dyDescent="0.25">
      <c r="F9" t="str">
        <f>IFERROR(VLOOKUP(T_PENDING[[#This Row],[Type ]],T_LEAVETYPE[#All],2,0),"")</f>
        <v/>
      </c>
    </row>
    <row r="10" spans="1:10" x14ac:dyDescent="0.25">
      <c r="F10" t="str">
        <f>IFERROR(VLOOKUP(T_PENDING[[#This Row],[Type ]],T_LEAVETYPE[#All],2,0),"")</f>
        <v/>
      </c>
    </row>
    <row r="11" spans="1:10" x14ac:dyDescent="0.25">
      <c r="F11" t="str">
        <f>IFERROR(VLOOKUP(T_PENDING[[#This Row],[Type ]],T_LEAVETYPE[#All],2,0),"")</f>
        <v/>
      </c>
    </row>
    <row r="12" spans="1:10" x14ac:dyDescent="0.25">
      <c r="F12" t="str">
        <f>IFERROR(VLOOKUP(T_PENDING[[#This Row],[Type ]],T_LEAVETYPE[#All],2,0),"")</f>
        <v/>
      </c>
    </row>
    <row r="13" spans="1:10" x14ac:dyDescent="0.25">
      <c r="F13" t="str">
        <f>IFERROR(VLOOKUP(T_PENDING[[#This Row],[Type ]],T_LEAVETYPE[#All],2,0),"")</f>
        <v/>
      </c>
    </row>
    <row r="14" spans="1:10" x14ac:dyDescent="0.25">
      <c r="F14" t="str">
        <f>IFERROR(VLOOKUP(T_PENDING[[#This Row],[Type ]],T_LEAVETYPE[#All],2,0),"")</f>
        <v/>
      </c>
    </row>
    <row r="15" spans="1:10" x14ac:dyDescent="0.25">
      <c r="F15" t="str">
        <f>IFERROR(VLOOKUP(T_PENDING[[#This Row],[Type ]],T_LEAVETYPE[#All],2,0),"")</f>
        <v/>
      </c>
    </row>
    <row r="16" spans="1:10" x14ac:dyDescent="0.25">
      <c r="F16" t="str">
        <f>IFERROR(VLOOKUP(T_PENDING[[#This Row],[Type ]],T_LEAVETYPE[#All],2,0),"")</f>
        <v/>
      </c>
    </row>
    <row r="17" spans="6:6" x14ac:dyDescent="0.25">
      <c r="F17" t="str">
        <f>IFERROR(VLOOKUP(T_PENDING[[#This Row],[Type ]],T_LEAVETYPE[#All],2,0),"")</f>
        <v/>
      </c>
    </row>
    <row r="18" spans="6:6" x14ac:dyDescent="0.25">
      <c r="F18" t="str">
        <f>IFERROR(VLOOKUP(T_PENDING[[#This Row],[Type ]],T_LEAVETYPE[#All],2,0),"")</f>
        <v/>
      </c>
    </row>
    <row r="19" spans="6:6" x14ac:dyDescent="0.25">
      <c r="F19" t="str">
        <f>IFERROR(VLOOKUP(T_PENDING[[#This Row],[Type ]],T_LEAVETYPE[#All],2,0),"")</f>
        <v/>
      </c>
    </row>
    <row r="20" spans="6:6" x14ac:dyDescent="0.25">
      <c r="F20" t="str">
        <f>IFERROR(VLOOKUP(T_PENDING[[#This Row],[Type ]],T_LEAVETYPE[#All],2,0),"")</f>
        <v/>
      </c>
    </row>
    <row r="21" spans="6:6" x14ac:dyDescent="0.25">
      <c r="F21" t="str">
        <f>IFERROR(VLOOKUP(T_PENDING[[#This Row],[Type ]],T_LEAVETYPE[#All],2,0),"")</f>
        <v/>
      </c>
    </row>
    <row r="22" spans="6:6" x14ac:dyDescent="0.25">
      <c r="F22" t="str">
        <f>IFERROR(VLOOKUP(T_PENDING[[#This Row],[Type ]],T_LEAVETYPE[#All],2,0),"")</f>
        <v/>
      </c>
    </row>
    <row r="23" spans="6:6" x14ac:dyDescent="0.25">
      <c r="F23" t="str">
        <f>IFERROR(VLOOKUP(T_PENDING[[#This Row],[Type ]],T_LEAVETYPE[#All],2,0),"")</f>
        <v/>
      </c>
    </row>
    <row r="24" spans="6:6" x14ac:dyDescent="0.25">
      <c r="F24" t="str">
        <f>IFERROR(VLOOKUP(T_PENDING[[#This Row],[Type ]],T_LEAVETYPE[#All],2,0),"")</f>
        <v/>
      </c>
    </row>
    <row r="25" spans="6:6" x14ac:dyDescent="0.25">
      <c r="F25" t="str">
        <f>IFERROR(VLOOKUP(T_PENDING[[#This Row],[Type ]],T_LEAVETYPE[#All],2,0),"")</f>
        <v/>
      </c>
    </row>
    <row r="26" spans="6:6" x14ac:dyDescent="0.25">
      <c r="F26" t="str">
        <f>IFERROR(VLOOKUP(T_PENDING[[#This Row],[Type ]],T_LEAVETYPE[#All],2,0),"")</f>
        <v/>
      </c>
    </row>
    <row r="27" spans="6:6" x14ac:dyDescent="0.25">
      <c r="F27" t="str">
        <f>IFERROR(VLOOKUP(T_PENDING[[#This Row],[Type ]],T_LEAVETYPE[#All],2,0),"")</f>
        <v/>
      </c>
    </row>
    <row r="28" spans="6:6" x14ac:dyDescent="0.25">
      <c r="F28" t="str">
        <f>IFERROR(VLOOKUP(T_PENDING[[#This Row],[Type ]],T_LEAVETYPE[#All],2,0),"")</f>
        <v/>
      </c>
    </row>
    <row r="29" spans="6:6" x14ac:dyDescent="0.25">
      <c r="F29" t="str">
        <f>IFERROR(VLOOKUP(T_PENDING[[#This Row],[Type ]],T_LEAVETYPE[#All],2,0),"")</f>
        <v/>
      </c>
    </row>
    <row r="30" spans="6:6" x14ac:dyDescent="0.25">
      <c r="F30" t="str">
        <f>IFERROR(VLOOKUP(T_PENDING[[#This Row],[Type ]],T_LEAVETYPE[#All],2,0),"")</f>
        <v/>
      </c>
    </row>
    <row r="31" spans="6:6" x14ac:dyDescent="0.25">
      <c r="F31" t="str">
        <f>IFERROR(VLOOKUP(T_PENDING[[#This Row],[Type ]],T_LEAVETYPE[#All],2,0),"")</f>
        <v/>
      </c>
    </row>
    <row r="32" spans="6:6" x14ac:dyDescent="0.25">
      <c r="F32" t="str">
        <f>IFERROR(VLOOKUP(T_PENDING[[#This Row],[Type ]],T_LEAVETYPE[#All],2,0),"")</f>
        <v/>
      </c>
    </row>
    <row r="33" spans="6:6" x14ac:dyDescent="0.25">
      <c r="F33" t="str">
        <f>IFERROR(VLOOKUP(T_PENDING[[#This Row],[Type ]],T_LEAVETYPE[#All],2,0),"")</f>
        <v/>
      </c>
    </row>
    <row r="35" spans="6:6" x14ac:dyDescent="0.25">
      <c r="F35" t="str">
        <f>IFERROR(VLOOKUP(T_PENDING[[#This Row],[Type ]],T_LEAVETYPE[#All],2,0),"")</f>
        <v/>
      </c>
    </row>
    <row r="36" spans="6:6" x14ac:dyDescent="0.25">
      <c r="F36" t="str">
        <f>IFERROR(VLOOKUP(T_PENDING[[#This Row],[Type ]],T_LEAVETYPE[#All],2,0),"")</f>
        <v/>
      </c>
    </row>
    <row r="37" spans="6:6" x14ac:dyDescent="0.25">
      <c r="F37" t="str">
        <f>IFERROR(VLOOKUP(T_PENDING[[#This Row],[Type ]],T_LEAVETYPE[#All],2,0),"")</f>
        <v/>
      </c>
    </row>
  </sheetData>
  <dataValidations count="2">
    <dataValidation type="list" allowBlank="1" showInputMessage="1" showErrorMessage="1" sqref="E4" xr:uid="{5D292BBE-AA58-4CE6-A999-6D4A08ED80D6}">
      <formula1>L_TYPE</formula1>
    </dataValidation>
    <dataValidation type="list" allowBlank="1" showInputMessage="1" showErrorMessage="1" sqref="B4" xr:uid="{3892978F-E7F8-4ECA-999A-2C1EDCC59EF6}">
      <formula1>L_EMPS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E391-5CEC-465C-9FE6-FAA8637674CC}">
  <sheetPr codeName="Sheet8">
    <tabColor theme="1"/>
  </sheetPr>
  <dimension ref="B1:J39"/>
  <sheetViews>
    <sheetView showGridLines="0" workbookViewId="0">
      <selection activeCell="D11" sqref="D11"/>
    </sheetView>
  </sheetViews>
  <sheetFormatPr defaultRowHeight="15" x14ac:dyDescent="0.25"/>
  <cols>
    <col min="1" max="1" width="3.85546875" customWidth="1"/>
    <col min="2" max="2" width="15.42578125" style="4" bestFit="1" customWidth="1"/>
    <col min="3" max="3" width="17.7109375" style="48" bestFit="1" customWidth="1"/>
    <col min="4" max="4" width="25.7109375" style="48" bestFit="1" customWidth="1"/>
    <col min="5" max="5" width="17.7109375" style="4" bestFit="1" customWidth="1"/>
    <col min="6" max="6" width="13.5703125" bestFit="1" customWidth="1"/>
    <col min="7" max="7" width="37.7109375" style="4" bestFit="1" customWidth="1"/>
    <col min="8" max="8" width="14.140625" style="4" bestFit="1" customWidth="1"/>
    <col min="9" max="9" width="10" style="4" bestFit="1" customWidth="1"/>
    <col min="10" max="10" width="27.85546875" bestFit="1" customWidth="1"/>
  </cols>
  <sheetData>
    <row r="1" spans="2:10" ht="60.75" customHeight="1" x14ac:dyDescent="0.25">
      <c r="B1" s="9"/>
      <c r="C1" s="43"/>
      <c r="D1" s="43"/>
      <c r="E1" s="1"/>
      <c r="F1" s="1"/>
      <c r="G1" s="1"/>
      <c r="H1"/>
      <c r="I1"/>
    </row>
    <row r="2" spans="2:10" x14ac:dyDescent="0.25">
      <c r="B2" s="10" t="s">
        <v>6</v>
      </c>
      <c r="C2" s="44" t="s">
        <v>6</v>
      </c>
      <c r="D2" s="44" t="s">
        <v>6</v>
      </c>
      <c r="E2" s="10" t="s">
        <v>6</v>
      </c>
      <c r="F2" s="10"/>
      <c r="G2"/>
      <c r="H2"/>
      <c r="I2"/>
    </row>
    <row r="3" spans="2:10" x14ac:dyDescent="0.25">
      <c r="B3" s="4" t="s">
        <v>74</v>
      </c>
      <c r="C3" s="48" t="s">
        <v>75</v>
      </c>
      <c r="D3" s="48" t="s">
        <v>76</v>
      </c>
      <c r="E3" s="4" t="s">
        <v>77</v>
      </c>
      <c r="F3" s="4" t="s">
        <v>83</v>
      </c>
      <c r="G3" s="4" t="s">
        <v>84</v>
      </c>
      <c r="H3" s="4" t="s">
        <v>81</v>
      </c>
      <c r="I3" s="4" t="s">
        <v>85</v>
      </c>
      <c r="J3" s="4" t="s">
        <v>86</v>
      </c>
    </row>
    <row r="4" spans="2:10" x14ac:dyDescent="0.25">
      <c r="B4" s="70"/>
      <c r="J4" s="4"/>
    </row>
    <row r="5" spans="2:10" x14ac:dyDescent="0.25">
      <c r="B5" s="70"/>
      <c r="J5" s="4"/>
    </row>
    <row r="6" spans="2:10" x14ac:dyDescent="0.25">
      <c r="B6" s="70"/>
      <c r="J6" s="4"/>
    </row>
    <row r="7" spans="2:10" x14ac:dyDescent="0.25">
      <c r="B7" s="70"/>
      <c r="E7" s="48"/>
      <c r="J7" s="4"/>
    </row>
    <row r="8" spans="2:10" x14ac:dyDescent="0.25">
      <c r="B8" s="70"/>
      <c r="E8" s="48"/>
      <c r="J8" s="4"/>
    </row>
    <row r="9" spans="2:10" x14ac:dyDescent="0.25">
      <c r="B9" s="70"/>
      <c r="J9" s="4"/>
    </row>
    <row r="10" spans="2:10" x14ac:dyDescent="0.25">
      <c r="B10" s="70"/>
      <c r="J10" s="4"/>
    </row>
    <row r="11" spans="2:10" x14ac:dyDescent="0.25">
      <c r="B11" s="70"/>
      <c r="J11" s="4"/>
    </row>
    <row r="12" spans="2:10" x14ac:dyDescent="0.25">
      <c r="B12" s="70"/>
      <c r="J12" s="4"/>
    </row>
    <row r="13" spans="2:10" x14ac:dyDescent="0.25">
      <c r="B13" s="70"/>
      <c r="J13" s="4"/>
    </row>
    <row r="14" spans="2:10" x14ac:dyDescent="0.25">
      <c r="B14" s="70"/>
      <c r="J14" s="4"/>
    </row>
    <row r="15" spans="2:10" x14ac:dyDescent="0.25">
      <c r="B15" s="70"/>
      <c r="J15" s="4"/>
    </row>
    <row r="16" spans="2:10" x14ac:dyDescent="0.25">
      <c r="B16" s="70"/>
      <c r="J16" s="4"/>
    </row>
    <row r="17" spans="2:10" x14ac:dyDescent="0.25">
      <c r="B17" s="70"/>
      <c r="J17" s="4"/>
    </row>
    <row r="18" spans="2:10" x14ac:dyDescent="0.25">
      <c r="B18" s="70"/>
      <c r="J18" s="4"/>
    </row>
    <row r="19" spans="2:10" x14ac:dyDescent="0.25">
      <c r="B19" s="70"/>
      <c r="J19" s="4"/>
    </row>
    <row r="20" spans="2:10" x14ac:dyDescent="0.25">
      <c r="B20" s="70"/>
      <c r="J20" s="4"/>
    </row>
    <row r="21" spans="2:10" x14ac:dyDescent="0.25">
      <c r="B21" s="70"/>
      <c r="J21" s="4"/>
    </row>
    <row r="22" spans="2:10" x14ac:dyDescent="0.25">
      <c r="B22" s="70"/>
      <c r="J22" s="4"/>
    </row>
    <row r="23" spans="2:10" x14ac:dyDescent="0.25">
      <c r="J23" s="4"/>
    </row>
    <row r="24" spans="2:10" x14ac:dyDescent="0.25">
      <c r="J24" s="4"/>
    </row>
    <row r="25" spans="2:10" x14ac:dyDescent="0.25">
      <c r="J25" s="4"/>
    </row>
    <row r="26" spans="2:10" x14ac:dyDescent="0.25">
      <c r="J26" s="4"/>
    </row>
    <row r="27" spans="2:10" x14ac:dyDescent="0.25">
      <c r="J27" s="4"/>
    </row>
    <row r="28" spans="2:10" x14ac:dyDescent="0.25">
      <c r="J28" s="4"/>
    </row>
    <row r="29" spans="2:10" x14ac:dyDescent="0.25">
      <c r="J29" s="4"/>
    </row>
    <row r="30" spans="2:10" x14ac:dyDescent="0.25">
      <c r="J30" s="4"/>
    </row>
    <row r="31" spans="2:10" x14ac:dyDescent="0.25">
      <c r="J31" s="4"/>
    </row>
    <row r="32" spans="2:10" x14ac:dyDescent="0.25">
      <c r="J32" s="4"/>
    </row>
    <row r="33" spans="6:10" x14ac:dyDescent="0.25">
      <c r="J33" s="4"/>
    </row>
    <row r="34" spans="6:10" x14ac:dyDescent="0.25">
      <c r="J34" s="4"/>
    </row>
    <row r="35" spans="6:10" x14ac:dyDescent="0.25">
      <c r="J35" s="4"/>
    </row>
    <row r="36" spans="6:10" x14ac:dyDescent="0.25">
      <c r="J36" s="4"/>
    </row>
    <row r="37" spans="6:10" x14ac:dyDescent="0.25">
      <c r="F37" t="str">
        <f>IFERROR(VLOOKUP(T_DECLINED[[#This Row],[Type ]],T_LEAVETYPE[#All],2,0),"")</f>
        <v/>
      </c>
    </row>
    <row r="38" spans="6:10" x14ac:dyDescent="0.25">
      <c r="F38" t="str">
        <f>IFERROR(VLOOKUP(T_DECLINED[[#This Row],[Type ]],T_LEAVETYPE[#All],2,0),"")</f>
        <v/>
      </c>
    </row>
    <row r="39" spans="6:10" x14ac:dyDescent="0.25">
      <c r="F39" t="str">
        <f>IFERROR(VLOOKUP(T_DECLINED[[#This Row],[Type ]],T_LEAVETYPE[#All],2,0),"")</f>
        <v/>
      </c>
    </row>
  </sheetData>
  <dataValidations count="2">
    <dataValidation type="list" allowBlank="1" showInputMessage="1" showErrorMessage="1" sqref="B4" xr:uid="{B3D1D0B0-6C58-439D-9510-7A19E728DB1E}">
      <formula1>L_EMPS</formula1>
    </dataValidation>
    <dataValidation type="list" allowBlank="1" showInputMessage="1" showErrorMessage="1" sqref="E4" xr:uid="{CD401C39-A99E-4892-9345-3AD2E903BE7F}">
      <formula1>L_TYPE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51B6-DDC9-4DD5-8D3E-1D3403EAB22E}">
  <sheetPr codeName="Sheet2"/>
  <dimension ref="B1:G104"/>
  <sheetViews>
    <sheetView showGridLines="0" workbookViewId="0">
      <selection activeCell="B4" sqref="B4:F92"/>
    </sheetView>
  </sheetViews>
  <sheetFormatPr defaultRowHeight="15" x14ac:dyDescent="0.25"/>
  <cols>
    <col min="1" max="1" width="2.85546875" style="1" customWidth="1"/>
    <col min="2" max="2" width="9.28515625" style="1" bestFit="1" customWidth="1"/>
    <col min="3" max="3" width="28" style="1" bestFit="1" customWidth="1"/>
    <col min="4" max="4" width="25.28515625" style="1" bestFit="1" customWidth="1"/>
    <col min="5" max="5" width="25.28515625" style="43" bestFit="1" customWidth="1"/>
    <col min="6" max="6" width="21.7109375" style="43" customWidth="1"/>
    <col min="7" max="7" width="21.28515625" style="1" bestFit="1" customWidth="1"/>
    <col min="8" max="11" width="9.140625" style="1"/>
    <col min="12" max="12" width="28" style="1" bestFit="1" customWidth="1"/>
    <col min="13" max="16384" width="9.140625" style="1"/>
  </cols>
  <sheetData>
    <row r="1" spans="2:7" ht="60" customHeight="1" x14ac:dyDescent="0.25">
      <c r="B1" s="9"/>
    </row>
    <row r="2" spans="2:7" x14ac:dyDescent="0.25">
      <c r="B2" s="10" t="s">
        <v>6</v>
      </c>
      <c r="C2" s="10" t="s">
        <v>6</v>
      </c>
      <c r="D2" s="10" t="s">
        <v>6</v>
      </c>
      <c r="E2" s="44"/>
    </row>
    <row r="3" spans="2:7" x14ac:dyDescent="0.25">
      <c r="B3" s="1" t="s">
        <v>113</v>
      </c>
      <c r="C3" s="1" t="s">
        <v>0</v>
      </c>
      <c r="D3" s="1" t="s">
        <v>3</v>
      </c>
      <c r="E3" s="1" t="s">
        <v>4</v>
      </c>
      <c r="F3" s="43" t="s">
        <v>1</v>
      </c>
      <c r="G3" s="43" t="s">
        <v>63</v>
      </c>
    </row>
    <row r="4" spans="2:7" x14ac:dyDescent="0.25">
      <c r="B4" s="1" t="s">
        <v>1157</v>
      </c>
      <c r="C4" s="1" t="s">
        <v>125</v>
      </c>
      <c r="D4" s="1" t="s">
        <v>7</v>
      </c>
      <c r="E4" s="1" t="s">
        <v>5</v>
      </c>
      <c r="F4" s="43">
        <v>43617</v>
      </c>
      <c r="G4" s="43"/>
    </row>
    <row r="5" spans="2:7" x14ac:dyDescent="0.25">
      <c r="B5" s="1" t="s">
        <v>1158</v>
      </c>
      <c r="C5" s="1" t="s">
        <v>127</v>
      </c>
      <c r="D5" s="1" t="s">
        <v>7</v>
      </c>
      <c r="E5" s="1" t="s">
        <v>5</v>
      </c>
      <c r="F5" s="43">
        <v>43617</v>
      </c>
      <c r="G5" s="43"/>
    </row>
    <row r="6" spans="2:7" x14ac:dyDescent="0.25">
      <c r="B6" s="1" t="s">
        <v>1159</v>
      </c>
      <c r="C6" s="1" t="s">
        <v>142</v>
      </c>
      <c r="D6" s="1" t="s">
        <v>7</v>
      </c>
      <c r="E6" s="1" t="s">
        <v>5</v>
      </c>
      <c r="F6" s="43">
        <v>43248</v>
      </c>
      <c r="G6" s="43"/>
    </row>
    <row r="7" spans="2:7" x14ac:dyDescent="0.25">
      <c r="B7" s="1" t="s">
        <v>1160</v>
      </c>
      <c r="C7" s="1" t="s">
        <v>134</v>
      </c>
      <c r="D7" s="1" t="s">
        <v>7</v>
      </c>
      <c r="E7" s="1" t="s">
        <v>5</v>
      </c>
      <c r="F7" s="43">
        <v>43528</v>
      </c>
      <c r="G7" s="43"/>
    </row>
    <row r="8" spans="2:7" x14ac:dyDescent="0.25">
      <c r="B8" s="1" t="s">
        <v>1161</v>
      </c>
      <c r="C8" s="1" t="s">
        <v>133</v>
      </c>
      <c r="D8" s="1" t="s">
        <v>7</v>
      </c>
      <c r="E8" s="1" t="s">
        <v>5</v>
      </c>
      <c r="F8" s="43">
        <v>43528</v>
      </c>
      <c r="G8" s="43"/>
    </row>
    <row r="9" spans="2:7" x14ac:dyDescent="0.25">
      <c r="B9" s="1" t="s">
        <v>1162</v>
      </c>
      <c r="C9" s="1" t="s">
        <v>1243</v>
      </c>
      <c r="D9" s="1" t="s">
        <v>7</v>
      </c>
      <c r="E9" s="1" t="s">
        <v>5</v>
      </c>
      <c r="F9" s="43">
        <v>43143</v>
      </c>
      <c r="G9" s="43"/>
    </row>
    <row r="10" spans="2:7" x14ac:dyDescent="0.25">
      <c r="B10" s="1" t="s">
        <v>1163</v>
      </c>
      <c r="C10" s="1" t="s">
        <v>132</v>
      </c>
      <c r="D10" s="1" t="s">
        <v>7</v>
      </c>
      <c r="E10" s="1" t="s">
        <v>5</v>
      </c>
      <c r="F10" s="43">
        <v>43346</v>
      </c>
      <c r="G10" s="43"/>
    </row>
    <row r="11" spans="2:7" x14ac:dyDescent="0.25">
      <c r="B11" s="1" t="s">
        <v>1164</v>
      </c>
      <c r="C11" s="1" t="s">
        <v>122</v>
      </c>
      <c r="D11" s="1" t="s">
        <v>7</v>
      </c>
      <c r="E11" s="1" t="s">
        <v>5</v>
      </c>
      <c r="F11" s="43">
        <v>43143</v>
      </c>
      <c r="G11" s="43"/>
    </row>
    <row r="12" spans="2:7" x14ac:dyDescent="0.25">
      <c r="B12" s="1" t="s">
        <v>1165</v>
      </c>
      <c r="C12" s="1" t="s">
        <v>143</v>
      </c>
      <c r="D12" s="1" t="s">
        <v>7</v>
      </c>
      <c r="E12" s="1" t="s">
        <v>5</v>
      </c>
      <c r="F12" s="43">
        <v>41911</v>
      </c>
      <c r="G12" s="43"/>
    </row>
    <row r="13" spans="2:7" x14ac:dyDescent="0.25">
      <c r="B13" s="1" t="s">
        <v>1166</v>
      </c>
      <c r="C13" s="1" t="s">
        <v>136</v>
      </c>
      <c r="D13" s="1" t="s">
        <v>7</v>
      </c>
      <c r="E13" s="1" t="s">
        <v>5</v>
      </c>
      <c r="F13" s="43">
        <v>43507</v>
      </c>
      <c r="G13" s="43"/>
    </row>
    <row r="14" spans="2:7" x14ac:dyDescent="0.25">
      <c r="B14" s="1" t="s">
        <v>1167</v>
      </c>
      <c r="C14" s="1" t="s">
        <v>1244</v>
      </c>
      <c r="D14" s="1" t="s">
        <v>7</v>
      </c>
      <c r="E14" s="1" t="s">
        <v>5</v>
      </c>
      <c r="F14" s="43">
        <v>44032</v>
      </c>
      <c r="G14" s="43"/>
    </row>
    <row r="15" spans="2:7" x14ac:dyDescent="0.25">
      <c r="B15" s="1" t="s">
        <v>1168</v>
      </c>
      <c r="C15" s="1" t="s">
        <v>1245</v>
      </c>
      <c r="D15" s="1" t="s">
        <v>7</v>
      </c>
      <c r="E15" s="1" t="s">
        <v>5</v>
      </c>
      <c r="F15" s="43">
        <v>43248</v>
      </c>
      <c r="G15" s="43"/>
    </row>
    <row r="16" spans="2:7" x14ac:dyDescent="0.25">
      <c r="B16" s="1" t="s">
        <v>1169</v>
      </c>
      <c r="C16" s="1" t="s">
        <v>145</v>
      </c>
      <c r="D16" s="1" t="s">
        <v>7</v>
      </c>
      <c r="E16" s="1" t="s">
        <v>5</v>
      </c>
      <c r="F16" s="43">
        <v>42928</v>
      </c>
      <c r="G16" s="43"/>
    </row>
    <row r="17" spans="2:7" x14ac:dyDescent="0.25">
      <c r="B17" s="1" t="s">
        <v>1170</v>
      </c>
      <c r="C17" s="1" t="s">
        <v>139</v>
      </c>
      <c r="D17" s="1" t="s">
        <v>7</v>
      </c>
      <c r="E17" s="1" t="s">
        <v>5</v>
      </c>
      <c r="F17" s="43">
        <v>43528</v>
      </c>
      <c r="G17" s="43"/>
    </row>
    <row r="18" spans="2:7" x14ac:dyDescent="0.25">
      <c r="B18" s="1" t="s">
        <v>1171</v>
      </c>
      <c r="C18" s="1" t="s">
        <v>118</v>
      </c>
      <c r="D18" s="1" t="s">
        <v>7</v>
      </c>
      <c r="E18" s="1" t="s">
        <v>5</v>
      </c>
      <c r="F18" s="43">
        <v>43206</v>
      </c>
      <c r="G18" s="43"/>
    </row>
    <row r="19" spans="2:7" x14ac:dyDescent="0.25">
      <c r="B19" s="1" t="s">
        <v>1172</v>
      </c>
      <c r="C19" s="1" t="s">
        <v>116</v>
      </c>
      <c r="D19" s="1" t="s">
        <v>7</v>
      </c>
      <c r="E19" s="1" t="s">
        <v>5</v>
      </c>
      <c r="F19" s="43">
        <v>44033</v>
      </c>
      <c r="G19" s="43"/>
    </row>
    <row r="20" spans="2:7" x14ac:dyDescent="0.25">
      <c r="B20" s="1" t="s">
        <v>1173</v>
      </c>
      <c r="C20" s="1" t="s">
        <v>129</v>
      </c>
      <c r="D20" s="1" t="s">
        <v>7</v>
      </c>
      <c r="E20" s="1" t="s">
        <v>5</v>
      </c>
      <c r="F20" s="43">
        <v>43346</v>
      </c>
      <c r="G20" s="43"/>
    </row>
    <row r="21" spans="2:7" x14ac:dyDescent="0.25">
      <c r="B21" s="1" t="s">
        <v>1174</v>
      </c>
      <c r="C21" s="1" t="s">
        <v>137</v>
      </c>
      <c r="D21" s="1" t="s">
        <v>7</v>
      </c>
      <c r="E21" s="1" t="s">
        <v>5</v>
      </c>
      <c r="F21" s="43">
        <v>42863</v>
      </c>
      <c r="G21" s="43"/>
    </row>
    <row r="22" spans="2:7" x14ac:dyDescent="0.25">
      <c r="B22" s="1" t="s">
        <v>1175</v>
      </c>
      <c r="C22" s="1" t="s">
        <v>114</v>
      </c>
      <c r="D22" s="1" t="s">
        <v>7</v>
      </c>
      <c r="E22" s="1" t="s">
        <v>5</v>
      </c>
      <c r="F22" s="43">
        <v>42863</v>
      </c>
      <c r="G22" s="43"/>
    </row>
    <row r="23" spans="2:7" x14ac:dyDescent="0.25">
      <c r="B23" s="1" t="s">
        <v>1176</v>
      </c>
      <c r="C23" s="1" t="s">
        <v>123</v>
      </c>
      <c r="D23" s="1" t="s">
        <v>7</v>
      </c>
      <c r="E23" s="1" t="s">
        <v>5</v>
      </c>
      <c r="F23" s="43">
        <v>43617</v>
      </c>
      <c r="G23" s="43"/>
    </row>
    <row r="24" spans="2:7" x14ac:dyDescent="0.25">
      <c r="B24" s="1" t="s">
        <v>1356</v>
      </c>
      <c r="C24" s="1" t="s">
        <v>1359</v>
      </c>
      <c r="D24" s="1" t="s">
        <v>7</v>
      </c>
      <c r="E24" s="1" t="s">
        <v>5</v>
      </c>
      <c r="F24" s="43">
        <v>43206</v>
      </c>
      <c r="G24" s="43"/>
    </row>
    <row r="25" spans="2:7" x14ac:dyDescent="0.25">
      <c r="B25" s="1" t="s">
        <v>1178</v>
      </c>
      <c r="C25" s="1" t="s">
        <v>140</v>
      </c>
      <c r="D25" s="1" t="s">
        <v>7</v>
      </c>
      <c r="E25" s="1" t="s">
        <v>5</v>
      </c>
      <c r="F25" s="43">
        <v>43557</v>
      </c>
      <c r="G25" s="43"/>
    </row>
    <row r="26" spans="2:7" x14ac:dyDescent="0.25">
      <c r="B26" s="1" t="s">
        <v>1179</v>
      </c>
      <c r="C26" s="1" t="s">
        <v>115</v>
      </c>
      <c r="D26" s="1" t="s">
        <v>7</v>
      </c>
      <c r="E26" s="1" t="s">
        <v>5</v>
      </c>
      <c r="F26" s="43">
        <v>44032</v>
      </c>
      <c r="G26" s="43"/>
    </row>
    <row r="27" spans="2:7" x14ac:dyDescent="0.25">
      <c r="B27" s="1" t="s">
        <v>1180</v>
      </c>
      <c r="C27" s="1" t="s">
        <v>120</v>
      </c>
      <c r="D27" s="1" t="s">
        <v>7</v>
      </c>
      <c r="E27" s="1" t="s">
        <v>5</v>
      </c>
      <c r="F27" s="43">
        <v>43467</v>
      </c>
      <c r="G27" s="43"/>
    </row>
    <row r="28" spans="2:7" x14ac:dyDescent="0.25">
      <c r="B28" s="1" t="s">
        <v>1181</v>
      </c>
      <c r="C28" s="1" t="s">
        <v>119</v>
      </c>
      <c r="D28" s="1" t="s">
        <v>7</v>
      </c>
      <c r="E28" s="1" t="s">
        <v>5</v>
      </c>
      <c r="F28" s="43">
        <v>43617</v>
      </c>
      <c r="G28" s="43"/>
    </row>
    <row r="29" spans="2:7" x14ac:dyDescent="0.25">
      <c r="B29" s="1" t="s">
        <v>1182</v>
      </c>
      <c r="C29" s="1" t="s">
        <v>128</v>
      </c>
      <c r="D29" s="1" t="s">
        <v>7</v>
      </c>
      <c r="E29" s="1" t="s">
        <v>5</v>
      </c>
      <c r="F29" s="43">
        <v>42121</v>
      </c>
      <c r="G29" s="43"/>
    </row>
    <row r="30" spans="2:7" x14ac:dyDescent="0.25">
      <c r="B30" s="1" t="s">
        <v>1183</v>
      </c>
      <c r="C30" s="1" t="s">
        <v>1247</v>
      </c>
      <c r="D30" s="1" t="s">
        <v>7</v>
      </c>
      <c r="E30" s="1" t="s">
        <v>5</v>
      </c>
      <c r="F30" s="43">
        <v>42552</v>
      </c>
      <c r="G30" s="43"/>
    </row>
    <row r="31" spans="2:7" x14ac:dyDescent="0.25">
      <c r="B31" s="1" t="s">
        <v>1184</v>
      </c>
      <c r="C31" s="1" t="s">
        <v>1248</v>
      </c>
      <c r="D31" s="1" t="s">
        <v>7</v>
      </c>
      <c r="E31" s="1" t="s">
        <v>5</v>
      </c>
      <c r="F31" s="43">
        <v>43780</v>
      </c>
      <c r="G31" s="43"/>
    </row>
    <row r="32" spans="2:7" x14ac:dyDescent="0.25">
      <c r="B32" s="1" t="s">
        <v>1185</v>
      </c>
      <c r="C32" s="1" t="s">
        <v>130</v>
      </c>
      <c r="D32" s="1" t="s">
        <v>7</v>
      </c>
      <c r="E32" s="1" t="s">
        <v>5</v>
      </c>
      <c r="F32" s="43">
        <v>41519</v>
      </c>
      <c r="G32" s="43"/>
    </row>
    <row r="33" spans="2:7" x14ac:dyDescent="0.25">
      <c r="B33" s="1" t="s">
        <v>1186</v>
      </c>
      <c r="C33" s="1" t="s">
        <v>135</v>
      </c>
      <c r="D33" s="1" t="s">
        <v>7</v>
      </c>
      <c r="E33" s="1" t="s">
        <v>5</v>
      </c>
      <c r="F33" s="43">
        <v>43617</v>
      </c>
      <c r="G33" s="43"/>
    </row>
    <row r="34" spans="2:7" x14ac:dyDescent="0.25">
      <c r="B34" s="1" t="s">
        <v>1187</v>
      </c>
      <c r="C34" s="1" t="s">
        <v>131</v>
      </c>
      <c r="D34" s="1" t="s">
        <v>7</v>
      </c>
      <c r="E34" s="1" t="s">
        <v>5</v>
      </c>
      <c r="F34" s="43">
        <v>43346</v>
      </c>
      <c r="G34" s="43"/>
    </row>
    <row r="35" spans="2:7" x14ac:dyDescent="0.25">
      <c r="B35" s="1" t="s">
        <v>1188</v>
      </c>
      <c r="C35" s="1" t="s">
        <v>117</v>
      </c>
      <c r="D35" s="1" t="s">
        <v>7</v>
      </c>
      <c r="E35" s="1" t="s">
        <v>5</v>
      </c>
      <c r="F35" s="43">
        <v>43528</v>
      </c>
      <c r="G35" s="43"/>
    </row>
    <row r="36" spans="2:7" x14ac:dyDescent="0.25">
      <c r="B36" s="1" t="s">
        <v>1189</v>
      </c>
      <c r="C36" s="1" t="s">
        <v>144</v>
      </c>
      <c r="D36" s="1" t="s">
        <v>7</v>
      </c>
      <c r="E36" s="1" t="s">
        <v>5</v>
      </c>
      <c r="F36" s="43">
        <v>43507</v>
      </c>
      <c r="G36" s="43"/>
    </row>
    <row r="37" spans="2:7" x14ac:dyDescent="0.25">
      <c r="B37" s="1" t="s">
        <v>1190</v>
      </c>
      <c r="C37" s="1" t="s">
        <v>141</v>
      </c>
      <c r="D37" s="1" t="s">
        <v>7</v>
      </c>
      <c r="E37" s="1" t="s">
        <v>5</v>
      </c>
      <c r="F37" s="43">
        <v>41911</v>
      </c>
      <c r="G37" s="43"/>
    </row>
    <row r="38" spans="2:7" x14ac:dyDescent="0.25">
      <c r="B38" s="1" t="s">
        <v>1191</v>
      </c>
      <c r="C38" s="1" t="s">
        <v>121</v>
      </c>
      <c r="D38" s="1" t="s">
        <v>7</v>
      </c>
      <c r="E38" s="1" t="s">
        <v>5</v>
      </c>
      <c r="F38" s="43">
        <v>44104</v>
      </c>
      <c r="G38" s="43"/>
    </row>
    <row r="39" spans="2:7" x14ac:dyDescent="0.25">
      <c r="B39" s="1" t="s">
        <v>1192</v>
      </c>
      <c r="C39" s="1" t="s">
        <v>124</v>
      </c>
      <c r="D39" s="1" t="s">
        <v>7</v>
      </c>
      <c r="E39" s="1" t="s">
        <v>5</v>
      </c>
      <c r="F39" s="43">
        <v>43248</v>
      </c>
      <c r="G39" s="43"/>
    </row>
    <row r="40" spans="2:7" x14ac:dyDescent="0.25">
      <c r="B40" s="1" t="s">
        <v>1193</v>
      </c>
      <c r="C40" s="1" t="s">
        <v>126</v>
      </c>
      <c r="D40" s="1" t="s">
        <v>7</v>
      </c>
      <c r="E40" s="1" t="s">
        <v>5</v>
      </c>
      <c r="F40" s="43">
        <v>43346</v>
      </c>
      <c r="G40" s="43"/>
    </row>
    <row r="41" spans="2:7" x14ac:dyDescent="0.25">
      <c r="B41" s="1" t="s">
        <v>1194</v>
      </c>
      <c r="C41" s="1" t="s">
        <v>138</v>
      </c>
      <c r="D41" s="1" t="s">
        <v>7</v>
      </c>
      <c r="E41" s="1" t="s">
        <v>5</v>
      </c>
      <c r="F41" s="43">
        <v>44032</v>
      </c>
      <c r="G41" s="43"/>
    </row>
    <row r="42" spans="2:7" x14ac:dyDescent="0.25">
      <c r="B42" s="1" t="s">
        <v>1210</v>
      </c>
      <c r="C42" s="1" t="s">
        <v>1264</v>
      </c>
      <c r="D42" s="1" t="s">
        <v>7</v>
      </c>
      <c r="E42" s="1" t="s">
        <v>5</v>
      </c>
      <c r="F42" s="43">
        <v>42597</v>
      </c>
      <c r="G42" s="43"/>
    </row>
    <row r="43" spans="2:7" x14ac:dyDescent="0.25">
      <c r="B43" s="1" t="s">
        <v>1195</v>
      </c>
      <c r="C43" s="1" t="s">
        <v>1249</v>
      </c>
      <c r="D43" s="1" t="s">
        <v>1297</v>
      </c>
      <c r="E43" s="1" t="s">
        <v>1305</v>
      </c>
      <c r="F43" s="43">
        <v>43437</v>
      </c>
      <c r="G43" s="43"/>
    </row>
    <row r="44" spans="2:7" x14ac:dyDescent="0.25">
      <c r="B44" s="1" t="s">
        <v>1196</v>
      </c>
      <c r="C44" s="1" t="s">
        <v>1250</v>
      </c>
      <c r="D44" s="1" t="s">
        <v>1297</v>
      </c>
      <c r="E44" s="1" t="s">
        <v>1305</v>
      </c>
      <c r="F44" s="43">
        <v>42597</v>
      </c>
      <c r="G44" s="43"/>
    </row>
    <row r="45" spans="2:7" x14ac:dyDescent="0.25">
      <c r="B45" s="1" t="s">
        <v>1197</v>
      </c>
      <c r="C45" s="1" t="s">
        <v>1251</v>
      </c>
      <c r="D45" s="1" t="s">
        <v>1297</v>
      </c>
      <c r="E45" s="1" t="s">
        <v>1305</v>
      </c>
      <c r="F45" s="43">
        <v>42142</v>
      </c>
      <c r="G45" s="43"/>
    </row>
    <row r="46" spans="2:7" x14ac:dyDescent="0.25">
      <c r="B46" s="1" t="s">
        <v>1198</v>
      </c>
      <c r="C46" s="1" t="s">
        <v>1252</v>
      </c>
      <c r="D46" s="1" t="s">
        <v>1297</v>
      </c>
      <c r="E46" s="1" t="s">
        <v>1305</v>
      </c>
      <c r="F46" s="43">
        <v>41519</v>
      </c>
      <c r="G46" s="43"/>
    </row>
    <row r="47" spans="2:7" x14ac:dyDescent="0.25">
      <c r="B47" s="1" t="s">
        <v>1199</v>
      </c>
      <c r="C47" s="1" t="s">
        <v>1253</v>
      </c>
      <c r="D47" s="1" t="s">
        <v>1297</v>
      </c>
      <c r="E47" s="1" t="s">
        <v>1305</v>
      </c>
      <c r="F47" s="43">
        <v>42552</v>
      </c>
      <c r="G47" s="43"/>
    </row>
    <row r="48" spans="2:7" x14ac:dyDescent="0.25">
      <c r="B48" s="1" t="s">
        <v>1200</v>
      </c>
      <c r="C48" s="1" t="s">
        <v>1254</v>
      </c>
      <c r="D48" s="1" t="s">
        <v>1297</v>
      </c>
      <c r="E48" s="1" t="s">
        <v>1305</v>
      </c>
      <c r="F48" s="43">
        <v>43248</v>
      </c>
      <c r="G48" s="43"/>
    </row>
    <row r="49" spans="2:7" x14ac:dyDescent="0.25">
      <c r="B49" s="1" t="s">
        <v>1201</v>
      </c>
      <c r="C49" s="1" t="s">
        <v>1255</v>
      </c>
      <c r="D49" s="1" t="s">
        <v>1297</v>
      </c>
      <c r="E49" s="1" t="s">
        <v>1305</v>
      </c>
      <c r="F49" s="43">
        <v>42552</v>
      </c>
      <c r="G49" s="43"/>
    </row>
    <row r="50" spans="2:7" x14ac:dyDescent="0.25">
      <c r="B50" s="1" t="s">
        <v>1202</v>
      </c>
      <c r="C50" s="1" t="s">
        <v>1256</v>
      </c>
      <c r="D50" s="1" t="s">
        <v>1297</v>
      </c>
      <c r="E50" s="1" t="s">
        <v>1305</v>
      </c>
      <c r="F50" s="43">
        <v>42744</v>
      </c>
      <c r="G50" s="43"/>
    </row>
    <row r="51" spans="2:7" x14ac:dyDescent="0.25">
      <c r="B51" s="1" t="s">
        <v>1203</v>
      </c>
      <c r="C51" s="1" t="s">
        <v>1257</v>
      </c>
      <c r="D51" s="1" t="s">
        <v>1297</v>
      </c>
      <c r="E51" s="1" t="s">
        <v>1305</v>
      </c>
      <c r="F51" s="43">
        <v>43248</v>
      </c>
      <c r="G51" s="43"/>
    </row>
    <row r="52" spans="2:7" x14ac:dyDescent="0.25">
      <c r="B52" s="1" t="s">
        <v>1204</v>
      </c>
      <c r="C52" s="1" t="s">
        <v>1258</v>
      </c>
      <c r="D52" s="1" t="s">
        <v>1297</v>
      </c>
      <c r="E52" s="1" t="s">
        <v>1305</v>
      </c>
      <c r="F52" s="43">
        <v>41617</v>
      </c>
      <c r="G52" s="43"/>
    </row>
    <row r="53" spans="2:7" x14ac:dyDescent="0.25">
      <c r="B53" s="1" t="s">
        <v>1205</v>
      </c>
      <c r="C53" s="1" t="s">
        <v>1259</v>
      </c>
      <c r="D53" s="1" t="s">
        <v>1297</v>
      </c>
      <c r="E53" s="1" t="s">
        <v>1305</v>
      </c>
      <c r="F53" s="43">
        <v>42192</v>
      </c>
      <c r="G53" s="43"/>
    </row>
    <row r="54" spans="2:7" x14ac:dyDescent="0.25">
      <c r="B54" s="1" t="s">
        <v>1206</v>
      </c>
      <c r="C54" s="1" t="s">
        <v>1260</v>
      </c>
      <c r="D54" s="1" t="s">
        <v>1298</v>
      </c>
      <c r="E54" s="1" t="s">
        <v>1306</v>
      </c>
      <c r="F54" s="43">
        <v>40740</v>
      </c>
      <c r="G54" s="43"/>
    </row>
    <row r="55" spans="2:7" x14ac:dyDescent="0.25">
      <c r="B55" s="1" t="s">
        <v>1207</v>
      </c>
      <c r="C55" s="1" t="s">
        <v>1261</v>
      </c>
      <c r="D55" s="1" t="s">
        <v>1298</v>
      </c>
      <c r="E55" s="1" t="s">
        <v>1307</v>
      </c>
      <c r="F55" s="43">
        <v>41617</v>
      </c>
      <c r="G55" s="43"/>
    </row>
    <row r="56" spans="2:7" x14ac:dyDescent="0.25">
      <c r="B56" s="1" t="s">
        <v>1208</v>
      </c>
      <c r="C56" s="1" t="s">
        <v>1262</v>
      </c>
      <c r="D56" s="1" t="s">
        <v>1298</v>
      </c>
      <c r="E56" s="1" t="s">
        <v>1307</v>
      </c>
      <c r="F56" s="43">
        <v>41505</v>
      </c>
      <c r="G56" s="43"/>
    </row>
    <row r="57" spans="2:7" x14ac:dyDescent="0.25">
      <c r="B57" s="1" t="s">
        <v>1209</v>
      </c>
      <c r="C57" s="1" t="s">
        <v>1263</v>
      </c>
      <c r="D57" s="1" t="s">
        <v>1298</v>
      </c>
      <c r="E57" s="1" t="s">
        <v>1307</v>
      </c>
      <c r="F57" s="43">
        <v>43248</v>
      </c>
      <c r="G57" s="43"/>
    </row>
    <row r="58" spans="2:7" x14ac:dyDescent="0.25">
      <c r="B58" s="1" t="s">
        <v>1357</v>
      </c>
      <c r="C58" s="1" t="s">
        <v>1360</v>
      </c>
      <c r="D58" s="1" t="s">
        <v>1298</v>
      </c>
      <c r="E58" s="1" t="s">
        <v>1307</v>
      </c>
      <c r="F58" s="43">
        <v>43991</v>
      </c>
      <c r="G58" s="43"/>
    </row>
    <row r="59" spans="2:7" x14ac:dyDescent="0.25">
      <c r="B59" s="1" t="s">
        <v>1212</v>
      </c>
      <c r="C59" s="1" t="s">
        <v>1266</v>
      </c>
      <c r="D59" s="1" t="s">
        <v>1298</v>
      </c>
      <c r="E59" s="1" t="s">
        <v>1307</v>
      </c>
      <c r="F59" s="43">
        <v>40740</v>
      </c>
      <c r="G59" s="43"/>
    </row>
    <row r="60" spans="2:7" x14ac:dyDescent="0.25">
      <c r="B60" s="1" t="s">
        <v>1213</v>
      </c>
      <c r="C60" s="1" t="s">
        <v>1267</v>
      </c>
      <c r="D60" s="1" t="s">
        <v>1298</v>
      </c>
      <c r="E60" s="1" t="s">
        <v>1307</v>
      </c>
      <c r="F60" s="43">
        <v>43248</v>
      </c>
      <c r="G60" s="43"/>
    </row>
    <row r="61" spans="2:7" x14ac:dyDescent="0.25">
      <c r="B61" s="1" t="s">
        <v>1214</v>
      </c>
      <c r="C61" s="1" t="s">
        <v>1268</v>
      </c>
      <c r="D61" s="1" t="s">
        <v>1298</v>
      </c>
      <c r="E61" s="1" t="s">
        <v>1307</v>
      </c>
      <c r="F61" s="43">
        <v>41617</v>
      </c>
      <c r="G61" s="43"/>
    </row>
    <row r="62" spans="2:7" x14ac:dyDescent="0.25">
      <c r="B62" s="1" t="s">
        <v>1215</v>
      </c>
      <c r="C62" s="1" t="s">
        <v>1269</v>
      </c>
      <c r="D62" s="1" t="s">
        <v>1298</v>
      </c>
      <c r="E62" s="1" t="s">
        <v>1307</v>
      </c>
      <c r="F62" s="43">
        <v>41096</v>
      </c>
      <c r="G62" s="43"/>
    </row>
    <row r="63" spans="2:7" x14ac:dyDescent="0.25">
      <c r="B63" s="1" t="s">
        <v>1217</v>
      </c>
      <c r="C63" s="1" t="s">
        <v>1271</v>
      </c>
      <c r="D63" s="1" t="s">
        <v>1299</v>
      </c>
      <c r="E63" s="43" t="s">
        <v>1306</v>
      </c>
      <c r="F63" s="43">
        <v>40740</v>
      </c>
      <c r="G63" s="43"/>
    </row>
    <row r="64" spans="2:7" x14ac:dyDescent="0.25">
      <c r="B64" s="1" t="s">
        <v>1218</v>
      </c>
      <c r="C64" s="1" t="s">
        <v>1272</v>
      </c>
      <c r="D64" s="1" t="s">
        <v>1299</v>
      </c>
      <c r="E64" s="43" t="s">
        <v>1308</v>
      </c>
      <c r="F64" s="43">
        <v>40869</v>
      </c>
      <c r="G64" s="43"/>
    </row>
    <row r="65" spans="2:7" x14ac:dyDescent="0.25">
      <c r="B65" s="1" t="s">
        <v>1219</v>
      </c>
      <c r="C65" s="1" t="s">
        <v>1273</v>
      </c>
      <c r="D65" s="1" t="s">
        <v>1299</v>
      </c>
      <c r="E65" s="43" t="s">
        <v>1308</v>
      </c>
      <c r="F65" s="43">
        <v>41191</v>
      </c>
      <c r="G65" s="43"/>
    </row>
    <row r="66" spans="2:7" x14ac:dyDescent="0.25">
      <c r="B66" s="1" t="s">
        <v>1220</v>
      </c>
      <c r="C66" s="1" t="s">
        <v>1274</v>
      </c>
      <c r="D66" s="1" t="s">
        <v>1299</v>
      </c>
      <c r="E66" s="43" t="s">
        <v>1308</v>
      </c>
      <c r="F66" s="43">
        <v>42178</v>
      </c>
      <c r="G66" s="43"/>
    </row>
    <row r="67" spans="2:7" x14ac:dyDescent="0.25">
      <c r="B67" s="1" t="s">
        <v>1221</v>
      </c>
      <c r="C67" s="1" t="s">
        <v>1275</v>
      </c>
      <c r="D67" s="1" t="s">
        <v>1299</v>
      </c>
      <c r="E67" s="43" t="s">
        <v>1308</v>
      </c>
      <c r="F67" s="43">
        <v>41519</v>
      </c>
      <c r="G67" s="43"/>
    </row>
    <row r="68" spans="2:7" x14ac:dyDescent="0.25">
      <c r="B68" s="1" t="s">
        <v>1358</v>
      </c>
      <c r="C68" s="1" t="s">
        <v>1361</v>
      </c>
      <c r="D68" s="1" t="s">
        <v>1299</v>
      </c>
      <c r="E68" s="43" t="s">
        <v>1309</v>
      </c>
      <c r="F68" s="43">
        <v>41142</v>
      </c>
      <c r="G68" s="43"/>
    </row>
    <row r="69" spans="2:7" x14ac:dyDescent="0.25">
      <c r="B69" s="1" t="s">
        <v>1222</v>
      </c>
      <c r="C69" s="1" t="s">
        <v>1276</v>
      </c>
      <c r="D69" s="1" t="s">
        <v>1299</v>
      </c>
      <c r="E69" s="43" t="s">
        <v>1308</v>
      </c>
      <c r="F69" s="43">
        <v>43346</v>
      </c>
      <c r="G69" s="43"/>
    </row>
    <row r="70" spans="2:7" x14ac:dyDescent="0.25">
      <c r="B70" s="1" t="s">
        <v>1223</v>
      </c>
      <c r="C70" s="1" t="s">
        <v>1277</v>
      </c>
      <c r="D70" s="1" t="s">
        <v>1299</v>
      </c>
      <c r="E70" s="43" t="s">
        <v>1310</v>
      </c>
      <c r="F70" s="43">
        <v>42051</v>
      </c>
      <c r="G70" s="43"/>
    </row>
    <row r="71" spans="2:7" x14ac:dyDescent="0.25">
      <c r="B71" s="1" t="s">
        <v>1224</v>
      </c>
      <c r="C71" s="1" t="s">
        <v>1278</v>
      </c>
      <c r="D71" s="1" t="s">
        <v>1299</v>
      </c>
      <c r="E71" s="43" t="s">
        <v>1308</v>
      </c>
      <c r="F71" s="43">
        <v>40740</v>
      </c>
      <c r="G71" s="43"/>
    </row>
    <row r="72" spans="2:7" x14ac:dyDescent="0.25">
      <c r="B72" s="1" t="s">
        <v>1225</v>
      </c>
      <c r="C72" s="1" t="s">
        <v>1279</v>
      </c>
      <c r="D72" s="1" t="s">
        <v>1299</v>
      </c>
      <c r="E72" s="43" t="s">
        <v>1309</v>
      </c>
      <c r="F72" s="43">
        <v>43403</v>
      </c>
      <c r="G72" s="43"/>
    </row>
    <row r="73" spans="2:7" x14ac:dyDescent="0.25">
      <c r="B73" s="1" t="s">
        <v>1226</v>
      </c>
      <c r="C73" s="1" t="s">
        <v>1280</v>
      </c>
      <c r="D73" s="1" t="s">
        <v>1299</v>
      </c>
      <c r="E73" s="43" t="s">
        <v>1308</v>
      </c>
      <c r="F73" s="43">
        <v>40910</v>
      </c>
      <c r="G73" s="43"/>
    </row>
    <row r="74" spans="2:7" x14ac:dyDescent="0.25">
      <c r="B74" s="1" t="s">
        <v>1227</v>
      </c>
      <c r="C74" s="1" t="s">
        <v>1281</v>
      </c>
      <c r="D74" s="1" t="s">
        <v>1300</v>
      </c>
      <c r="E74" s="43" t="s">
        <v>1306</v>
      </c>
      <c r="F74" s="43">
        <v>42552</v>
      </c>
      <c r="G74" s="43"/>
    </row>
    <row r="75" spans="2:7" x14ac:dyDescent="0.25">
      <c r="B75" s="1" t="s">
        <v>1228</v>
      </c>
      <c r="C75" s="1" t="s">
        <v>1282</v>
      </c>
      <c r="D75" s="1" t="s">
        <v>1300</v>
      </c>
      <c r="E75" s="43" t="s">
        <v>1311</v>
      </c>
      <c r="F75" s="43">
        <v>42552</v>
      </c>
      <c r="G75" s="43"/>
    </row>
    <row r="76" spans="2:7" x14ac:dyDescent="0.25">
      <c r="B76" s="1" t="s">
        <v>1229</v>
      </c>
      <c r="C76" s="1" t="s">
        <v>1283</v>
      </c>
      <c r="D76" s="1" t="s">
        <v>1300</v>
      </c>
      <c r="E76" s="43" t="s">
        <v>1311</v>
      </c>
      <c r="F76" s="43">
        <v>42552</v>
      </c>
      <c r="G76" s="43"/>
    </row>
    <row r="77" spans="2:7" x14ac:dyDescent="0.25">
      <c r="B77" s="1" t="s">
        <v>1230</v>
      </c>
      <c r="C77" s="1" t="s">
        <v>1284</v>
      </c>
      <c r="D77" s="1" t="s">
        <v>1300</v>
      </c>
      <c r="E77" s="43" t="s">
        <v>1311</v>
      </c>
      <c r="F77" s="43">
        <v>41687</v>
      </c>
      <c r="G77" s="43"/>
    </row>
    <row r="78" spans="2:7" x14ac:dyDescent="0.25">
      <c r="B78" s="1" t="s">
        <v>1231</v>
      </c>
      <c r="C78" s="1" t="s">
        <v>1285</v>
      </c>
      <c r="D78" s="1" t="s">
        <v>1300</v>
      </c>
      <c r="E78" s="43" t="s">
        <v>1312</v>
      </c>
      <c r="F78" s="43">
        <v>40740</v>
      </c>
      <c r="G78" s="43"/>
    </row>
    <row r="79" spans="2:7" x14ac:dyDescent="0.25">
      <c r="B79" s="1" t="s">
        <v>1216</v>
      </c>
      <c r="C79" s="1" t="s">
        <v>1270</v>
      </c>
      <c r="D79" s="1" t="s">
        <v>1300</v>
      </c>
      <c r="E79" s="43" t="s">
        <v>1312</v>
      </c>
      <c r="F79" s="43">
        <v>43206</v>
      </c>
      <c r="G79" s="43"/>
    </row>
    <row r="80" spans="2:7" x14ac:dyDescent="0.25">
      <c r="B80" s="1" t="s">
        <v>1232</v>
      </c>
      <c r="C80" s="1" t="s">
        <v>1286</v>
      </c>
      <c r="D80" s="1" t="s">
        <v>7</v>
      </c>
      <c r="E80" s="43" t="s">
        <v>1426</v>
      </c>
      <c r="F80" s="43">
        <v>42471</v>
      </c>
      <c r="G80" s="43"/>
    </row>
    <row r="81" spans="2:7" x14ac:dyDescent="0.25">
      <c r="B81" s="1" t="s">
        <v>1233</v>
      </c>
      <c r="C81" s="1" t="s">
        <v>1287</v>
      </c>
      <c r="D81" s="1" t="s">
        <v>1300</v>
      </c>
      <c r="E81" s="43" t="s">
        <v>1312</v>
      </c>
      <c r="F81" s="43">
        <v>41687</v>
      </c>
      <c r="G81" s="43"/>
    </row>
    <row r="82" spans="2:7" x14ac:dyDescent="0.25">
      <c r="B82" s="1" t="s">
        <v>1234</v>
      </c>
      <c r="C82" s="1" t="s">
        <v>1288</v>
      </c>
      <c r="D82" s="1" t="s">
        <v>7</v>
      </c>
      <c r="E82" s="43" t="s">
        <v>1306</v>
      </c>
      <c r="F82" s="43">
        <v>40875</v>
      </c>
      <c r="G82" s="43"/>
    </row>
    <row r="83" spans="2:7" x14ac:dyDescent="0.25">
      <c r="B83" s="1" t="s">
        <v>1235</v>
      </c>
      <c r="C83" s="1" t="s">
        <v>1289</v>
      </c>
      <c r="D83" s="1" t="s">
        <v>7</v>
      </c>
      <c r="E83" s="43" t="s">
        <v>1306</v>
      </c>
      <c r="F83" s="43">
        <v>42552</v>
      </c>
      <c r="G83" s="43"/>
    </row>
    <row r="84" spans="2:7" x14ac:dyDescent="0.25">
      <c r="B84" s="1" t="s">
        <v>1211</v>
      </c>
      <c r="C84" s="1" t="s">
        <v>1265</v>
      </c>
      <c r="D84" s="1" t="s">
        <v>1297</v>
      </c>
      <c r="E84" s="43" t="s">
        <v>1306</v>
      </c>
      <c r="F84" s="43">
        <v>41687</v>
      </c>
      <c r="G84" s="43"/>
    </row>
    <row r="85" spans="2:7" x14ac:dyDescent="0.25">
      <c r="B85" s="1" t="s">
        <v>1236</v>
      </c>
      <c r="C85" s="1" t="s">
        <v>1290</v>
      </c>
      <c r="D85" s="1" t="s">
        <v>1301</v>
      </c>
      <c r="E85" s="43" t="s">
        <v>1306</v>
      </c>
      <c r="F85" s="43">
        <v>42552</v>
      </c>
      <c r="G85" s="43"/>
    </row>
    <row r="86" spans="2:7" x14ac:dyDescent="0.25">
      <c r="B86" s="1" t="s">
        <v>1237</v>
      </c>
      <c r="C86" s="1" t="s">
        <v>1291</v>
      </c>
      <c r="D86" s="1" t="s">
        <v>1302</v>
      </c>
      <c r="E86" s="43" t="s">
        <v>1302</v>
      </c>
      <c r="F86" s="43">
        <v>40819</v>
      </c>
      <c r="G86" s="43"/>
    </row>
    <row r="87" spans="2:7" x14ac:dyDescent="0.25">
      <c r="B87" s="1" t="s">
        <v>1238</v>
      </c>
      <c r="C87" s="1" t="s">
        <v>1292</v>
      </c>
      <c r="D87" s="1" t="s">
        <v>1302</v>
      </c>
      <c r="E87" s="43" t="s">
        <v>1302</v>
      </c>
      <c r="F87" s="43">
        <v>42121</v>
      </c>
      <c r="G87" s="43"/>
    </row>
    <row r="88" spans="2:7" x14ac:dyDescent="0.25">
      <c r="B88" s="1" t="s">
        <v>1177</v>
      </c>
      <c r="C88" s="1" t="s">
        <v>1246</v>
      </c>
      <c r="D88" s="1" t="s">
        <v>1302</v>
      </c>
      <c r="E88" s="43" t="s">
        <v>1302</v>
      </c>
      <c r="F88" s="43">
        <v>40875</v>
      </c>
      <c r="G88" s="43"/>
    </row>
    <row r="89" spans="2:7" x14ac:dyDescent="0.25">
      <c r="B89" s="1" t="s">
        <v>1239</v>
      </c>
      <c r="C89" s="1" t="s">
        <v>1293</v>
      </c>
      <c r="D89" s="1" t="s">
        <v>1302</v>
      </c>
      <c r="E89" s="43" t="s">
        <v>1302</v>
      </c>
      <c r="F89" s="43">
        <v>42552</v>
      </c>
      <c r="G89" s="43"/>
    </row>
    <row r="90" spans="2:7" x14ac:dyDescent="0.25">
      <c r="B90" s="1" t="s">
        <v>1240</v>
      </c>
      <c r="C90" s="1" t="s">
        <v>1294</v>
      </c>
      <c r="D90" s="1" t="s">
        <v>1302</v>
      </c>
      <c r="E90" s="43" t="s">
        <v>1302</v>
      </c>
      <c r="F90" s="43">
        <v>43528</v>
      </c>
      <c r="G90" s="43"/>
    </row>
    <row r="91" spans="2:7" x14ac:dyDescent="0.25">
      <c r="B91" s="1" t="s">
        <v>1241</v>
      </c>
      <c r="C91" s="1" t="s">
        <v>1295</v>
      </c>
      <c r="D91" s="1" t="s">
        <v>1303</v>
      </c>
      <c r="E91" s="43" t="s">
        <v>1303</v>
      </c>
      <c r="F91" s="43">
        <v>42552</v>
      </c>
      <c r="G91" s="43"/>
    </row>
    <row r="92" spans="2:7" x14ac:dyDescent="0.25">
      <c r="B92" s="1" t="s">
        <v>1242</v>
      </c>
      <c r="C92" s="1" t="s">
        <v>1296</v>
      </c>
      <c r="D92" s="1" t="s">
        <v>1304</v>
      </c>
      <c r="E92" s="43" t="s">
        <v>1304</v>
      </c>
      <c r="F92" s="43">
        <v>42552</v>
      </c>
      <c r="G92" s="43"/>
    </row>
    <row r="93" spans="2:7" x14ac:dyDescent="0.25">
      <c r="G93" s="43"/>
    </row>
    <row r="94" spans="2:7" x14ac:dyDescent="0.25">
      <c r="G94" s="43"/>
    </row>
    <row r="95" spans="2:7" x14ac:dyDescent="0.25">
      <c r="G95" s="43"/>
    </row>
    <row r="96" spans="2:7" x14ac:dyDescent="0.25">
      <c r="G96" s="43"/>
    </row>
    <row r="97" spans="7:7" x14ac:dyDescent="0.25">
      <c r="G97" s="43"/>
    </row>
    <row r="98" spans="7:7" x14ac:dyDescent="0.25">
      <c r="G98" s="43"/>
    </row>
    <row r="99" spans="7:7" x14ac:dyDescent="0.25">
      <c r="G99" s="43"/>
    </row>
    <row r="100" spans="7:7" x14ac:dyDescent="0.25">
      <c r="G100" s="43"/>
    </row>
    <row r="101" spans="7:7" x14ac:dyDescent="0.25">
      <c r="G101" s="43"/>
    </row>
    <row r="102" spans="7:7" x14ac:dyDescent="0.25">
      <c r="G102" s="43"/>
    </row>
    <row r="103" spans="7:7" x14ac:dyDescent="0.25">
      <c r="G103" s="43"/>
    </row>
    <row r="104" spans="7:7" x14ac:dyDescent="0.25">
      <c r="G104" s="43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0DEF-5A42-468C-AD7E-CB219FF711C6}">
  <sheetPr codeName="Sheet1"/>
  <dimension ref="A1:W25"/>
  <sheetViews>
    <sheetView showGridLines="0" workbookViewId="0">
      <selection activeCell="F16" sqref="F16"/>
    </sheetView>
  </sheetViews>
  <sheetFormatPr defaultRowHeight="15" x14ac:dyDescent="0.25"/>
  <cols>
    <col min="1" max="1" width="27.42578125" style="4" bestFit="1" customWidth="1"/>
    <col min="2" max="2" width="16.42578125" style="57" customWidth="1"/>
    <col min="3" max="3" width="1.85546875" style="4" customWidth="1"/>
    <col min="4" max="4" width="2.140625" style="4" customWidth="1"/>
    <col min="5" max="5" width="2" style="4" customWidth="1"/>
    <col min="6" max="6" width="20.85546875" style="4" customWidth="1"/>
    <col min="7" max="7" width="14" style="4" bestFit="1" customWidth="1"/>
    <col min="8" max="8" width="14.85546875" style="4" bestFit="1" customWidth="1"/>
    <col min="9" max="9" width="1.85546875" style="4" customWidth="1"/>
    <col min="10" max="10" width="2.140625" style="4" customWidth="1"/>
    <col min="11" max="11" width="2" style="4" customWidth="1"/>
    <col min="12" max="12" width="10.85546875" style="4" bestFit="1" customWidth="1"/>
    <col min="13" max="13" width="3" style="4" bestFit="1" customWidth="1"/>
    <col min="14" max="14" width="1.85546875" style="4" customWidth="1"/>
    <col min="15" max="15" width="2.140625" style="4" customWidth="1"/>
    <col min="16" max="16" width="2" style="4" customWidth="1"/>
    <col min="17" max="17" width="13.85546875" style="4" bestFit="1" customWidth="1"/>
    <col min="18" max="18" width="9.140625" style="4"/>
    <col min="19" max="19" width="6.5703125" style="4" bestFit="1" customWidth="1"/>
    <col min="20" max="20" width="1.85546875" style="4" customWidth="1"/>
    <col min="21" max="21" width="2.140625" style="4" customWidth="1"/>
    <col min="22" max="22" width="2" style="4" customWidth="1"/>
    <col min="23" max="23" width="12" style="4" bestFit="1" customWidth="1"/>
    <col min="24" max="16384" width="9.140625" style="4"/>
  </cols>
  <sheetData>
    <row r="1" spans="1:23" x14ac:dyDescent="0.25">
      <c r="A1" s="56" t="s">
        <v>21</v>
      </c>
      <c r="F1" s="56" t="s">
        <v>56</v>
      </c>
      <c r="L1" s="56" t="s">
        <v>38</v>
      </c>
      <c r="Q1" s="56" t="s">
        <v>11</v>
      </c>
      <c r="R1" s="56" t="s">
        <v>58</v>
      </c>
      <c r="S1" s="56" t="s">
        <v>46</v>
      </c>
      <c r="W1" s="4" t="s">
        <v>70</v>
      </c>
    </row>
    <row r="2" spans="1:23" x14ac:dyDescent="0.25">
      <c r="A2" s="4" t="s">
        <v>22</v>
      </c>
      <c r="B2" s="57" t="s">
        <v>23</v>
      </c>
      <c r="F2" s="4" t="s">
        <v>20</v>
      </c>
      <c r="G2" s="4" t="s">
        <v>47</v>
      </c>
      <c r="H2" s="58" t="s">
        <v>57</v>
      </c>
      <c r="L2" s="4" t="s">
        <v>19</v>
      </c>
      <c r="M2" s="4">
        <v>1</v>
      </c>
      <c r="Q2" s="4" t="s">
        <v>40</v>
      </c>
      <c r="R2" s="4" t="b">
        <v>0</v>
      </c>
      <c r="S2" s="49">
        <f>--R2</f>
        <v>0</v>
      </c>
      <c r="W2" s="4" t="s">
        <v>71</v>
      </c>
    </row>
    <row r="3" spans="1:23" x14ac:dyDescent="0.25">
      <c r="A3" s="4" t="s">
        <v>1427</v>
      </c>
      <c r="B3" s="48">
        <v>44197</v>
      </c>
      <c r="F3" s="4" t="s">
        <v>88</v>
      </c>
      <c r="G3" s="4" t="s">
        <v>50</v>
      </c>
      <c r="H3" s="58">
        <v>1</v>
      </c>
      <c r="L3" s="4" t="s">
        <v>28</v>
      </c>
      <c r="M3" s="4">
        <v>2</v>
      </c>
      <c r="Q3" s="4" t="s">
        <v>39</v>
      </c>
      <c r="R3" s="4" t="b">
        <v>0</v>
      </c>
      <c r="S3" s="49">
        <f t="shared" ref="S3:S8" si="0">--R3</f>
        <v>0</v>
      </c>
      <c r="W3" s="4" t="s">
        <v>72</v>
      </c>
    </row>
    <row r="4" spans="1:23" x14ac:dyDescent="0.25">
      <c r="A4" s="4" t="s">
        <v>1429</v>
      </c>
      <c r="B4" s="48">
        <v>44219</v>
      </c>
      <c r="F4" s="4" t="s">
        <v>89</v>
      </c>
      <c r="G4" s="4" t="s">
        <v>51</v>
      </c>
      <c r="H4" s="58">
        <v>1</v>
      </c>
      <c r="L4" s="4" t="s">
        <v>29</v>
      </c>
      <c r="M4" s="4">
        <v>3</v>
      </c>
      <c r="Q4" s="4" t="s">
        <v>41</v>
      </c>
      <c r="R4" s="4" t="b">
        <v>0</v>
      </c>
      <c r="S4" s="49">
        <f t="shared" si="0"/>
        <v>0</v>
      </c>
      <c r="W4" s="4" t="s">
        <v>73</v>
      </c>
    </row>
    <row r="5" spans="1:23" x14ac:dyDescent="0.25">
      <c r="A5" s="4" t="s">
        <v>1431</v>
      </c>
      <c r="B5" s="48">
        <v>44239</v>
      </c>
      <c r="F5" s="4" t="s">
        <v>90</v>
      </c>
      <c r="G5" s="4" t="s">
        <v>53</v>
      </c>
      <c r="H5" s="58">
        <v>1</v>
      </c>
      <c r="L5" s="4" t="s">
        <v>30</v>
      </c>
      <c r="M5" s="4">
        <v>4</v>
      </c>
      <c r="Q5" s="4" t="s">
        <v>42</v>
      </c>
      <c r="R5" s="4" t="b">
        <v>0</v>
      </c>
      <c r="S5" s="49">
        <f t="shared" si="0"/>
        <v>0</v>
      </c>
    </row>
    <row r="6" spans="1:23" x14ac:dyDescent="0.25">
      <c r="A6" s="4" t="s">
        <v>1433</v>
      </c>
      <c r="B6" s="48">
        <v>44252</v>
      </c>
      <c r="F6" s="4" t="s">
        <v>91</v>
      </c>
      <c r="G6" s="4" t="s">
        <v>54</v>
      </c>
      <c r="H6" s="58">
        <v>0.5</v>
      </c>
      <c r="L6" s="4" t="s">
        <v>31</v>
      </c>
      <c r="M6" s="4">
        <v>5</v>
      </c>
      <c r="Q6" s="4" t="s">
        <v>43</v>
      </c>
      <c r="R6" s="4" t="b">
        <v>0</v>
      </c>
      <c r="S6" s="49">
        <f t="shared" si="0"/>
        <v>0</v>
      </c>
    </row>
    <row r="7" spans="1:23" x14ac:dyDescent="0.25">
      <c r="A7" s="4" t="s">
        <v>1434</v>
      </c>
      <c r="B7" s="48">
        <v>44287</v>
      </c>
      <c r="F7" s="4" t="s">
        <v>92</v>
      </c>
      <c r="G7" s="4" t="s">
        <v>67</v>
      </c>
      <c r="H7" s="58">
        <v>1</v>
      </c>
      <c r="L7" s="4" t="s">
        <v>32</v>
      </c>
      <c r="M7" s="4">
        <v>6</v>
      </c>
      <c r="Q7" s="4" t="s">
        <v>44</v>
      </c>
      <c r="R7" s="4" t="b">
        <v>0</v>
      </c>
      <c r="S7" s="49">
        <f t="shared" si="0"/>
        <v>0</v>
      </c>
    </row>
    <row r="8" spans="1:23" x14ac:dyDescent="0.25">
      <c r="A8" s="4" t="s">
        <v>1435</v>
      </c>
      <c r="B8" s="48">
        <v>44288</v>
      </c>
      <c r="F8" s="4" t="s">
        <v>93</v>
      </c>
      <c r="G8" s="4" t="s">
        <v>68</v>
      </c>
      <c r="H8" s="58">
        <v>1</v>
      </c>
      <c r="L8" s="4" t="s">
        <v>33</v>
      </c>
      <c r="M8" s="4">
        <v>7</v>
      </c>
      <c r="Q8" s="4" t="s">
        <v>45</v>
      </c>
      <c r="R8" s="4" t="b">
        <v>0</v>
      </c>
      <c r="S8" s="49">
        <f t="shared" si="0"/>
        <v>0</v>
      </c>
    </row>
    <row r="9" spans="1:23" x14ac:dyDescent="0.25">
      <c r="A9" s="4" t="s">
        <v>1436</v>
      </c>
      <c r="B9" s="48">
        <v>44289</v>
      </c>
      <c r="F9" s="4" t="s">
        <v>94</v>
      </c>
      <c r="G9" s="4" t="s">
        <v>69</v>
      </c>
      <c r="H9" s="58">
        <v>1</v>
      </c>
      <c r="L9" s="4" t="s">
        <v>34</v>
      </c>
      <c r="M9" s="4">
        <v>8</v>
      </c>
    </row>
    <row r="10" spans="1:23" x14ac:dyDescent="0.25">
      <c r="A10" s="4" t="s">
        <v>1437</v>
      </c>
      <c r="B10" s="48">
        <v>44295</v>
      </c>
      <c r="F10" s="4" t="s">
        <v>95</v>
      </c>
      <c r="G10" s="4" t="s">
        <v>55</v>
      </c>
      <c r="H10" s="58">
        <v>1</v>
      </c>
      <c r="L10" s="4" t="s">
        <v>35</v>
      </c>
      <c r="M10" s="4">
        <v>9</v>
      </c>
    </row>
    <row r="11" spans="1:23" x14ac:dyDescent="0.25">
      <c r="A11" s="4" t="s">
        <v>25</v>
      </c>
      <c r="B11" s="48">
        <v>44317</v>
      </c>
      <c r="H11" s="58"/>
      <c r="L11" s="4" t="s">
        <v>36</v>
      </c>
      <c r="M11" s="4">
        <v>10</v>
      </c>
    </row>
    <row r="12" spans="1:23" x14ac:dyDescent="0.25">
      <c r="A12" s="4" t="s">
        <v>1438</v>
      </c>
      <c r="B12" s="48">
        <v>44329</v>
      </c>
      <c r="L12" s="4" t="s">
        <v>15</v>
      </c>
      <c r="M12" s="4">
        <v>11</v>
      </c>
    </row>
    <row r="13" spans="1:23" x14ac:dyDescent="0.25">
      <c r="A13" s="4" t="s">
        <v>24</v>
      </c>
      <c r="B13" s="48">
        <v>44359</v>
      </c>
      <c r="L13" s="4" t="s">
        <v>37</v>
      </c>
      <c r="M13" s="4">
        <v>12</v>
      </c>
    </row>
    <row r="14" spans="1:23" x14ac:dyDescent="0.25">
      <c r="A14" s="4" t="s">
        <v>1439</v>
      </c>
      <c r="B14" s="48">
        <v>44397</v>
      </c>
    </row>
    <row r="15" spans="1:23" x14ac:dyDescent="0.25">
      <c r="A15" s="4" t="s">
        <v>1440</v>
      </c>
      <c r="B15" s="48">
        <v>44429</v>
      </c>
    </row>
    <row r="16" spans="1:23" x14ac:dyDescent="0.25">
      <c r="A16" s="4" t="s">
        <v>1441</v>
      </c>
      <c r="B16" s="48">
        <v>44438</v>
      </c>
    </row>
    <row r="17" spans="1:2" x14ac:dyDescent="0.25">
      <c r="A17" s="4" t="s">
        <v>1442</v>
      </c>
      <c r="B17" s="48">
        <v>44442</v>
      </c>
    </row>
    <row r="18" spans="1:2" x14ac:dyDescent="0.25">
      <c r="A18" s="4" t="s">
        <v>1443</v>
      </c>
      <c r="B18" s="48">
        <v>44447</v>
      </c>
    </row>
    <row r="19" spans="1:2" x14ac:dyDescent="0.25">
      <c r="A19" s="4" t="s">
        <v>1444</v>
      </c>
      <c r="B19" s="48">
        <v>44501</v>
      </c>
    </row>
    <row r="20" spans="1:2" x14ac:dyDescent="0.25">
      <c r="A20" s="4" t="s">
        <v>1445</v>
      </c>
      <c r="B20" s="48">
        <v>44502</v>
      </c>
    </row>
    <row r="21" spans="1:2" x14ac:dyDescent="0.25">
      <c r="A21" s="4" t="s">
        <v>1446</v>
      </c>
      <c r="B21" s="48">
        <v>44530</v>
      </c>
    </row>
    <row r="22" spans="1:2" x14ac:dyDescent="0.25">
      <c r="A22" s="4" t="s">
        <v>1447</v>
      </c>
      <c r="B22" s="48">
        <v>44554</v>
      </c>
    </row>
    <row r="23" spans="1:2" x14ac:dyDescent="0.25">
      <c r="A23" s="4" t="s">
        <v>26</v>
      </c>
      <c r="B23" s="48">
        <v>44555</v>
      </c>
    </row>
    <row r="24" spans="1:2" x14ac:dyDescent="0.25">
      <c r="A24" s="4" t="s">
        <v>1448</v>
      </c>
      <c r="B24" s="48">
        <v>44560</v>
      </c>
    </row>
    <row r="25" spans="1:2" x14ac:dyDescent="0.25">
      <c r="A25" s="4" t="s">
        <v>1449</v>
      </c>
      <c r="B25" s="48">
        <v>44561</v>
      </c>
    </row>
  </sheetData>
  <pageMargins left="0.7" right="0.7" top="0.75" bottom="0.75" header="0.3" footer="0.3"/>
  <ignoredErrors>
    <ignoredError sqref="S2:S8" unlockedFormula="1"/>
  </ignoredErrors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9005E-7849-4DB4-8E2B-98358FC0B1B5}">
  <dimension ref="A1:E23"/>
  <sheetViews>
    <sheetView workbookViewId="0">
      <selection activeCell="C1" sqref="C1:C23"/>
    </sheetView>
  </sheetViews>
  <sheetFormatPr defaultRowHeight="15" x14ac:dyDescent="0.25"/>
  <cols>
    <col min="1" max="1" width="7.42578125" bestFit="1" customWidth="1"/>
    <col min="2" max="2" width="11.42578125" bestFit="1" customWidth="1"/>
    <col min="3" max="3" width="31.85546875" bestFit="1" customWidth="1"/>
    <col min="4" max="4" width="28.7109375" bestFit="1" customWidth="1"/>
    <col min="5" max="5" width="1.42578125" bestFit="1" customWidth="1"/>
  </cols>
  <sheetData>
    <row r="1" spans="1:5" x14ac:dyDescent="0.25">
      <c r="A1" s="94">
        <v>44197</v>
      </c>
      <c r="B1" t="s">
        <v>44</v>
      </c>
      <c r="C1" t="s">
        <v>1427</v>
      </c>
      <c r="D1" t="s">
        <v>1428</v>
      </c>
      <c r="E1" t="s">
        <v>62</v>
      </c>
    </row>
    <row r="2" spans="1:5" x14ac:dyDescent="0.25">
      <c r="A2" s="94">
        <v>44219</v>
      </c>
      <c r="B2" t="s">
        <v>45</v>
      </c>
      <c r="C2" t="s">
        <v>1429</v>
      </c>
      <c r="D2" t="s">
        <v>1430</v>
      </c>
      <c r="E2" t="s">
        <v>62</v>
      </c>
    </row>
    <row r="3" spans="1:5" x14ac:dyDescent="0.25">
      <c r="A3" s="94">
        <v>44239</v>
      </c>
      <c r="B3" t="s">
        <v>44</v>
      </c>
      <c r="C3" t="s">
        <v>1431</v>
      </c>
      <c r="D3" t="s">
        <v>1432</v>
      </c>
      <c r="E3" t="s">
        <v>62</v>
      </c>
    </row>
    <row r="4" spans="1:5" x14ac:dyDescent="0.25">
      <c r="A4" s="94">
        <v>44252</v>
      </c>
      <c r="B4" t="s">
        <v>43</v>
      </c>
      <c r="C4" t="s">
        <v>1433</v>
      </c>
      <c r="D4" t="s">
        <v>1432</v>
      </c>
      <c r="E4" t="s">
        <v>62</v>
      </c>
    </row>
    <row r="5" spans="1:5" x14ac:dyDescent="0.25">
      <c r="A5" s="94">
        <v>44287</v>
      </c>
      <c r="B5" t="s">
        <v>43</v>
      </c>
      <c r="C5" t="s">
        <v>1434</v>
      </c>
      <c r="D5" t="s">
        <v>1428</v>
      </c>
      <c r="E5" t="s">
        <v>62</v>
      </c>
    </row>
    <row r="6" spans="1:5" x14ac:dyDescent="0.25">
      <c r="A6" s="94">
        <v>44288</v>
      </c>
      <c r="B6" t="s">
        <v>44</v>
      </c>
      <c r="C6" t="s">
        <v>1435</v>
      </c>
      <c r="D6" t="s">
        <v>1428</v>
      </c>
      <c r="E6" t="s">
        <v>62</v>
      </c>
    </row>
    <row r="7" spans="1:5" x14ac:dyDescent="0.25">
      <c r="A7" s="94">
        <v>44289</v>
      </c>
      <c r="B7" t="s">
        <v>45</v>
      </c>
      <c r="C7" t="s">
        <v>1436</v>
      </c>
      <c r="D7" t="s">
        <v>1432</v>
      </c>
      <c r="E7" t="s">
        <v>62</v>
      </c>
    </row>
    <row r="8" spans="1:5" x14ac:dyDescent="0.25">
      <c r="A8" s="94">
        <v>44295</v>
      </c>
      <c r="B8" t="s">
        <v>44</v>
      </c>
      <c r="C8" t="s">
        <v>1437</v>
      </c>
      <c r="D8" t="s">
        <v>1428</v>
      </c>
      <c r="E8" t="s">
        <v>62</v>
      </c>
    </row>
    <row r="9" spans="1:5" x14ac:dyDescent="0.25">
      <c r="A9" s="94">
        <v>44317</v>
      </c>
      <c r="B9" t="s">
        <v>45</v>
      </c>
      <c r="C9" t="s">
        <v>25</v>
      </c>
      <c r="D9" t="s">
        <v>1428</v>
      </c>
      <c r="E9" t="s">
        <v>62</v>
      </c>
    </row>
    <row r="10" spans="1:5" x14ac:dyDescent="0.25">
      <c r="A10" s="94">
        <v>44329</v>
      </c>
      <c r="B10" t="s">
        <v>43</v>
      </c>
      <c r="C10" t="s">
        <v>1438</v>
      </c>
      <c r="D10" t="s">
        <v>1428</v>
      </c>
      <c r="E10" t="s">
        <v>62</v>
      </c>
    </row>
    <row r="11" spans="1:5" x14ac:dyDescent="0.25">
      <c r="A11" s="94">
        <v>44359</v>
      </c>
      <c r="B11" t="s">
        <v>45</v>
      </c>
      <c r="C11" t="s">
        <v>24</v>
      </c>
      <c r="D11" t="s">
        <v>1428</v>
      </c>
      <c r="E11" t="s">
        <v>62</v>
      </c>
    </row>
    <row r="12" spans="1:5" x14ac:dyDescent="0.25">
      <c r="A12" s="94">
        <v>44397</v>
      </c>
      <c r="B12" t="s">
        <v>41</v>
      </c>
      <c r="C12" t="s">
        <v>1439</v>
      </c>
      <c r="D12" t="s">
        <v>1428</v>
      </c>
      <c r="E12" t="s">
        <v>62</v>
      </c>
    </row>
    <row r="13" spans="1:5" x14ac:dyDescent="0.25">
      <c r="A13" s="94">
        <v>44429</v>
      </c>
      <c r="B13" t="s">
        <v>45</v>
      </c>
      <c r="C13" t="s">
        <v>1440</v>
      </c>
      <c r="D13" t="s">
        <v>1432</v>
      </c>
      <c r="E13" t="s">
        <v>62</v>
      </c>
    </row>
    <row r="14" spans="1:5" x14ac:dyDescent="0.25">
      <c r="A14" s="94">
        <v>44438</v>
      </c>
      <c r="B14" t="s">
        <v>39</v>
      </c>
      <c r="C14" t="s">
        <v>1441</v>
      </c>
      <c r="D14" t="s">
        <v>1428</v>
      </c>
      <c r="E14" t="s">
        <v>62</v>
      </c>
    </row>
    <row r="15" spans="1:5" x14ac:dyDescent="0.25">
      <c r="A15" s="94">
        <v>44442</v>
      </c>
      <c r="B15" t="s">
        <v>44</v>
      </c>
      <c r="C15" t="s">
        <v>1442</v>
      </c>
      <c r="D15" t="s">
        <v>1430</v>
      </c>
      <c r="E15" t="s">
        <v>62</v>
      </c>
    </row>
    <row r="16" spans="1:5" x14ac:dyDescent="0.25">
      <c r="A16" s="94">
        <v>44447</v>
      </c>
      <c r="B16" t="s">
        <v>42</v>
      </c>
      <c r="C16" t="s">
        <v>1443</v>
      </c>
      <c r="D16" t="s">
        <v>1430</v>
      </c>
      <c r="E16" t="s">
        <v>62</v>
      </c>
    </row>
    <row r="17" spans="1:5" x14ac:dyDescent="0.25">
      <c r="A17" s="94">
        <v>44501</v>
      </c>
      <c r="B17" t="s">
        <v>39</v>
      </c>
      <c r="C17" t="s">
        <v>1444</v>
      </c>
      <c r="D17" t="s">
        <v>1432</v>
      </c>
      <c r="E17" t="s">
        <v>62</v>
      </c>
    </row>
    <row r="18" spans="1:5" x14ac:dyDescent="0.25">
      <c r="A18" s="94">
        <v>44502</v>
      </c>
      <c r="B18" t="s">
        <v>41</v>
      </c>
      <c r="C18" t="s">
        <v>1445</v>
      </c>
      <c r="D18" t="s">
        <v>1430</v>
      </c>
      <c r="E18" t="s">
        <v>62</v>
      </c>
    </row>
    <row r="19" spans="1:5" x14ac:dyDescent="0.25">
      <c r="A19" s="94">
        <v>44530</v>
      </c>
      <c r="B19" t="s">
        <v>41</v>
      </c>
      <c r="C19" t="s">
        <v>1446</v>
      </c>
      <c r="D19" t="s">
        <v>1428</v>
      </c>
      <c r="E19" t="s">
        <v>62</v>
      </c>
    </row>
    <row r="20" spans="1:5" x14ac:dyDescent="0.25">
      <c r="A20" s="94">
        <v>44554</v>
      </c>
      <c r="B20" t="s">
        <v>44</v>
      </c>
      <c r="C20" t="s">
        <v>1447</v>
      </c>
      <c r="D20" t="s">
        <v>1430</v>
      </c>
      <c r="E20" t="s">
        <v>62</v>
      </c>
    </row>
    <row r="21" spans="1:5" x14ac:dyDescent="0.25">
      <c r="A21" s="94">
        <v>44555</v>
      </c>
      <c r="B21" t="s">
        <v>45</v>
      </c>
      <c r="C21" t="s">
        <v>26</v>
      </c>
      <c r="D21" t="s">
        <v>1428</v>
      </c>
      <c r="E21" t="s">
        <v>62</v>
      </c>
    </row>
    <row r="22" spans="1:5" x14ac:dyDescent="0.25">
      <c r="A22" s="94">
        <v>44560</v>
      </c>
      <c r="B22" t="s">
        <v>43</v>
      </c>
      <c r="C22" t="s">
        <v>1448</v>
      </c>
      <c r="D22" t="s">
        <v>1428</v>
      </c>
      <c r="E22" t="s">
        <v>62</v>
      </c>
    </row>
    <row r="23" spans="1:5" x14ac:dyDescent="0.25">
      <c r="A23" s="94">
        <v>44561</v>
      </c>
      <c r="B23" t="s">
        <v>44</v>
      </c>
      <c r="C23" t="s">
        <v>1449</v>
      </c>
      <c r="D23" t="s">
        <v>1430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24CF2-DAAD-4E7A-8ACF-76E241D13DD2}">
  <sheetPr codeName="Sheet7"/>
  <dimension ref="A1:B1"/>
  <sheetViews>
    <sheetView workbookViewId="0">
      <selection activeCell="L25" sqref="L25"/>
    </sheetView>
  </sheetViews>
  <sheetFormatPr defaultRowHeight="15" x14ac:dyDescent="0.25"/>
  <sheetData>
    <row r="1" spans="1:2" x14ac:dyDescent="0.25">
      <c r="A1" t="s">
        <v>64</v>
      </c>
      <c r="B1" s="45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Team Dashboard</vt:lpstr>
      <vt:lpstr>Employee Report</vt:lpstr>
      <vt:lpstr>Approved Leave</vt:lpstr>
      <vt:lpstr>Pending Request</vt:lpstr>
      <vt:lpstr>Declined Request</vt:lpstr>
      <vt:lpstr>Employees</vt:lpstr>
      <vt:lpstr>Settings</vt:lpstr>
      <vt:lpstr>Holidays</vt:lpstr>
      <vt:lpstr>Backup</vt:lpstr>
      <vt:lpstr>I_RPT_ED</vt:lpstr>
      <vt:lpstr>I_RPT_EMP</vt:lpstr>
      <vt:lpstr>I_RPT_YR</vt:lpstr>
      <vt:lpstr>L_EMPS</vt:lpstr>
      <vt:lpstr>L_EMPSTDT</vt:lpstr>
      <vt:lpstr>L_EMPTERMDT</vt:lpstr>
      <vt:lpstr>L_HOLS</vt:lpstr>
      <vt:lpstr>L_LEAVE</vt:lpstr>
      <vt:lpstr>L_MTHS</vt:lpstr>
      <vt:lpstr>L_TYPE</vt:lpstr>
      <vt:lpstr>L_WKNDVAL</vt:lpstr>
      <vt:lpstr>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 Tracker</dc:title>
  <dc:creator>R-John Dela Cruz</dc:creator>
  <cp:lastModifiedBy>R-John Dela Cruz</cp:lastModifiedBy>
  <dcterms:created xsi:type="dcterms:W3CDTF">2021-02-04T08:23:00Z</dcterms:created>
  <dcterms:modified xsi:type="dcterms:W3CDTF">2024-09-17T07:30:13Z</dcterms:modified>
</cp:coreProperties>
</file>